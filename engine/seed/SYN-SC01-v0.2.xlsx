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4879ffde389603/컨설팅/Managment Reference Model/"/>
    </mc:Choice>
  </mc:AlternateContent>
  <xr:revisionPtr revIDLastSave="137" documentId="8_{887AAE3B-CA68-4EF9-BA24-927C22A378C5}" xr6:coauthVersionLast="47" xr6:coauthVersionMax="47" xr10:uidLastSave="{6461B1FA-6D86-4704-BEB5-C5D6CA09A333}"/>
  <bookViews>
    <workbookView xWindow="-108" yWindow="-108" windowWidth="23256" windowHeight="12456" tabRatio="781" firstSheet="3" activeTab="13" xr2:uid="{00000000-000D-0000-FFFF-FFFF00000000}"/>
  </bookViews>
  <sheets>
    <sheet name="설계안" sheetId="1" r:id="rId1"/>
    <sheet name="월분기연간" sheetId="2" r:id="rId2"/>
    <sheet name="SC01검증" sheetId="3" r:id="rId3"/>
    <sheet name="손익계산" sheetId="4" r:id="rId4"/>
    <sheet name="모델기준" sheetId="5" r:id="rId5"/>
    <sheet name="버전기준" sheetId="6" r:id="rId6"/>
    <sheet name="고객원천" sheetId="7" r:id="rId7"/>
    <sheet name="물량스냅샷" sheetId="8" r:id="rId8"/>
    <sheet name="실적" sheetId="9" r:id="rId9"/>
    <sheet name="단위원가" sheetId="10" r:id="rId10"/>
    <sheet name="고정비" sheetId="11" r:id="rId11"/>
    <sheet name="업무이력" sheetId="12" r:id="rId12"/>
    <sheet name="예외케이스" sheetId="13" r:id="rId13"/>
    <sheet name="데이터사전" sheetId="14" r:id="rId14"/>
    <sheet name="정합성검증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5" l="1"/>
  <c r="E16" i="15" s="1"/>
  <c r="D15" i="15"/>
  <c r="E15" i="15" s="1"/>
  <c r="E6" i="15"/>
  <c r="I17" i="11"/>
  <c r="I16" i="11"/>
  <c r="I15" i="11"/>
  <c r="K15" i="2" s="1"/>
  <c r="I14" i="11"/>
  <c r="K14" i="2" s="1"/>
  <c r="I13" i="11"/>
  <c r="K13" i="2" s="1"/>
  <c r="I12" i="11"/>
  <c r="I11" i="11"/>
  <c r="J11" i="11" s="1"/>
  <c r="I10" i="11"/>
  <c r="J10" i="11" s="1"/>
  <c r="J9" i="11"/>
  <c r="I9" i="11"/>
  <c r="I8" i="11"/>
  <c r="J8" i="11" s="1"/>
  <c r="I7" i="11"/>
  <c r="J7" i="11" s="1"/>
  <c r="I6" i="11"/>
  <c r="D17" i="15" s="1"/>
  <c r="E17" i="15" s="1"/>
  <c r="I65" i="10"/>
  <c r="J65" i="10" s="1"/>
  <c r="H65" i="10"/>
  <c r="G65" i="10"/>
  <c r="F65" i="10"/>
  <c r="G65" i="4" s="1"/>
  <c r="I64" i="10"/>
  <c r="H64" i="10"/>
  <c r="G64" i="10"/>
  <c r="J64" i="10" s="1"/>
  <c r="F64" i="10"/>
  <c r="G64" i="4" s="1"/>
  <c r="I63" i="10"/>
  <c r="J63" i="10" s="1"/>
  <c r="H63" i="4" s="1"/>
  <c r="H63" i="10"/>
  <c r="G63" i="10"/>
  <c r="F63" i="10"/>
  <c r="K63" i="10" s="1"/>
  <c r="I63" i="4" s="1"/>
  <c r="I62" i="10"/>
  <c r="H62" i="10"/>
  <c r="G62" i="10"/>
  <c r="F62" i="10"/>
  <c r="J61" i="10"/>
  <c r="H61" i="4" s="1"/>
  <c r="I61" i="10"/>
  <c r="H61" i="10"/>
  <c r="G61" i="10"/>
  <c r="F61" i="10"/>
  <c r="I60" i="10"/>
  <c r="H60" i="10"/>
  <c r="G60" i="10"/>
  <c r="F60" i="10"/>
  <c r="I59" i="10"/>
  <c r="H59" i="10"/>
  <c r="G59" i="10"/>
  <c r="J59" i="10" s="1"/>
  <c r="F59" i="10"/>
  <c r="I58" i="10"/>
  <c r="H58" i="10"/>
  <c r="J58" i="10" s="1"/>
  <c r="H58" i="4" s="1"/>
  <c r="G58" i="10"/>
  <c r="F58" i="10"/>
  <c r="I57" i="10"/>
  <c r="H57" i="10"/>
  <c r="G57" i="10"/>
  <c r="F57" i="10"/>
  <c r="K56" i="10"/>
  <c r="I56" i="4" s="1"/>
  <c r="N56" i="4" s="1"/>
  <c r="J56" i="10"/>
  <c r="H56" i="4" s="1"/>
  <c r="I56" i="10"/>
  <c r="H56" i="10"/>
  <c r="G56" i="10"/>
  <c r="F56" i="10"/>
  <c r="I55" i="10"/>
  <c r="H55" i="10"/>
  <c r="G55" i="10"/>
  <c r="J55" i="10" s="1"/>
  <c r="H55" i="4" s="1"/>
  <c r="F55" i="10"/>
  <c r="K55" i="10" s="1"/>
  <c r="I55" i="4" s="1"/>
  <c r="O55" i="4" s="1"/>
  <c r="I54" i="10"/>
  <c r="H54" i="10"/>
  <c r="J54" i="10" s="1"/>
  <c r="K54" i="10" s="1"/>
  <c r="G54" i="10"/>
  <c r="F54" i="10"/>
  <c r="G54" i="4" s="1"/>
  <c r="L54" i="4" s="1"/>
  <c r="J53" i="10"/>
  <c r="H53" i="4" s="1"/>
  <c r="I53" i="10"/>
  <c r="H53" i="10"/>
  <c r="G53" i="10"/>
  <c r="F53" i="10"/>
  <c r="G53" i="4" s="1"/>
  <c r="L53" i="4" s="1"/>
  <c r="I52" i="10"/>
  <c r="J52" i="10" s="1"/>
  <c r="H52" i="4" s="1"/>
  <c r="H52" i="10"/>
  <c r="G52" i="10"/>
  <c r="F52" i="10"/>
  <c r="I51" i="10"/>
  <c r="H51" i="10"/>
  <c r="G51" i="10"/>
  <c r="J51" i="10" s="1"/>
  <c r="F51" i="10"/>
  <c r="I50" i="10"/>
  <c r="H50" i="10"/>
  <c r="G50" i="10"/>
  <c r="J50" i="10" s="1"/>
  <c r="F50" i="10"/>
  <c r="K50" i="10" s="1"/>
  <c r="I49" i="10"/>
  <c r="H49" i="10"/>
  <c r="J49" i="10" s="1"/>
  <c r="G49" i="10"/>
  <c r="F49" i="10"/>
  <c r="I48" i="10"/>
  <c r="H48" i="10"/>
  <c r="G48" i="10"/>
  <c r="J48" i="10" s="1"/>
  <c r="H48" i="4" s="1"/>
  <c r="F48" i="10"/>
  <c r="K48" i="10" s="1"/>
  <c r="I48" i="4" s="1"/>
  <c r="N48" i="4" s="1"/>
  <c r="K47" i="10"/>
  <c r="I47" i="4" s="1"/>
  <c r="I47" i="10"/>
  <c r="H47" i="10"/>
  <c r="G47" i="10"/>
  <c r="J47" i="10" s="1"/>
  <c r="H47" i="4" s="1"/>
  <c r="F47" i="10"/>
  <c r="I46" i="10"/>
  <c r="H46" i="10"/>
  <c r="G46" i="10"/>
  <c r="J46" i="10" s="1"/>
  <c r="H46" i="4" s="1"/>
  <c r="F46" i="10"/>
  <c r="I45" i="10"/>
  <c r="H45" i="10"/>
  <c r="G45" i="10"/>
  <c r="J45" i="10" s="1"/>
  <c r="K45" i="10" s="1"/>
  <c r="I45" i="4" s="1"/>
  <c r="F45" i="10"/>
  <c r="I44" i="10"/>
  <c r="H44" i="10"/>
  <c r="G44" i="10"/>
  <c r="J44" i="10" s="1"/>
  <c r="H44" i="4" s="1"/>
  <c r="F44" i="10"/>
  <c r="J43" i="10"/>
  <c r="H43" i="4" s="1"/>
  <c r="I43" i="10"/>
  <c r="H43" i="10"/>
  <c r="G43" i="10"/>
  <c r="F43" i="10"/>
  <c r="G43" i="4" s="1"/>
  <c r="L43" i="4" s="1"/>
  <c r="I42" i="10"/>
  <c r="H42" i="10"/>
  <c r="G42" i="10"/>
  <c r="F42" i="10"/>
  <c r="I41" i="10"/>
  <c r="J41" i="10" s="1"/>
  <c r="H41" i="4" s="1"/>
  <c r="H41" i="10"/>
  <c r="G41" i="10"/>
  <c r="F41" i="10"/>
  <c r="I40" i="10"/>
  <c r="J40" i="10" s="1"/>
  <c r="H40" i="10"/>
  <c r="G40" i="10"/>
  <c r="F40" i="10"/>
  <c r="J39" i="10"/>
  <c r="H39" i="4" s="1"/>
  <c r="I39" i="10"/>
  <c r="H39" i="10"/>
  <c r="G39" i="10"/>
  <c r="F39" i="10"/>
  <c r="G39" i="4" s="1"/>
  <c r="I38" i="10"/>
  <c r="H38" i="10"/>
  <c r="J38" i="10" s="1"/>
  <c r="G38" i="10"/>
  <c r="F38" i="10"/>
  <c r="I37" i="10"/>
  <c r="H37" i="10"/>
  <c r="G37" i="10"/>
  <c r="F37" i="10"/>
  <c r="I36" i="10"/>
  <c r="H36" i="10"/>
  <c r="J36" i="10" s="1"/>
  <c r="G36" i="10"/>
  <c r="F36" i="10"/>
  <c r="I35" i="10"/>
  <c r="H35" i="10"/>
  <c r="G35" i="10"/>
  <c r="F35" i="10"/>
  <c r="K34" i="10"/>
  <c r="I34" i="4" s="1"/>
  <c r="R34" i="4" s="1"/>
  <c r="I34" i="10"/>
  <c r="H34" i="10"/>
  <c r="G34" i="10"/>
  <c r="J34" i="10" s="1"/>
  <c r="H34" i="4" s="1"/>
  <c r="F34" i="10"/>
  <c r="I33" i="10"/>
  <c r="H33" i="10"/>
  <c r="G33" i="10"/>
  <c r="J33" i="10" s="1"/>
  <c r="H33" i="4" s="1"/>
  <c r="F33" i="10"/>
  <c r="I32" i="10"/>
  <c r="H32" i="10"/>
  <c r="J32" i="10" s="1"/>
  <c r="G32" i="10"/>
  <c r="F32" i="10"/>
  <c r="G32" i="4" s="1"/>
  <c r="L32" i="4" s="1"/>
  <c r="I31" i="10"/>
  <c r="H31" i="10"/>
  <c r="G31" i="10"/>
  <c r="J31" i="10" s="1"/>
  <c r="F31" i="10"/>
  <c r="K31" i="10" s="1"/>
  <c r="I31" i="4" s="1"/>
  <c r="M31" i="4" s="1"/>
  <c r="I30" i="10"/>
  <c r="J30" i="10" s="1"/>
  <c r="H30" i="10"/>
  <c r="G30" i="10"/>
  <c r="F30" i="10"/>
  <c r="K30" i="10" s="1"/>
  <c r="I30" i="4" s="1"/>
  <c r="I29" i="10"/>
  <c r="J29" i="10" s="1"/>
  <c r="H29" i="10"/>
  <c r="G29" i="10"/>
  <c r="F29" i="10"/>
  <c r="G29" i="4" s="1"/>
  <c r="J28" i="10"/>
  <c r="H28" i="4" s="1"/>
  <c r="I28" i="10"/>
  <c r="H28" i="10"/>
  <c r="G28" i="10"/>
  <c r="F28" i="10"/>
  <c r="G28" i="4" s="1"/>
  <c r="K28" i="4" s="1"/>
  <c r="J27" i="10"/>
  <c r="K27" i="10" s="1"/>
  <c r="I27" i="10"/>
  <c r="H27" i="10"/>
  <c r="G27" i="10"/>
  <c r="F27" i="10"/>
  <c r="I26" i="10"/>
  <c r="H26" i="10"/>
  <c r="G26" i="10"/>
  <c r="F26" i="10"/>
  <c r="I25" i="10"/>
  <c r="H25" i="10"/>
  <c r="J25" i="10" s="1"/>
  <c r="G25" i="10"/>
  <c r="F25" i="10"/>
  <c r="I24" i="10"/>
  <c r="H24" i="10"/>
  <c r="G24" i="10"/>
  <c r="J24" i="10" s="1"/>
  <c r="F24" i="10"/>
  <c r="J23" i="10"/>
  <c r="K23" i="10" s="1"/>
  <c r="I23" i="4" s="1"/>
  <c r="I23" i="10"/>
  <c r="H23" i="10"/>
  <c r="G23" i="10"/>
  <c r="F23" i="10"/>
  <c r="I22" i="10"/>
  <c r="H22" i="10"/>
  <c r="G22" i="10"/>
  <c r="J22" i="10" s="1"/>
  <c r="F22" i="10"/>
  <c r="I21" i="10"/>
  <c r="H21" i="10"/>
  <c r="J21" i="10" s="1"/>
  <c r="G21" i="10"/>
  <c r="F21" i="10"/>
  <c r="I20" i="10"/>
  <c r="H20" i="10"/>
  <c r="G20" i="10"/>
  <c r="J20" i="10" s="1"/>
  <c r="K20" i="10" s="1"/>
  <c r="I20" i="4" s="1"/>
  <c r="R20" i="4" s="1"/>
  <c r="F20" i="10"/>
  <c r="G20" i="4" s="1"/>
  <c r="I19" i="10"/>
  <c r="J19" i="10" s="1"/>
  <c r="H19" i="4" s="1"/>
  <c r="H19" i="10"/>
  <c r="G19" i="10"/>
  <c r="F19" i="10"/>
  <c r="I18" i="10"/>
  <c r="H18" i="10"/>
  <c r="G18" i="10"/>
  <c r="J18" i="10" s="1"/>
  <c r="F18" i="10"/>
  <c r="I17" i="10"/>
  <c r="H17" i="10"/>
  <c r="G17" i="10"/>
  <c r="J17" i="10" s="1"/>
  <c r="H17" i="4" s="1"/>
  <c r="F17" i="10"/>
  <c r="K16" i="10"/>
  <c r="I16" i="4" s="1"/>
  <c r="J16" i="10"/>
  <c r="H16" i="4" s="1"/>
  <c r="I16" i="10"/>
  <c r="H16" i="10"/>
  <c r="G16" i="10"/>
  <c r="F16" i="10"/>
  <c r="I15" i="10"/>
  <c r="H15" i="10"/>
  <c r="G15" i="10"/>
  <c r="J15" i="10" s="1"/>
  <c r="F15" i="10"/>
  <c r="G15" i="4" s="1"/>
  <c r="I14" i="10"/>
  <c r="H14" i="10"/>
  <c r="G14" i="10"/>
  <c r="J14" i="10" s="1"/>
  <c r="F14" i="10"/>
  <c r="I13" i="10"/>
  <c r="H13" i="10"/>
  <c r="G13" i="10"/>
  <c r="J13" i="10" s="1"/>
  <c r="H13" i="4" s="1"/>
  <c r="F13" i="10"/>
  <c r="J12" i="10"/>
  <c r="H12" i="4" s="1"/>
  <c r="I12" i="10"/>
  <c r="H12" i="10"/>
  <c r="G12" i="10"/>
  <c r="F12" i="10"/>
  <c r="I11" i="10"/>
  <c r="J11" i="10" s="1"/>
  <c r="H11" i="4" s="1"/>
  <c r="H11" i="10"/>
  <c r="G11" i="10"/>
  <c r="F11" i="10"/>
  <c r="J10" i="10"/>
  <c r="I10" i="10"/>
  <c r="H10" i="10"/>
  <c r="G10" i="10"/>
  <c r="F10" i="10"/>
  <c r="G10" i="4" s="1"/>
  <c r="I9" i="10"/>
  <c r="H9" i="10"/>
  <c r="G9" i="10"/>
  <c r="J9" i="10" s="1"/>
  <c r="H9" i="4" s="1"/>
  <c r="F9" i="10"/>
  <c r="I8" i="10"/>
  <c r="J8" i="10" s="1"/>
  <c r="H8" i="4" s="1"/>
  <c r="H8" i="10"/>
  <c r="G8" i="10"/>
  <c r="F8" i="10"/>
  <c r="K7" i="10"/>
  <c r="I7" i="4" s="1"/>
  <c r="J7" i="10"/>
  <c r="H7" i="4" s="1"/>
  <c r="I7" i="10"/>
  <c r="H7" i="10"/>
  <c r="G7" i="10"/>
  <c r="F7" i="10"/>
  <c r="I6" i="10"/>
  <c r="H6" i="10"/>
  <c r="G6" i="10"/>
  <c r="J6" i="10" s="1"/>
  <c r="H6" i="4" s="1"/>
  <c r="F6" i="10"/>
  <c r="K10" i="5"/>
  <c r="L10" i="5" s="1"/>
  <c r="K9" i="5"/>
  <c r="L9" i="5" s="1"/>
  <c r="K8" i="5"/>
  <c r="L8" i="5" s="1"/>
  <c r="L7" i="5"/>
  <c r="K7" i="5"/>
  <c r="K6" i="5"/>
  <c r="L6" i="5" s="1"/>
  <c r="L65" i="4"/>
  <c r="K65" i="4"/>
  <c r="J65" i="4"/>
  <c r="F65" i="4"/>
  <c r="E65" i="4"/>
  <c r="D65" i="4"/>
  <c r="F64" i="4"/>
  <c r="E64" i="4"/>
  <c r="K64" i="4" s="1"/>
  <c r="D64" i="4"/>
  <c r="J64" i="4" s="1"/>
  <c r="M63" i="4"/>
  <c r="G63" i="4"/>
  <c r="L63" i="4" s="1"/>
  <c r="F63" i="4"/>
  <c r="O63" i="4" s="1"/>
  <c r="E63" i="4"/>
  <c r="D63" i="4"/>
  <c r="F62" i="4"/>
  <c r="E62" i="4"/>
  <c r="D62" i="4"/>
  <c r="G61" i="4"/>
  <c r="F61" i="4"/>
  <c r="E61" i="4"/>
  <c r="K61" i="4" s="1"/>
  <c r="D61" i="4"/>
  <c r="J61" i="4" s="1"/>
  <c r="J60" i="4"/>
  <c r="G60" i="4"/>
  <c r="F60" i="4"/>
  <c r="E60" i="4"/>
  <c r="D60" i="4"/>
  <c r="K59" i="4"/>
  <c r="G59" i="4"/>
  <c r="J59" i="4" s="1"/>
  <c r="F59" i="4"/>
  <c r="E59" i="4"/>
  <c r="D59" i="4"/>
  <c r="G58" i="4"/>
  <c r="F58" i="4"/>
  <c r="E58" i="4"/>
  <c r="D58" i="4"/>
  <c r="J58" i="4" s="1"/>
  <c r="F57" i="4"/>
  <c r="E57" i="4"/>
  <c r="D57" i="4"/>
  <c r="M56" i="4"/>
  <c r="L56" i="4"/>
  <c r="K56" i="4"/>
  <c r="J56" i="4"/>
  <c r="G56" i="4"/>
  <c r="F56" i="4"/>
  <c r="E56" i="4"/>
  <c r="D56" i="4"/>
  <c r="G55" i="4"/>
  <c r="F55" i="4"/>
  <c r="E55" i="4"/>
  <c r="D55" i="4"/>
  <c r="M55" i="4" s="1"/>
  <c r="J54" i="4"/>
  <c r="I54" i="4"/>
  <c r="O54" i="4" s="1"/>
  <c r="H54" i="4"/>
  <c r="F54" i="4"/>
  <c r="E54" i="4"/>
  <c r="K54" i="4" s="1"/>
  <c r="D54" i="4"/>
  <c r="F53" i="4"/>
  <c r="E53" i="4"/>
  <c r="D53" i="4"/>
  <c r="G52" i="4"/>
  <c r="K52" i="4" s="1"/>
  <c r="F52" i="4"/>
  <c r="E52" i="4"/>
  <c r="D52" i="4"/>
  <c r="H51" i="4"/>
  <c r="F51" i="4"/>
  <c r="E51" i="4"/>
  <c r="D51" i="4"/>
  <c r="I50" i="4"/>
  <c r="H50" i="4"/>
  <c r="F50" i="4"/>
  <c r="E50" i="4"/>
  <c r="D50" i="4"/>
  <c r="G49" i="4"/>
  <c r="J49" i="4" s="1"/>
  <c r="F49" i="4"/>
  <c r="E49" i="4"/>
  <c r="D49" i="4"/>
  <c r="D19" i="3" s="1"/>
  <c r="G19" i="3" s="1"/>
  <c r="L19" i="3" s="1"/>
  <c r="G48" i="4"/>
  <c r="K48" i="4" s="1"/>
  <c r="F48" i="4"/>
  <c r="E48" i="4"/>
  <c r="D48" i="4"/>
  <c r="O47" i="4"/>
  <c r="L47" i="4"/>
  <c r="K47" i="4"/>
  <c r="G47" i="4"/>
  <c r="J47" i="4" s="1"/>
  <c r="F47" i="4"/>
  <c r="F17" i="3" s="1"/>
  <c r="E47" i="4"/>
  <c r="D47" i="4"/>
  <c r="F46" i="4"/>
  <c r="E46" i="4"/>
  <c r="D46" i="4"/>
  <c r="J45" i="4"/>
  <c r="G45" i="4"/>
  <c r="K45" i="4" s="1"/>
  <c r="F45" i="4"/>
  <c r="E45" i="4"/>
  <c r="D45" i="4"/>
  <c r="F44" i="4"/>
  <c r="E44" i="4"/>
  <c r="D44" i="4"/>
  <c r="D14" i="3" s="1"/>
  <c r="F43" i="4"/>
  <c r="E43" i="4"/>
  <c r="D43" i="4"/>
  <c r="F42" i="4"/>
  <c r="E42" i="4"/>
  <c r="D42" i="4"/>
  <c r="G41" i="4"/>
  <c r="K41" i="4" s="1"/>
  <c r="F41" i="4"/>
  <c r="E41" i="4"/>
  <c r="D41" i="4"/>
  <c r="G40" i="4"/>
  <c r="F40" i="4"/>
  <c r="E40" i="4"/>
  <c r="D40" i="4"/>
  <c r="F39" i="4"/>
  <c r="F9" i="3" s="1"/>
  <c r="E39" i="4"/>
  <c r="D39" i="4"/>
  <c r="J39" i="4" s="1"/>
  <c r="G38" i="4"/>
  <c r="J38" i="4" s="1"/>
  <c r="F38" i="4"/>
  <c r="E38" i="4"/>
  <c r="D38" i="4"/>
  <c r="G37" i="4"/>
  <c r="K37" i="4" s="1"/>
  <c r="F37" i="4"/>
  <c r="E37" i="4"/>
  <c r="D37" i="4"/>
  <c r="J36" i="4"/>
  <c r="G36" i="4"/>
  <c r="F36" i="4"/>
  <c r="L36" i="4" s="1"/>
  <c r="E36" i="4"/>
  <c r="K36" i="4" s="1"/>
  <c r="D36" i="4"/>
  <c r="P35" i="4"/>
  <c r="F35" i="4"/>
  <c r="E35" i="4"/>
  <c r="D35" i="4"/>
  <c r="P34" i="4"/>
  <c r="Q34" i="4" s="1"/>
  <c r="M34" i="4"/>
  <c r="L34" i="4"/>
  <c r="G34" i="4"/>
  <c r="F34" i="4"/>
  <c r="E34" i="4"/>
  <c r="D34" i="4"/>
  <c r="J34" i="4" s="1"/>
  <c r="P33" i="4"/>
  <c r="F33" i="4"/>
  <c r="E33" i="4"/>
  <c r="D33" i="4"/>
  <c r="P32" i="4"/>
  <c r="F32" i="4"/>
  <c r="E32" i="4"/>
  <c r="D32" i="4"/>
  <c r="P31" i="4"/>
  <c r="R31" i="4" s="1"/>
  <c r="N31" i="4"/>
  <c r="H31" i="4"/>
  <c r="G31" i="4"/>
  <c r="J31" i="4" s="1"/>
  <c r="F31" i="4"/>
  <c r="E31" i="4"/>
  <c r="D31" i="4"/>
  <c r="Q30" i="4"/>
  <c r="P30" i="4"/>
  <c r="K30" i="4"/>
  <c r="J30" i="4"/>
  <c r="H30" i="4"/>
  <c r="G30" i="4"/>
  <c r="F30" i="4"/>
  <c r="L30" i="4" s="1"/>
  <c r="E30" i="4"/>
  <c r="D30" i="4"/>
  <c r="Q29" i="4"/>
  <c r="P29" i="4"/>
  <c r="F29" i="4"/>
  <c r="E29" i="4"/>
  <c r="D29" i="4"/>
  <c r="P28" i="4"/>
  <c r="Q28" i="4" s="1"/>
  <c r="F28" i="4"/>
  <c r="E28" i="4"/>
  <c r="D28" i="4"/>
  <c r="P27" i="4"/>
  <c r="I27" i="4"/>
  <c r="H27" i="4"/>
  <c r="G27" i="4"/>
  <c r="F27" i="4"/>
  <c r="E27" i="4"/>
  <c r="D27" i="4"/>
  <c r="M27" i="4" s="1"/>
  <c r="Q26" i="4"/>
  <c r="P26" i="4"/>
  <c r="G26" i="4"/>
  <c r="K26" i="4" s="1"/>
  <c r="F26" i="4"/>
  <c r="L26" i="4" s="1"/>
  <c r="E26" i="4"/>
  <c r="D26" i="4"/>
  <c r="P25" i="4"/>
  <c r="G25" i="4"/>
  <c r="F25" i="4"/>
  <c r="E25" i="4"/>
  <c r="D25" i="4"/>
  <c r="P24" i="4"/>
  <c r="H24" i="4"/>
  <c r="F24" i="4"/>
  <c r="E24" i="4"/>
  <c r="D24" i="4"/>
  <c r="P23" i="4"/>
  <c r="H23" i="4"/>
  <c r="G23" i="4"/>
  <c r="F23" i="4"/>
  <c r="E23" i="4"/>
  <c r="D23" i="4"/>
  <c r="P22" i="4"/>
  <c r="H22" i="4"/>
  <c r="F22" i="4"/>
  <c r="E22" i="4"/>
  <c r="D22" i="4"/>
  <c r="Q21" i="4"/>
  <c r="P21" i="4"/>
  <c r="G21" i="4"/>
  <c r="F21" i="4"/>
  <c r="E21" i="4"/>
  <c r="D21" i="4"/>
  <c r="Q20" i="4"/>
  <c r="P20" i="4"/>
  <c r="F20" i="4"/>
  <c r="E20" i="4"/>
  <c r="D20" i="4"/>
  <c r="P19" i="4"/>
  <c r="F19" i="4"/>
  <c r="E19" i="4"/>
  <c r="D19" i="4"/>
  <c r="P18" i="4"/>
  <c r="G18" i="4"/>
  <c r="Q18" i="4" s="1"/>
  <c r="F18" i="4"/>
  <c r="E18" i="4"/>
  <c r="D18" i="4"/>
  <c r="P17" i="4"/>
  <c r="F17" i="4"/>
  <c r="E17" i="4"/>
  <c r="D17" i="4"/>
  <c r="P16" i="4"/>
  <c r="G16" i="4"/>
  <c r="L16" i="4" s="1"/>
  <c r="F16" i="4"/>
  <c r="E16" i="4"/>
  <c r="D16" i="4"/>
  <c r="J16" i="4" s="1"/>
  <c r="P15" i="4"/>
  <c r="L15" i="4"/>
  <c r="K15" i="4"/>
  <c r="H15" i="4"/>
  <c r="F15" i="4"/>
  <c r="E15" i="4"/>
  <c r="D15" i="4"/>
  <c r="J15" i="4" s="1"/>
  <c r="P14" i="4"/>
  <c r="J14" i="4"/>
  <c r="G14" i="4"/>
  <c r="F14" i="4"/>
  <c r="L14" i="4" s="1"/>
  <c r="E14" i="4"/>
  <c r="D14" i="4"/>
  <c r="P13" i="4"/>
  <c r="F13" i="4"/>
  <c r="E13" i="4"/>
  <c r="D13" i="4"/>
  <c r="P12" i="4"/>
  <c r="G12" i="4"/>
  <c r="F12" i="4"/>
  <c r="L12" i="4" s="1"/>
  <c r="E12" i="4"/>
  <c r="K12" i="4" s="1"/>
  <c r="D12" i="4"/>
  <c r="P11" i="4"/>
  <c r="G11" i="4"/>
  <c r="J11" i="4" s="1"/>
  <c r="F11" i="4"/>
  <c r="E11" i="4"/>
  <c r="D11" i="4"/>
  <c r="P10" i="4"/>
  <c r="F10" i="4"/>
  <c r="E10" i="4"/>
  <c r="D10" i="4"/>
  <c r="P9" i="4"/>
  <c r="F9" i="4"/>
  <c r="E9" i="4"/>
  <c r="D9" i="4"/>
  <c r="P8" i="4"/>
  <c r="J8" i="4"/>
  <c r="G8" i="4"/>
  <c r="F8" i="4"/>
  <c r="E8" i="4"/>
  <c r="D8" i="4"/>
  <c r="P7" i="4"/>
  <c r="J7" i="4"/>
  <c r="G7" i="4"/>
  <c r="F7" i="4"/>
  <c r="E7" i="4"/>
  <c r="D7" i="4"/>
  <c r="M7" i="4" s="1"/>
  <c r="P6" i="4"/>
  <c r="F6" i="4"/>
  <c r="E6" i="4"/>
  <c r="D6" i="4"/>
  <c r="I20" i="3"/>
  <c r="H20" i="3"/>
  <c r="F20" i="3"/>
  <c r="E20" i="3"/>
  <c r="D20" i="3"/>
  <c r="F19" i="3"/>
  <c r="E18" i="3"/>
  <c r="D18" i="3"/>
  <c r="H16" i="3"/>
  <c r="I16" i="3" s="1"/>
  <c r="F16" i="3"/>
  <c r="E16" i="3"/>
  <c r="D16" i="3"/>
  <c r="E15" i="3"/>
  <c r="D15" i="3"/>
  <c r="H14" i="3"/>
  <c r="I14" i="3" s="1"/>
  <c r="G14" i="3"/>
  <c r="F14" i="3"/>
  <c r="E14" i="3"/>
  <c r="F13" i="3"/>
  <c r="F12" i="3"/>
  <c r="E12" i="3"/>
  <c r="D12" i="3"/>
  <c r="D9" i="3"/>
  <c r="G9" i="3" s="1"/>
  <c r="H8" i="3"/>
  <c r="G8" i="3"/>
  <c r="F8" i="3"/>
  <c r="E8" i="3"/>
  <c r="D8" i="3"/>
  <c r="E7" i="3"/>
  <c r="D7" i="3"/>
  <c r="D6" i="3"/>
  <c r="K21" i="2"/>
  <c r="K17" i="2"/>
  <c r="K16" i="2"/>
  <c r="K12" i="2"/>
  <c r="K20" i="2" s="1"/>
  <c r="K11" i="2"/>
  <c r="K10" i="2"/>
  <c r="K9" i="2"/>
  <c r="K19" i="2" s="1"/>
  <c r="K8" i="2"/>
  <c r="K7" i="2"/>
  <c r="N45" i="4" l="1"/>
  <c r="M45" i="4"/>
  <c r="H29" i="4"/>
  <c r="K29" i="10"/>
  <c r="I29" i="4" s="1"/>
  <c r="R29" i="4" s="1"/>
  <c r="R10" i="4"/>
  <c r="H25" i="4"/>
  <c r="K25" i="10"/>
  <c r="I25" i="4" s="1"/>
  <c r="G15" i="3"/>
  <c r="L15" i="3" s="1"/>
  <c r="M29" i="4"/>
  <c r="H21" i="4"/>
  <c r="K21" i="10"/>
  <c r="I21" i="4" s="1"/>
  <c r="R21" i="4" s="1"/>
  <c r="K13" i="4"/>
  <c r="K61" i="10"/>
  <c r="I61" i="4" s="1"/>
  <c r="M61" i="4" s="1"/>
  <c r="H12" i="3"/>
  <c r="I12" i="3" s="1"/>
  <c r="L10" i="4"/>
  <c r="M20" i="4"/>
  <c r="J20" i="4"/>
  <c r="O23" i="4"/>
  <c r="K8" i="10"/>
  <c r="I8" i="4" s="1"/>
  <c r="O8" i="4" s="1"/>
  <c r="K12" i="10"/>
  <c r="I12" i="4" s="1"/>
  <c r="R12" i="4" s="1"/>
  <c r="G57" i="4"/>
  <c r="N20" i="4"/>
  <c r="K20" i="4"/>
  <c r="H45" i="4"/>
  <c r="M54" i="4"/>
  <c r="K13" i="10"/>
  <c r="I13" i="4" s="1"/>
  <c r="O13" i="4" s="1"/>
  <c r="G13" i="4"/>
  <c r="L13" i="4" s="1"/>
  <c r="J57" i="10"/>
  <c r="H57" i="4" s="1"/>
  <c r="K18" i="4"/>
  <c r="Q24" i="4"/>
  <c r="L18" i="4"/>
  <c r="J25" i="4"/>
  <c r="J63" i="4"/>
  <c r="K39" i="10"/>
  <c r="I39" i="4" s="1"/>
  <c r="M39" i="4" s="1"/>
  <c r="N25" i="4"/>
  <c r="E13" i="3"/>
  <c r="K43" i="4"/>
  <c r="N43" i="4"/>
  <c r="K63" i="4"/>
  <c r="F17" i="2" s="1"/>
  <c r="Q25" i="4"/>
  <c r="K25" i="4"/>
  <c r="L25" i="4"/>
  <c r="L39" i="4"/>
  <c r="G12" i="2" s="1"/>
  <c r="H65" i="4"/>
  <c r="K65" i="10"/>
  <c r="I65" i="4" s="1"/>
  <c r="K60" i="4"/>
  <c r="H40" i="4"/>
  <c r="K40" i="10"/>
  <c r="I40" i="4" s="1"/>
  <c r="N40" i="4" s="1"/>
  <c r="Q31" i="4"/>
  <c r="L60" i="4"/>
  <c r="L31" i="4"/>
  <c r="Q11" i="2"/>
  <c r="D13" i="15" s="1"/>
  <c r="E13" i="15" s="1"/>
  <c r="K29" i="4"/>
  <c r="N29" i="4"/>
  <c r="M40" i="4"/>
  <c r="J40" i="4"/>
  <c r="D10" i="3"/>
  <c r="K40" i="4"/>
  <c r="E10" i="3"/>
  <c r="J48" i="4"/>
  <c r="K17" i="10"/>
  <c r="I17" i="4" s="1"/>
  <c r="G17" i="4"/>
  <c r="H36" i="4"/>
  <c r="K36" i="10"/>
  <c r="I36" i="4" s="1"/>
  <c r="N36" i="4" s="1"/>
  <c r="O45" i="4"/>
  <c r="L45" i="4"/>
  <c r="F15" i="3"/>
  <c r="H32" i="4"/>
  <c r="K32" i="10"/>
  <c r="I32" i="4" s="1"/>
  <c r="R32" i="4" s="1"/>
  <c r="Q10" i="4"/>
  <c r="H20" i="4"/>
  <c r="H18" i="4"/>
  <c r="K18" i="10"/>
  <c r="I18" i="4" s="1"/>
  <c r="R18" i="4" s="1"/>
  <c r="H18" i="3"/>
  <c r="I18" i="3" s="1"/>
  <c r="K9" i="10"/>
  <c r="I9" i="4" s="1"/>
  <c r="O9" i="4" s="1"/>
  <c r="G9" i="4"/>
  <c r="J9" i="4" s="1"/>
  <c r="Q27" i="4"/>
  <c r="L27" i="4"/>
  <c r="K27" i="4"/>
  <c r="F10" i="2" s="1"/>
  <c r="L37" i="4"/>
  <c r="F7" i="3"/>
  <c r="K38" i="10"/>
  <c r="I38" i="4" s="1"/>
  <c r="M38" i="4" s="1"/>
  <c r="H38" i="4"/>
  <c r="L8" i="4"/>
  <c r="R33" i="4"/>
  <c r="H14" i="4"/>
  <c r="K14" i="10"/>
  <c r="I14" i="4" s="1"/>
  <c r="R14" i="4" s="1"/>
  <c r="L8" i="3"/>
  <c r="K8" i="4"/>
  <c r="Q8" i="4"/>
  <c r="M21" i="4"/>
  <c r="O27" i="4"/>
  <c r="N27" i="4"/>
  <c r="R27" i="4"/>
  <c r="N54" i="4"/>
  <c r="K53" i="10"/>
  <c r="I53" i="4" s="1"/>
  <c r="K6" i="2"/>
  <c r="I8" i="3"/>
  <c r="J27" i="4"/>
  <c r="K34" i="4"/>
  <c r="N34" i="4"/>
  <c r="K43" i="10"/>
  <c r="I43" i="4" s="1"/>
  <c r="O43" i="4" s="1"/>
  <c r="O34" i="4"/>
  <c r="N63" i="4"/>
  <c r="K44" i="10"/>
  <c r="I44" i="4" s="1"/>
  <c r="G44" i="4"/>
  <c r="H64" i="4"/>
  <c r="K64" i="10"/>
  <c r="I64" i="4" s="1"/>
  <c r="O64" i="4" s="1"/>
  <c r="L51" i="4"/>
  <c r="O51" i="4"/>
  <c r="J43" i="4"/>
  <c r="M43" i="4"/>
  <c r="D13" i="3"/>
  <c r="J9" i="3"/>
  <c r="K9" i="3" s="1"/>
  <c r="G35" i="4"/>
  <c r="R30" i="4"/>
  <c r="N30" i="4"/>
  <c r="M30" i="4"/>
  <c r="K9" i="4"/>
  <c r="O22" i="4"/>
  <c r="O31" i="4"/>
  <c r="Q12" i="4"/>
  <c r="J29" i="4"/>
  <c r="O39" i="4"/>
  <c r="L48" i="4"/>
  <c r="O48" i="4"/>
  <c r="F18" i="3"/>
  <c r="J18" i="3" s="1"/>
  <c r="K18" i="3" s="1"/>
  <c r="O52" i="4"/>
  <c r="J6" i="11"/>
  <c r="R22" i="4"/>
  <c r="N16" i="4"/>
  <c r="O16" i="4"/>
  <c r="R16" i="4"/>
  <c r="E6" i="3"/>
  <c r="O36" i="4"/>
  <c r="F6" i="3"/>
  <c r="J6" i="3" s="1"/>
  <c r="K6" i="3" s="1"/>
  <c r="L12" i="3"/>
  <c r="G12" i="3"/>
  <c r="J18" i="4"/>
  <c r="K49" i="10"/>
  <c r="I49" i="4" s="1"/>
  <c r="M49" i="4" s="1"/>
  <c r="H49" i="4"/>
  <c r="Q15" i="4"/>
  <c r="L40" i="4"/>
  <c r="O40" i="4"/>
  <c r="K11" i="4"/>
  <c r="J35" i="4"/>
  <c r="J52" i="4"/>
  <c r="J55" i="4"/>
  <c r="L58" i="4"/>
  <c r="K58" i="4"/>
  <c r="H10" i="4"/>
  <c r="K10" i="10"/>
  <c r="I10" i="4" s="1"/>
  <c r="O10" i="4" s="1"/>
  <c r="L9" i="3"/>
  <c r="K7" i="4"/>
  <c r="N7" i="4"/>
  <c r="L11" i="4"/>
  <c r="K14" i="4"/>
  <c r="L28" i="4"/>
  <c r="L61" i="4"/>
  <c r="K41" i="10"/>
  <c r="I41" i="4" s="1"/>
  <c r="N41" i="4" s="1"/>
  <c r="J13" i="3"/>
  <c r="K13" i="3" s="1"/>
  <c r="L7" i="4"/>
  <c r="O7" i="4"/>
  <c r="K16" i="4"/>
  <c r="J28" i="4"/>
  <c r="E11" i="3"/>
  <c r="L14" i="3"/>
  <c r="M47" i="4"/>
  <c r="L52" i="4"/>
  <c r="N55" i="4"/>
  <c r="L64" i="4"/>
  <c r="J12" i="4"/>
  <c r="Q16" i="4"/>
  <c r="L23" i="4"/>
  <c r="J26" i="4"/>
  <c r="Q32" i="4"/>
  <c r="F11" i="3"/>
  <c r="L41" i="4"/>
  <c r="E17" i="3"/>
  <c r="N47" i="4"/>
  <c r="K15" i="10"/>
  <c r="I15" i="4" s="1"/>
  <c r="R15" i="4" s="1"/>
  <c r="K24" i="10"/>
  <c r="I24" i="4" s="1"/>
  <c r="R24" i="4" s="1"/>
  <c r="G24" i="4"/>
  <c r="J37" i="10"/>
  <c r="K46" i="10"/>
  <c r="I46" i="4" s="1"/>
  <c r="G46" i="4"/>
  <c r="J60" i="10"/>
  <c r="M16" i="4"/>
  <c r="O30" i="4"/>
  <c r="M58" i="4"/>
  <c r="N23" i="4"/>
  <c r="K23" i="4"/>
  <c r="J37" i="4"/>
  <c r="E12" i="2" s="1"/>
  <c r="K59" i="10"/>
  <c r="I59" i="4" s="1"/>
  <c r="N59" i="4" s="1"/>
  <c r="H59" i="4"/>
  <c r="G6" i="3"/>
  <c r="L6" i="3" s="1"/>
  <c r="G16" i="3"/>
  <c r="L16" i="3" s="1"/>
  <c r="L9" i="4"/>
  <c r="L55" i="4"/>
  <c r="K55" i="4"/>
  <c r="J21" i="4"/>
  <c r="L38" i="4"/>
  <c r="K33" i="10"/>
  <c r="I33" i="4" s="1"/>
  <c r="M33" i="4" s="1"/>
  <c r="G51" i="4"/>
  <c r="K51" i="4" s="1"/>
  <c r="K51" i="10"/>
  <c r="I51" i="4" s="1"/>
  <c r="N51" i="4" s="1"/>
  <c r="F10" i="3"/>
  <c r="Q9" i="4"/>
  <c r="K21" i="4"/>
  <c r="N33" i="4"/>
  <c r="J41" i="4"/>
  <c r="J50" i="4"/>
  <c r="M50" i="4"/>
  <c r="O56" i="4"/>
  <c r="M59" i="4"/>
  <c r="K28" i="10"/>
  <c r="I28" i="4" s="1"/>
  <c r="G42" i="4"/>
  <c r="L42" i="4" s="1"/>
  <c r="K42" i="10"/>
  <c r="I42" i="4" s="1"/>
  <c r="J12" i="3" s="1"/>
  <c r="K12" i="3" s="1"/>
  <c r="R7" i="4"/>
  <c r="L21" i="4"/>
  <c r="K50" i="4"/>
  <c r="N50" i="4"/>
  <c r="J53" i="4"/>
  <c r="M53" i="4"/>
  <c r="J42" i="10"/>
  <c r="H42" i="4" s="1"/>
  <c r="D17" i="3"/>
  <c r="J20" i="3"/>
  <c r="K20" i="3" s="1"/>
  <c r="Q7" i="4"/>
  <c r="J10" i="4"/>
  <c r="M10" i="4"/>
  <c r="O17" i="4"/>
  <c r="L17" i="4"/>
  <c r="G8" i="2" s="1"/>
  <c r="K24" i="4"/>
  <c r="O26" i="4"/>
  <c r="G33" i="4"/>
  <c r="J33" i="4" s="1"/>
  <c r="E11" i="2" s="1"/>
  <c r="Q35" i="4"/>
  <c r="O50" i="4"/>
  <c r="K53" i="4"/>
  <c r="N53" i="4"/>
  <c r="L59" i="4"/>
  <c r="M23" i="4"/>
  <c r="J23" i="4"/>
  <c r="G6" i="4"/>
  <c r="K6" i="10"/>
  <c r="O19" i="4"/>
  <c r="G20" i="3"/>
  <c r="L20" i="3" s="1"/>
  <c r="M20" i="3" s="1"/>
  <c r="N20" i="3" s="1"/>
  <c r="K10" i="4"/>
  <c r="N10" i="4"/>
  <c r="L19" i="4"/>
  <c r="M36" i="4"/>
  <c r="K42" i="4"/>
  <c r="G50" i="4"/>
  <c r="L50" i="4" s="1"/>
  <c r="O53" i="4"/>
  <c r="K52" i="10"/>
  <c r="I52" i="4" s="1"/>
  <c r="R23" i="4"/>
  <c r="M48" i="4"/>
  <c r="K26" i="10"/>
  <c r="I26" i="4" s="1"/>
  <c r="M26" i="4" s="1"/>
  <c r="Q11" i="4"/>
  <c r="Q23" i="4"/>
  <c r="N38" i="4"/>
  <c r="K38" i="4"/>
  <c r="F12" i="2" s="1"/>
  <c r="M41" i="4"/>
  <c r="D11" i="3"/>
  <c r="M51" i="4"/>
  <c r="J51" i="4"/>
  <c r="G22" i="4"/>
  <c r="K22" i="10"/>
  <c r="I22" i="4" s="1"/>
  <c r="M22" i="4" s="1"/>
  <c r="J26" i="10"/>
  <c r="H26" i="4" s="1"/>
  <c r="J32" i="4"/>
  <c r="G62" i="4"/>
  <c r="K62" i="4" s="1"/>
  <c r="K32" i="4"/>
  <c r="E19" i="3"/>
  <c r="K49" i="4"/>
  <c r="K58" i="10"/>
  <c r="I58" i="4" s="1"/>
  <c r="O58" i="4" s="1"/>
  <c r="J62" i="10"/>
  <c r="H62" i="4" s="1"/>
  <c r="K39" i="4"/>
  <c r="E9" i="3"/>
  <c r="N39" i="4"/>
  <c r="O49" i="4"/>
  <c r="L49" i="4"/>
  <c r="K57" i="4"/>
  <c r="F16" i="2" s="1"/>
  <c r="L62" i="4"/>
  <c r="Q14" i="4"/>
  <c r="O20" i="4"/>
  <c r="L20" i="4"/>
  <c r="L29" i="4"/>
  <c r="N46" i="4"/>
  <c r="N22" i="4"/>
  <c r="K31" i="4"/>
  <c r="O46" i="4"/>
  <c r="N58" i="4"/>
  <c r="K11" i="10"/>
  <c r="I11" i="4" s="1"/>
  <c r="M11" i="4" s="1"/>
  <c r="K19" i="10"/>
  <c r="I19" i="4" s="1"/>
  <c r="G19" i="4"/>
  <c r="J35" i="10"/>
  <c r="H35" i="4" s="1"/>
  <c r="M17" i="4"/>
  <c r="O29" i="4"/>
  <c r="K46" i="4"/>
  <c r="F14" i="2" s="1"/>
  <c r="M12" i="3" l="1"/>
  <c r="N12" i="3" s="1"/>
  <c r="O65" i="4"/>
  <c r="N65" i="4"/>
  <c r="M65" i="4"/>
  <c r="H15" i="2"/>
  <c r="G11" i="3"/>
  <c r="L11" i="3" s="1"/>
  <c r="F7" i="2"/>
  <c r="H13" i="2"/>
  <c r="L13" i="2" s="1"/>
  <c r="P13" i="2" s="1"/>
  <c r="R28" i="4"/>
  <c r="N28" i="4"/>
  <c r="O28" i="4"/>
  <c r="J42" i="4"/>
  <c r="O61" i="4"/>
  <c r="E10" i="2"/>
  <c r="O21" i="4"/>
  <c r="N44" i="4"/>
  <c r="M44" i="4"/>
  <c r="O44" i="4"/>
  <c r="J14" i="3"/>
  <c r="K14" i="3" s="1"/>
  <c r="M14" i="3" s="1"/>
  <c r="N14" i="3" s="1"/>
  <c r="Q33" i="4"/>
  <c r="G18" i="3"/>
  <c r="L18" i="3" s="1"/>
  <c r="M18" i="3" s="1"/>
  <c r="N18" i="3" s="1"/>
  <c r="J14" i="2"/>
  <c r="N14" i="2" s="1"/>
  <c r="O14" i="2" s="1"/>
  <c r="J6" i="4"/>
  <c r="E6" i="2" s="1"/>
  <c r="K6" i="4"/>
  <c r="F6" i="2" s="1"/>
  <c r="K33" i="4"/>
  <c r="F11" i="2" s="1"/>
  <c r="M18" i="4"/>
  <c r="H8" i="2" s="1"/>
  <c r="L8" i="2" s="1"/>
  <c r="H13" i="3"/>
  <c r="I13" i="3" s="1"/>
  <c r="M13" i="3" s="1"/>
  <c r="N13" i="3" s="1"/>
  <c r="R11" i="4"/>
  <c r="M28" i="4"/>
  <c r="H10" i="2" s="1"/>
  <c r="L10" i="2" s="1"/>
  <c r="P10" i="2" s="1"/>
  <c r="N14" i="4"/>
  <c r="J15" i="3"/>
  <c r="K15" i="3" s="1"/>
  <c r="H15" i="3"/>
  <c r="I15" i="3" s="1"/>
  <c r="M15" i="3" s="1"/>
  <c r="N15" i="3" s="1"/>
  <c r="L57" i="4"/>
  <c r="G16" i="2" s="1"/>
  <c r="J57" i="4"/>
  <c r="E16" i="2" s="1"/>
  <c r="O25" i="4"/>
  <c r="R25" i="4"/>
  <c r="N49" i="4"/>
  <c r="Q6" i="4"/>
  <c r="N9" i="4"/>
  <c r="G7" i="2"/>
  <c r="J8" i="3"/>
  <c r="K8" i="3" s="1"/>
  <c r="K57" i="10"/>
  <c r="I57" i="4" s="1"/>
  <c r="J22" i="4"/>
  <c r="E9" i="2" s="1"/>
  <c r="E19" i="2" s="1"/>
  <c r="L22" i="4"/>
  <c r="K22" i="4"/>
  <c r="F9" i="2" s="1"/>
  <c r="G9" i="2"/>
  <c r="I8" i="2"/>
  <c r="M8" i="2" s="1"/>
  <c r="I10" i="3"/>
  <c r="H10" i="3"/>
  <c r="E15" i="2"/>
  <c r="N61" i="4"/>
  <c r="G13" i="3"/>
  <c r="L13" i="3"/>
  <c r="N42" i="4"/>
  <c r="I13" i="2" s="1"/>
  <c r="M13" i="2" s="1"/>
  <c r="M42" i="4"/>
  <c r="O42" i="4"/>
  <c r="H17" i="3"/>
  <c r="I17" i="3"/>
  <c r="J15" i="2"/>
  <c r="O41" i="4"/>
  <c r="J13" i="2" s="1"/>
  <c r="N13" i="2" s="1"/>
  <c r="G17" i="2"/>
  <c r="O32" i="4"/>
  <c r="N32" i="4"/>
  <c r="M32" i="4"/>
  <c r="H9" i="3"/>
  <c r="I9" i="3"/>
  <c r="M9" i="3" s="1"/>
  <c r="N9" i="3" s="1"/>
  <c r="J13" i="4"/>
  <c r="E7" i="2" s="1"/>
  <c r="K44" i="4"/>
  <c r="F13" i="2" s="1"/>
  <c r="F20" i="2" s="1"/>
  <c r="L44" i="4"/>
  <c r="G13" i="2" s="1"/>
  <c r="G20" i="2" s="1"/>
  <c r="J44" i="4"/>
  <c r="I6" i="4"/>
  <c r="H19" i="3"/>
  <c r="I19" i="3" s="1"/>
  <c r="M19" i="3" s="1"/>
  <c r="N19" i="3" s="1"/>
  <c r="J19" i="3"/>
  <c r="K19" i="3" s="1"/>
  <c r="G17" i="3"/>
  <c r="L17" i="3" s="1"/>
  <c r="O12" i="4"/>
  <c r="N12" i="4"/>
  <c r="M12" i="4"/>
  <c r="O11" i="4"/>
  <c r="J17" i="3"/>
  <c r="K17" i="3" s="1"/>
  <c r="K62" i="10"/>
  <c r="I62" i="4" s="1"/>
  <c r="H60" i="4"/>
  <c r="K60" i="10"/>
  <c r="I60" i="4" s="1"/>
  <c r="M25" i="4"/>
  <c r="H9" i="2" s="1"/>
  <c r="R13" i="4"/>
  <c r="F15" i="2"/>
  <c r="F21" i="2" s="1"/>
  <c r="N21" i="4"/>
  <c r="I9" i="2" s="1"/>
  <c r="N52" i="4"/>
  <c r="M52" i="4"/>
  <c r="O59" i="4"/>
  <c r="J16" i="3"/>
  <c r="K16" i="3" s="1"/>
  <c r="M16" i="3" s="1"/>
  <c r="N16" i="3" s="1"/>
  <c r="M46" i="4"/>
  <c r="H14" i="2" s="1"/>
  <c r="L14" i="2" s="1"/>
  <c r="Q22" i="4"/>
  <c r="N13" i="4"/>
  <c r="L6" i="4"/>
  <c r="G6" i="2" s="1"/>
  <c r="G10" i="2"/>
  <c r="R17" i="4"/>
  <c r="N17" i="4"/>
  <c r="N11" i="4"/>
  <c r="O33" i="4"/>
  <c r="O38" i="4"/>
  <c r="L24" i="4"/>
  <c r="J24" i="4"/>
  <c r="K35" i="4"/>
  <c r="L35" i="4"/>
  <c r="N15" i="4"/>
  <c r="M15" i="4"/>
  <c r="O15" i="4"/>
  <c r="R9" i="4"/>
  <c r="M9" i="4"/>
  <c r="G10" i="3"/>
  <c r="L10" i="3" s="1"/>
  <c r="J10" i="2"/>
  <c r="N10" i="2" s="1"/>
  <c r="G15" i="2"/>
  <c r="Q19" i="4"/>
  <c r="K19" i="4"/>
  <c r="J19" i="4"/>
  <c r="J11" i="3"/>
  <c r="K11" i="3" s="1"/>
  <c r="N64" i="4"/>
  <c r="M64" i="4"/>
  <c r="M13" i="4"/>
  <c r="R19" i="4"/>
  <c r="N19" i="4"/>
  <c r="M19" i="4"/>
  <c r="O14" i="4"/>
  <c r="M14" i="4"/>
  <c r="H7" i="2" s="1"/>
  <c r="L7" i="2" s="1"/>
  <c r="E13" i="2"/>
  <c r="E20" i="2" s="1"/>
  <c r="N26" i="4"/>
  <c r="I10" i="2" s="1"/>
  <c r="M10" i="2" s="1"/>
  <c r="R26" i="4"/>
  <c r="R8" i="4"/>
  <c r="N8" i="4"/>
  <c r="M8" i="4"/>
  <c r="I14" i="2"/>
  <c r="M14" i="2" s="1"/>
  <c r="J10" i="3"/>
  <c r="K10" i="3" s="1"/>
  <c r="Q13" i="4"/>
  <c r="I15" i="2"/>
  <c r="H6" i="3"/>
  <c r="D14" i="15" s="1"/>
  <c r="E14" i="15" s="1"/>
  <c r="H7" i="3"/>
  <c r="G7" i="3"/>
  <c r="L7" i="3" s="1"/>
  <c r="J7" i="3"/>
  <c r="K7" i="3" s="1"/>
  <c r="D8" i="15" s="1"/>
  <c r="E8" i="15" s="1"/>
  <c r="J62" i="4"/>
  <c r="E17" i="2" s="1"/>
  <c r="J46" i="4"/>
  <c r="E14" i="2" s="1"/>
  <c r="L46" i="4"/>
  <c r="G14" i="2" s="1"/>
  <c r="O18" i="4"/>
  <c r="J8" i="2" s="1"/>
  <c r="N8" i="2" s="1"/>
  <c r="O8" i="2" s="1"/>
  <c r="M8" i="3"/>
  <c r="N8" i="3" s="1"/>
  <c r="Q17" i="4"/>
  <c r="K17" i="4"/>
  <c r="F8" i="2" s="1"/>
  <c r="J17" i="4"/>
  <c r="E8" i="2" s="1"/>
  <c r="L33" i="4"/>
  <c r="G11" i="2" s="1"/>
  <c r="H37" i="4"/>
  <c r="K37" i="10"/>
  <c r="I37" i="4" s="1"/>
  <c r="K18" i="2"/>
  <c r="K22" i="2"/>
  <c r="M24" i="4"/>
  <c r="O24" i="4"/>
  <c r="N24" i="4"/>
  <c r="H11" i="3"/>
  <c r="I11" i="3" s="1"/>
  <c r="K35" i="10"/>
  <c r="I35" i="4" s="1"/>
  <c r="N18" i="4"/>
  <c r="L9" i="2" l="1"/>
  <c r="P8" i="2"/>
  <c r="M11" i="3"/>
  <c r="N11" i="3" s="1"/>
  <c r="F19" i="2"/>
  <c r="M10" i="3"/>
  <c r="N10" i="3" s="1"/>
  <c r="N62" i="4"/>
  <c r="O62" i="4"/>
  <c r="M62" i="4"/>
  <c r="H17" i="2" s="1"/>
  <c r="L17" i="2" s="1"/>
  <c r="I6" i="3"/>
  <c r="M6" i="3" s="1"/>
  <c r="N6" i="3" s="1"/>
  <c r="M15" i="2"/>
  <c r="G22" i="2"/>
  <c r="G18" i="2"/>
  <c r="G21" i="2"/>
  <c r="O10" i="2"/>
  <c r="J9" i="2"/>
  <c r="M9" i="2"/>
  <c r="I11" i="2"/>
  <c r="M11" i="2" s="1"/>
  <c r="L15" i="2"/>
  <c r="E18" i="2"/>
  <c r="E22" i="2"/>
  <c r="D11" i="15" s="1"/>
  <c r="E11" i="15" s="1"/>
  <c r="O35" i="4"/>
  <c r="J11" i="2" s="1"/>
  <c r="N11" i="2" s="1"/>
  <c r="O11" i="2" s="1"/>
  <c r="N35" i="4"/>
  <c r="M35" i="4"/>
  <c r="H11" i="2" s="1"/>
  <c r="R35" i="4"/>
  <c r="J7" i="2"/>
  <c r="N7" i="2" s="1"/>
  <c r="D7" i="15"/>
  <c r="E7" i="15" s="1"/>
  <c r="I7" i="3"/>
  <c r="M7" i="3" s="1"/>
  <c r="N7" i="3" s="1"/>
  <c r="N15" i="2"/>
  <c r="P14" i="2"/>
  <c r="J17" i="2"/>
  <c r="N17" i="2" s="1"/>
  <c r="N6" i="4"/>
  <c r="I6" i="2" s="1"/>
  <c r="R6" i="4"/>
  <c r="O6" i="4"/>
  <c r="J6" i="2" s="1"/>
  <c r="M6" i="4"/>
  <c r="H6" i="2" s="1"/>
  <c r="N37" i="4"/>
  <c r="I12" i="2" s="1"/>
  <c r="O37" i="4"/>
  <c r="J12" i="2" s="1"/>
  <c r="M37" i="4"/>
  <c r="H12" i="2" s="1"/>
  <c r="E21" i="2"/>
  <c r="G19" i="2"/>
  <c r="M60" i="4"/>
  <c r="N60" i="4"/>
  <c r="O60" i="4"/>
  <c r="M57" i="4"/>
  <c r="H16" i="2" s="1"/>
  <c r="L16" i="2" s="1"/>
  <c r="N57" i="4"/>
  <c r="I16" i="2" s="1"/>
  <c r="M16" i="2" s="1"/>
  <c r="O57" i="4"/>
  <c r="J16" i="2" s="1"/>
  <c r="N16" i="2" s="1"/>
  <c r="O16" i="2" s="1"/>
  <c r="F22" i="2"/>
  <c r="F18" i="2"/>
  <c r="I7" i="2"/>
  <c r="M7" i="2" s="1"/>
  <c r="O13" i="2"/>
  <c r="M17" i="3"/>
  <c r="N17" i="3" s="1"/>
  <c r="I17" i="2"/>
  <c r="M17" i="2" s="1"/>
  <c r="D18" i="15"/>
  <c r="E18" i="15" s="1"/>
  <c r="L11" i="2" l="1"/>
  <c r="P11" i="2" s="1"/>
  <c r="H19" i="2"/>
  <c r="I19" i="2"/>
  <c r="O17" i="2"/>
  <c r="O7" i="2"/>
  <c r="H20" i="2"/>
  <c r="L12" i="2"/>
  <c r="I20" i="2"/>
  <c r="M12" i="2"/>
  <c r="M20" i="2" s="1"/>
  <c r="H18" i="2"/>
  <c r="H22" i="2"/>
  <c r="L6" i="2"/>
  <c r="N9" i="2"/>
  <c r="J19" i="2"/>
  <c r="M6" i="2"/>
  <c r="I18" i="2"/>
  <c r="I22" i="2"/>
  <c r="N12" i="2"/>
  <c r="J20" i="2"/>
  <c r="M19" i="2"/>
  <c r="J18" i="2"/>
  <c r="J22" i="2"/>
  <c r="N6" i="2"/>
  <c r="M21" i="2"/>
  <c r="N21" i="2"/>
  <c r="O15" i="2"/>
  <c r="O21" i="2" s="1"/>
  <c r="I21" i="2"/>
  <c r="J21" i="2"/>
  <c r="P17" i="2"/>
  <c r="P16" i="2"/>
  <c r="P7" i="2"/>
  <c r="P15" i="2"/>
  <c r="P21" i="2" s="1"/>
  <c r="L21" i="2"/>
  <c r="H21" i="2"/>
  <c r="N18" i="2" l="1"/>
  <c r="N22" i="2"/>
  <c r="D12" i="15" s="1"/>
  <c r="E12" i="15" s="1"/>
  <c r="O6" i="2"/>
  <c r="N20" i="2"/>
  <c r="O12" i="2"/>
  <c r="O20" i="2" s="1"/>
  <c r="D10" i="15" s="1"/>
  <c r="E10" i="15" s="1"/>
  <c r="M22" i="2"/>
  <c r="M18" i="2"/>
  <c r="N19" i="2"/>
  <c r="O9" i="2"/>
  <c r="O19" i="2" s="1"/>
  <c r="L18" i="2"/>
  <c r="P6" i="2"/>
  <c r="L22" i="2"/>
  <c r="L19" i="2"/>
  <c r="P9" i="2"/>
  <c r="P19" i="2" s="1"/>
  <c r="L20" i="2"/>
  <c r="P12" i="2"/>
  <c r="P20" i="2" s="1"/>
  <c r="P22" i="2" l="1"/>
  <c r="P18" i="2"/>
  <c r="O22" i="2"/>
  <c r="D9" i="15" s="1"/>
  <c r="E9" i="15" s="1"/>
  <c r="O18" i="2"/>
</calcChain>
</file>

<file path=xl/sharedStrings.xml><?xml version="1.0" encoding="utf-8"?>
<sst xmlns="http://schemas.openxmlformats.org/spreadsheetml/2006/main" count="3105" uniqueCount="554">
  <si>
    <t>SC01 통합 가상 데이터 설계 v0.1</t>
  </si>
  <si>
    <t>작성일 2026-10-18 | 실제 운영연도와 무관한 가상 시점 2027년 | 금액 원, 물량 대분</t>
  </si>
  <si>
    <t>ID</t>
  </si>
  <si>
    <t>주제</t>
  </si>
  <si>
    <t>설계 내용</t>
  </si>
  <si>
    <t>상태·메모</t>
  </si>
  <si>
    <t>D01</t>
  </si>
  <si>
    <t>데이터 목적</t>
  </si>
  <si>
    <t>UI01~UI06을 동일한 가상 데이터로 채우고 장면1의 재현·검증에 사용. 새로운 수치·회사 규모 배분·달력은 제안.</t>
  </si>
  <si>
    <t>공동 검토</t>
  </si>
  <si>
    <t>D02</t>
  </si>
  <si>
    <t>배경과 범위</t>
  </si>
  <si>
    <t>회사 전체 매출 약1조원은 배경. 상세 데이터는 A제품·울산공장의 가상 5모델 집계 범위. 전사 1조원과 이 범위를 억지로 맞추지 않음.</t>
  </si>
  <si>
    <t>UI01에 범위 명시</t>
  </si>
  <si>
    <t>D03</t>
  </si>
  <si>
    <t>원천</t>
  </si>
  <si>
    <t>수치 출처: 본 대화의 b모델 10000/9500/8800, 단위공헌이익20000 및 경보. 나머지는 작성한 가상 가정. 실제 회사 자료 없음.</t>
  </si>
  <si>
    <t>가상 데이터</t>
  </si>
  <si>
    <t>D04</t>
  </si>
  <si>
    <t>시간</t>
  </si>
  <si>
    <t>가상 2027-06-16 수신. 실적마감 5월, 누계실적 컷오프6/15. 7월 사건. 원천은7~9월 전체물량. 10~12월은 내부가정.</t>
  </si>
  <si>
    <t>제안</t>
  </si>
  <si>
    <t>D05</t>
  </si>
  <si>
    <t>고객·공장</t>
  </si>
  <si>
    <t>CUS-HK=현대·기아 합산 가상 고객군. ULS=울산. A-a~A-e. 실제 적용에서는 고객 법인별로 분리. 40% 일괄 곱셈 금지.</t>
  </si>
  <si>
    <t>배정물량 직접 사용</t>
  </si>
  <si>
    <t>D06</t>
  </si>
  <si>
    <t>모델</t>
  </si>
  <si>
    <t>a 고단가·소량, b 저단가·다량. c~e 비교용. 단위공헌이익은 분석용 가정이며 고급모델 수익성 우월을 의미하지 않음.</t>
  </si>
  <si>
    <t>원가 검토 필요</t>
  </si>
  <si>
    <t>D07</t>
  </si>
  <si>
    <t>계획과 승인</t>
  </si>
  <si>
    <t>T01 고정 목표. F01 승인 전망. F02 확인된 검토중 전망. UI01 기본승인값 F01, 사건 영향보기 F02. F02를 자동 공식 전망으로 승격하지 않음.</t>
  </si>
  <si>
    <t>합의 원칙 반영</t>
  </si>
  <si>
    <t>D08</t>
  </si>
  <si>
    <t>완성월과 월중</t>
  </si>
  <si>
    <t>F01/F02의1~5월=확정실적. 6월=6/15누계+6/16~30잔여전망. 월전체 전망에 누계를 재가산하지 않음.</t>
  </si>
  <si>
    <t>6월 실적 숫자는 월 누계</t>
  </si>
  <si>
    <t>D09</t>
  </si>
  <si>
    <t>미래 정보</t>
  </si>
  <si>
    <t>7월 b 감소만 반영. 8·9월 원천은 직전과 동일. 10~12월은 변화가 없다는 내부 가정. 700 감소를 이후월에 자동 전파하지 않음.</t>
  </si>
  <si>
    <t>가정과 고객정보 분리</t>
  </si>
  <si>
    <t>D10</t>
  </si>
  <si>
    <t>재무 기준</t>
  </si>
  <si>
    <t>매출=납품수량×단가. 변동비=재료+외주+내부변동가공비. 공헌이익=매출−변동비. 공장관리손익=공헌이익−공장고정비.</t>
  </si>
  <si>
    <t>납품=생산 가정·재고효과 제외</t>
  </si>
  <si>
    <t>D11</t>
  </si>
  <si>
    <t>손익 범위</t>
  </si>
  <si>
    <t>본사공통비·금융비용·세금 제외. 공장고정비는 한 번만 차감하고 모델별 배부손익은 만들지 않음.</t>
  </si>
  <si>
    <t>회계 전사 영업이익과 구분</t>
  </si>
  <si>
    <t>D12</t>
  </si>
  <si>
    <t>SC01 가격</t>
  </si>
  <si>
    <t>T01/F01/F02에서 C01 단가·원가 동일. 물량 영향만 분리. 원재료·외주단가 상승은 장면2에서 새 버전으로 추가.</t>
  </si>
  <si>
    <t>중복계산 방지</t>
  </si>
  <si>
    <t>D13</t>
  </si>
  <si>
    <t>초기 Risk</t>
  </si>
  <si>
    <t>7월 a·b는 F01에서 목표부족5%로 관심 이슈가 이미 열려 있음. F02에서 b가 중요로 상승. 기존 ISSUE-B07에 새 run·근거 연결.</t>
  </si>
  <si>
    <t>신규 이슈 중복 금지</t>
  </si>
  <si>
    <t>D14</t>
  </si>
  <si>
    <t>주변 모델</t>
  </si>
  <si>
    <t>c·d·e는 목표·실적에 소폭 차이가 있지만 F01→F02 변경 없음. 기본 시연에 추가 중요경보 없음.</t>
  </si>
  <si>
    <t>선택 예외는 별도 데이터</t>
  </si>
  <si>
    <t>D15</t>
  </si>
  <si>
    <t>상태 분리</t>
  </si>
  <si>
    <t>자료확인/계산상태/위험수준/업무상태/승인은 별도. 장면완료는 후속업무 인수이지 F02승인이나 위험해소 아님.</t>
  </si>
  <si>
    <t>UI05·06</t>
  </si>
  <si>
    <t>D16</t>
  </si>
  <si>
    <t>달력·기한</t>
  </si>
  <si>
    <t>데모: 토·일 제외, 평일09~18시, 별도 공휴일없음. 6/16 배정 일반업무6/17 18시, 분석보고6/18 18시. 실제 한국 공휴일 달력 아님.</t>
  </si>
  <si>
    <t>D17</t>
  </si>
  <si>
    <t>초기화</t>
  </si>
  <si>
    <t>DB 별도 demo_run_id로 분리. S0 시드 적재 후 EV01~EV07 순서 실행. 초기화는 해당 데모실행의 생성값만 삭제하고 S0 복원.</t>
  </si>
  <si>
    <t>운영 데이터와 분리</t>
  </si>
  <si>
    <t>D18</t>
  </si>
  <si>
    <t>계산예시 관계</t>
  </si>
  <si>
    <t>이전 연간100→85→97억원은 설명용 예시. 본 데이터의 손익은 기초수량·가격·원가에서 계산한 값으로 대체. 목표를 맞추는 임의 보정 없음.</t>
  </si>
  <si>
    <t>검토사항</t>
  </si>
  <si>
    <t>D19</t>
  </si>
  <si>
    <t>불포함</t>
  </si>
  <si>
    <t>B제품·평택 상세, 실제 고객 포털 연동, 제조원가 원장·BOM, 본사비 배부는 본 데이터에 미포함. 다음 장면 필요시 확장.</t>
  </si>
  <si>
    <t>범위 통제</t>
  </si>
  <si>
    <t>D20</t>
  </si>
  <si>
    <t>수정 방법</t>
  </si>
  <si>
    <t>모델기준의 가격·원가 수정→단위원가·손익 집계 갱신. 기준물량·전망계수 변경은 시드 재생성 필요. 물량스냅샷은 확정 시드이며 원천 재변환은 개발 기능.</t>
  </si>
  <si>
    <t>Excel에 자동적재 구현 안함</t>
  </si>
  <si>
    <t>D21</t>
  </si>
  <si>
    <t>읽는 순서</t>
  </si>
  <si>
    <t>설계안→월분기연간→SC01검증→업무이력→원천·사전. 숫자수정시 정합성검증 확인. 개발은 row5의 영문 키로 적재 가능.</t>
  </si>
  <si>
    <t>자료형·키는 데이터사전</t>
  </si>
  <si>
    <t>A제품·울산공장 관리손익</t>
  </si>
  <si>
    <t>원. F01=승인 전망, F02=검토중 전망. a~e만 집계. 회사 전체1조원과 구분.</t>
  </si>
  <si>
    <t>기간</t>
  </si>
  <si>
    <t>시작월</t>
  </si>
  <si>
    <t>종료월</t>
  </si>
  <si>
    <t>기간 성격</t>
  </si>
  <si>
    <t>T매출</t>
  </si>
  <si>
    <t>F01매출</t>
  </si>
  <si>
    <t>F02매출</t>
  </si>
  <si>
    <t>T공헌이익</t>
  </si>
  <si>
    <t>F01공헌이익</t>
  </si>
  <si>
    <t>F02공헌이익</t>
  </si>
  <si>
    <t>공장고정비</t>
  </si>
  <si>
    <t>T관리손익</t>
  </si>
  <si>
    <t>F01관리손익</t>
  </si>
  <si>
    <t>F02관리손익</t>
  </si>
  <si>
    <t>사건순영향</t>
  </si>
  <si>
    <t>목표차이</t>
  </si>
  <si>
    <t>6월잔여물량</t>
  </si>
  <si>
    <t>1월</t>
  </si>
  <si>
    <t>확정실적</t>
  </si>
  <si>
    <t>2월</t>
  </si>
  <si>
    <t>3월</t>
  </si>
  <si>
    <t>4월</t>
  </si>
  <si>
    <t>5월</t>
  </si>
  <si>
    <t>6월</t>
  </si>
  <si>
    <t>6/15누계+잔여전망</t>
  </si>
  <si>
    <t>7월</t>
  </si>
  <si>
    <t>전망</t>
  </si>
  <si>
    <t>8월</t>
  </si>
  <si>
    <t>9월</t>
  </si>
  <si>
    <t>10월</t>
  </si>
  <si>
    <t>11월</t>
  </si>
  <si>
    <t>12월</t>
  </si>
  <si>
    <t>Q1</t>
  </si>
  <si>
    <t>Q2</t>
  </si>
  <si>
    <t>실적+전망</t>
  </si>
  <si>
    <t>Q3</t>
  </si>
  <si>
    <t>Q4</t>
  </si>
  <si>
    <t>연간</t>
  </si>
  <si>
    <t>공급전망 변경·위험 검증</t>
  </si>
  <si>
    <t>3개월×5모델. F01→F02 비교. a의 기존 관심, b의 중요 상승, c~e의 정상 유지를 확인.</t>
  </si>
  <si>
    <t>run_id</t>
  </si>
  <si>
    <t>period</t>
  </si>
  <si>
    <t>model_id</t>
  </si>
  <si>
    <t>Target</t>
  </si>
  <si>
    <t>Prior</t>
  </si>
  <si>
    <t>Latest</t>
  </si>
  <si>
    <t>달성률</t>
  </si>
  <si>
    <t>추가감소</t>
  </si>
  <si>
    <t>감소율</t>
  </si>
  <si>
    <t>순손익영향</t>
  </si>
  <si>
    <t>감소액</t>
  </si>
  <si>
    <t>목표부족률</t>
  </si>
  <si>
    <t>위험수준</t>
  </si>
  <si>
    <t>업무 연결</t>
  </si>
  <si>
    <t>RUN-F02-001</t>
  </si>
  <si>
    <t>A-a</t>
  </si>
  <si>
    <t>A-b</t>
  </si>
  <si>
    <t>A-c</t>
  </si>
  <si>
    <t>A-d</t>
  </si>
  <si>
    <t>A-e</t>
  </si>
  <si>
    <t>모델·월별 손익 계산</t>
  </si>
  <si>
    <t>원. 모델별 고정비 배부 없음. F01/F02 동일 가격·원가로 사건의 물량 영향만 분리.</t>
  </si>
  <si>
    <t>quarter</t>
  </si>
  <si>
    <t>T_qty</t>
  </si>
  <si>
    <t>F01_qty</t>
  </si>
  <si>
    <t>F02_qty</t>
  </si>
  <si>
    <t>price</t>
  </si>
  <si>
    <t>variable_cost</t>
  </si>
  <si>
    <t>unit_cm</t>
  </si>
  <si>
    <t>T_revenue</t>
  </si>
  <si>
    <t>F01_revenue</t>
  </si>
  <si>
    <t>F02_revenue</t>
  </si>
  <si>
    <t>T_cm</t>
  </si>
  <si>
    <t>F01_cm</t>
  </si>
  <si>
    <t>F02_cm</t>
  </si>
  <si>
    <t>actual_qty</t>
  </si>
  <si>
    <t>actual_revenue</t>
  </si>
  <si>
    <t>actual_cm</t>
  </si>
  <si>
    <t>모델·단위원가 기준 가정</t>
  </si>
  <si>
    <t>모든 원가·가격은 가상 제안. b는 외주비 비중이 높음. A-a 수익성 우위를 전제하지 않음.</t>
  </si>
  <si>
    <t>성격</t>
  </si>
  <si>
    <t>customer_id</t>
  </si>
  <si>
    <t>plant_id</t>
  </si>
  <si>
    <t>기준월수량</t>
  </si>
  <si>
    <t>단가_원</t>
  </si>
  <si>
    <t>재료비_원</t>
  </si>
  <si>
    <t>외주비_원</t>
  </si>
  <si>
    <t>변동가공비_원</t>
  </si>
  <si>
    <t>미래전망계수</t>
  </si>
  <si>
    <t>변동비_원</t>
  </si>
  <si>
    <t>공헌이익_원</t>
  </si>
  <si>
    <t>고급차종</t>
  </si>
  <si>
    <t>CUS-HK</t>
  </si>
  <si>
    <t>ULS</t>
  </si>
  <si>
    <t>소형차종</t>
  </si>
  <si>
    <t>일반차종1</t>
  </si>
  <si>
    <t>일반차종2</t>
  </si>
  <si>
    <t>일반차종3</t>
  </si>
  <si>
    <t>버전과 적용 시점</t>
  </si>
  <si>
    <t>시각은 KST 표시 문자열; 구현 시 ISO8601 +09:00으로 변환. 원천 수신 시각과 실적 컷오프를 구분.</t>
  </si>
  <si>
    <t>version_id</t>
  </si>
  <si>
    <t>종류</t>
  </si>
  <si>
    <t>기준시각</t>
  </si>
  <si>
    <t>대상기간</t>
  </si>
  <si>
    <t>상태</t>
  </si>
  <si>
    <t>source_id</t>
  </si>
  <si>
    <t>actual_cutoff</t>
  </si>
  <si>
    <t>설명</t>
  </si>
  <si>
    <t>비고</t>
  </si>
  <si>
    <t>T01</t>
  </si>
  <si>
    <t>2026-12-20 18:00:00 KST</t>
  </si>
  <si>
    <t>2027-01~12</t>
  </si>
  <si>
    <t>승인</t>
  </si>
  <si>
    <t>NONE</t>
  </si>
  <si>
    <t>2027연간목표</t>
  </si>
  <si>
    <t>원본 유지</t>
  </si>
  <si>
    <t>CP01</t>
  </si>
  <si>
    <t>CustomerPlan</t>
  </si>
  <si>
    <t>2027-06-01 09:00:00 KST</t>
  </si>
  <si>
    <t>2027-07~09</t>
  </si>
  <si>
    <t>고객확인</t>
  </si>
  <si>
    <t>SRC01</t>
  </si>
  <si>
    <t>당사배정 월전체</t>
  </si>
  <si>
    <t>40% 재적용 금지</t>
  </si>
  <si>
    <t>F01</t>
  </si>
  <si>
    <t>Forecast</t>
  </si>
  <si>
    <t>2027-06-15 18:00:00 KST</t>
  </si>
  <si>
    <t>2027-06-15</t>
  </si>
  <si>
    <t>직전 승인 전망</t>
  </si>
  <si>
    <t>과거=실적,10~12=내부가정</t>
  </si>
  <si>
    <t>CP02</t>
  </si>
  <si>
    <t>2027-06-16 09:00:00 KST</t>
  </si>
  <si>
    <t>수신→확인</t>
  </si>
  <si>
    <t>SRC02</t>
  </si>
  <si>
    <t>7월b만700감소</t>
  </si>
  <si>
    <t>F02</t>
  </si>
  <si>
    <t>2027-06-16 10:10:00 KST</t>
  </si>
  <si>
    <t>확인·검토중</t>
  </si>
  <si>
    <t>사건 후 검토 전망</t>
  </si>
  <si>
    <t>승인 전. 기존 승인값F01 유지</t>
  </si>
  <si>
    <t>C01</t>
  </si>
  <si>
    <t>Cost</t>
  </si>
  <si>
    <t>2027-06-01 00:00:00 KST</t>
  </si>
  <si>
    <t>SYNTHETIC</t>
  </si>
  <si>
    <t>같은 단가·원가 기준</t>
  </si>
  <si>
    <t>장면2는 C02로 확장</t>
  </si>
  <si>
    <t>R01-v1</t>
  </si>
  <si>
    <t>Rule</t>
  </si>
  <si>
    <t>Pilot기준</t>
  </si>
  <si>
    <t>v0.5합의</t>
  </si>
  <si>
    <t>모델·월별 경보</t>
  </si>
  <si>
    <t>규칙은 아래 수치표</t>
  </si>
  <si>
    <t>rule_key</t>
  </si>
  <si>
    <t>value</t>
  </si>
  <si>
    <t>감소율_관심</t>
  </si>
  <si>
    <t>감소율_중요</t>
  </si>
  <si>
    <t>감소액_관심</t>
  </si>
  <si>
    <t>감소액_중요</t>
  </si>
  <si>
    <t>부족률_관심</t>
  </si>
  <si>
    <t>부족률_중요</t>
  </si>
  <si>
    <t>고객 생산계획 시드</t>
  </si>
  <si>
    <t>30행=2버전×3개월×5모델. 원천은 당사 배정물량이며 원본을 보존.</t>
  </si>
  <si>
    <t>customer_plan_id</t>
  </si>
  <si>
    <t>quantity</t>
  </si>
  <si>
    <t>unit</t>
  </si>
  <si>
    <t>quantity_scope</t>
  </si>
  <si>
    <t>allocation_scope</t>
  </si>
  <si>
    <t>mapping_basis</t>
  </si>
  <si>
    <t>certainty</t>
  </si>
  <si>
    <t>대분</t>
  </si>
  <si>
    <t>FULL_MONTH</t>
  </si>
  <si>
    <t>ASSIGNED_SUPPLY</t>
  </si>
  <si>
    <t>직접매핑</t>
  </si>
  <si>
    <t>고객계획상 물량</t>
  </si>
  <si>
    <t>목표·직전·최신 공급물량</t>
  </si>
  <si>
    <t>180행=3버전×12개월×5모델. PK=version/customer/plant/model/period. 계획 전체월 값에 누계 재가산 금지.</t>
  </si>
  <si>
    <t>basis</t>
  </si>
  <si>
    <t>source_ref</t>
  </si>
  <si>
    <t>status</t>
  </si>
  <si>
    <t>TARGET</t>
  </si>
  <si>
    <t>목표</t>
  </si>
  <si>
    <t>ACTUAL</t>
  </si>
  <si>
    <t>ACT01</t>
  </si>
  <si>
    <t>마감실적</t>
  </si>
  <si>
    <t>ACTUAL_PLUS_FORECAST</t>
  </si>
  <si>
    <t>ACT06+INTERNAL</t>
  </si>
  <si>
    <t>누계+내부가정</t>
  </si>
  <si>
    <t>FORECAST</t>
  </si>
  <si>
    <t>INTERNAL</t>
  </si>
  <si>
    <t>내부가정</t>
  </si>
  <si>
    <t>확정 월실적과 6월 누계</t>
  </si>
  <si>
    <t>30행. 6월16일 이후 실적은 존재하지 않음. 6월 누계비중45%는 가상 가정.</t>
  </si>
  <si>
    <t>actual_version</t>
  </si>
  <si>
    <t>cutoff_date</t>
  </si>
  <si>
    <t>coverage</t>
  </si>
  <si>
    <t>CLOSED_MONTH</t>
  </si>
  <si>
    <t>확정</t>
  </si>
  <si>
    <t>ACT06</t>
  </si>
  <si>
    <t>MONTH_TO_DATE</t>
  </si>
  <si>
    <t>누계확인</t>
  </si>
  <si>
    <t>모델·월별 단가 및 변동비</t>
  </si>
  <si>
    <t>60행. 원가버전C01. 원/대분. 가격·재료·외주·변동가공비만으로 공헌이익 계산.</t>
  </si>
  <si>
    <t>cost_version</t>
  </si>
  <si>
    <t>unit_price</t>
  </si>
  <si>
    <t>material</t>
  </si>
  <si>
    <t>outsource</t>
  </si>
  <si>
    <t>variable_conversion</t>
  </si>
  <si>
    <t>unit_variable_cost</t>
  </si>
  <si>
    <t>공장 고정비 기준</t>
  </si>
  <si>
    <t>원. 월 고정비 3억7천만원. 실제비용은1~5월 월액동일,6/15누계50% 가정. 미래실적은 빈칸.</t>
  </si>
  <si>
    <t>fixed_labor</t>
  </si>
  <si>
    <t>depreciation</t>
  </si>
  <si>
    <t>facility</t>
  </si>
  <si>
    <t>other_fixed</t>
  </si>
  <si>
    <t>extra_fixed</t>
  </si>
  <si>
    <t>total_fixed</t>
  </si>
  <si>
    <t>actual_fixed</t>
  </si>
  <si>
    <t>월전체 고정비. 세 전망 동일</t>
  </si>
  <si>
    <t>기본 시연의 상태 전개와 시드</t>
  </si>
  <si>
    <t>이 표는 이벤트 실행명세. UI에는 현재 단계까지의 행만 노출. 묶인 task는 적재시 개별 행 생성.</t>
  </si>
  <si>
    <t>event_id</t>
  </si>
  <si>
    <t>event_at</t>
  </si>
  <si>
    <t>event_type</t>
  </si>
  <si>
    <t>issue_id</t>
  </si>
  <si>
    <t>risk_level</t>
  </si>
  <si>
    <t>task_state</t>
  </si>
  <si>
    <t>actor_role</t>
  </si>
  <si>
    <t>due_at</t>
  </si>
  <si>
    <t>evidence</t>
  </si>
  <si>
    <t>종료·처리 조건</t>
  </si>
  <si>
    <t>S0</t>
  </si>
  <si>
    <t>기준적재</t>
  </si>
  <si>
    <t>ISSUE-A07/ISSUE-B07</t>
  </si>
  <si>
    <t>RUN-F01-001</t>
  </si>
  <si>
    <t>관심/관심</t>
  </si>
  <si>
    <t>기존 이슈 관리중</t>
  </si>
  <si>
    <t>영업팀장</t>
  </si>
  <si>
    <t>T01·F01·CP01·ACT·C01·R01</t>
  </si>
  <si>
    <t>F02/SRC02 미노출. 7월a,b 부족률5%</t>
  </si>
  <si>
    <t>EV01</t>
  </si>
  <si>
    <t>새계획수신</t>
  </si>
  <si>
    <t>ISSUE-B07</t>
  </si>
  <si>
    <t>이전수준 유지</t>
  </si>
  <si>
    <t>TASK-DQ 접수</t>
  </si>
  <si>
    <t>영업담당</t>
  </si>
  <si>
    <t>2027-06-17 18:00:00 KST</t>
  </si>
  <si>
    <t>SRC02/CP02</t>
  </si>
  <si>
    <t>a~e 7~9월. b7월만 감소</t>
  </si>
  <si>
    <t>EV02</t>
  </si>
  <si>
    <t>2027-06-16 10:00:00 KST</t>
  </si>
  <si>
    <t>원천확인</t>
  </si>
  <si>
    <t>TASK-DQ 완료</t>
  </si>
  <si>
    <t>source_id=SRC02</t>
  </si>
  <si>
    <t>매핑·단위·월전체·배정물량 확인</t>
  </si>
  <si>
    <t>EV03</t>
  </si>
  <si>
    <t>비교계산</t>
  </si>
  <si>
    <t>중요</t>
  </si>
  <si>
    <t>TASK-SALES 검토중</t>
  </si>
  <si>
    <t>F02/T01/F01/C01/R01-v1</t>
  </si>
  <si>
    <t>F02는 확인·검토중. 자동 승인 없음</t>
  </si>
  <si>
    <t>EV04</t>
  </si>
  <si>
    <t>2027-06-16 11:00:00 KST</t>
  </si>
  <si>
    <t>후속배정</t>
  </si>
  <si>
    <t>TASK-PROD/TASK-MAT 접수</t>
  </si>
  <si>
    <t>생산담당/자재담당</t>
  </si>
  <si>
    <t>생산·자재영향 검토요청</t>
  </si>
  <si>
    <t>변경승인 임원상신은 권한에 따름</t>
  </si>
  <si>
    <t>EV05</t>
  </si>
  <si>
    <t>2027-06-16 11:05:00 KST</t>
  </si>
  <si>
    <t>Review요청</t>
  </si>
  <si>
    <t>TASK-FIN 접수</t>
  </si>
  <si>
    <t>경영관리담당</t>
  </si>
  <si>
    <t>2027-06-18 18:00:00 KST</t>
  </si>
  <si>
    <t>통합손익 보고요청</t>
  </si>
  <si>
    <t>장면1 종료 시 분석완료 아님</t>
  </si>
  <si>
    <t>EV06</t>
  </si>
  <si>
    <t>2027-06-16 11:30:00 KST</t>
  </si>
  <si>
    <t>현업인수</t>
  </si>
  <si>
    <t>TASK-PROD/TASK-MAT 확인중</t>
  </si>
  <si>
    <t>각 인수자·시각 기록</t>
  </si>
  <si>
    <t>두 task는 구현시 각각 행 생성</t>
  </si>
  <si>
    <t>EV07</t>
  </si>
  <si>
    <t>2027-06-16 11:45:00 KST</t>
  </si>
  <si>
    <t>경영관리인수</t>
  </si>
  <si>
    <t>TASK-FIN 작성중 / SC01완료</t>
  </si>
  <si>
    <t>인계완료·후속추적</t>
  </si>
  <si>
    <t>F02 승인상태는 검토중 유지</t>
  </si>
  <si>
    <t>기본 데이터에서 분리한 예외 변형</t>
  </si>
  <si>
    <t>각 변형은 BASE 시드를 복원한 후 지정 필드만 변경. 실제 구현 시 입력 파일·응답 검증으로 전환.</t>
  </si>
  <si>
    <t>case_id</t>
  </si>
  <si>
    <t>목적</t>
  </si>
  <si>
    <t>기준</t>
  </si>
  <si>
    <t>변경할 값</t>
  </si>
  <si>
    <t>기대 계산·표시</t>
  </si>
  <si>
    <t>기대 업무</t>
  </si>
  <si>
    <t>초기화·주의</t>
  </si>
  <si>
    <t>BASE</t>
  </si>
  <si>
    <t>기본</t>
  </si>
  <si>
    <t>7월b 8800</t>
  </si>
  <si>
    <t>중요,700감소,14백만원감소</t>
  </si>
  <si>
    <t>기존 ISSUE-B07 갱신</t>
  </si>
  <si>
    <t>기본 S0부터 실행</t>
  </si>
  <si>
    <t>EX01</t>
  </si>
  <si>
    <t>경보없는 변경</t>
  </si>
  <si>
    <t>SRC02 변형</t>
  </si>
  <si>
    <t>7월c 5940→5900</t>
  </si>
  <si>
    <t>감소율0.6734%,목표부족1.6667%,감소액112만원; 기준이내</t>
  </si>
  <si>
    <t>현업검토 필요, 중요Review 자동생성 없음</t>
  </si>
  <si>
    <t>BASE와 별도 실행</t>
  </si>
  <si>
    <t>EX02</t>
  </si>
  <si>
    <t>누락</t>
  </si>
  <si>
    <t>7월b quantity=NULL</t>
  </si>
  <si>
    <t>데이터보완,확정 계산·승인보류</t>
  </si>
  <si>
    <t>0으로 대체 금지</t>
  </si>
  <si>
    <t>오류행은 정상 시드에 미적재</t>
  </si>
  <si>
    <t>EX03</t>
  </si>
  <si>
    <t>정정</t>
  </si>
  <si>
    <t>SRC03 / CP03</t>
  </si>
  <si>
    <t>7월b 8800→9000; 다른 값CP02 유지</t>
  </si>
  <si>
    <t>F03,새run. 직전승인F01대비500감소·1천만원→중요</t>
  </si>
  <si>
    <t>F02대비+200은 정정내역,공식 비교는F01</t>
  </si>
  <si>
    <t>이전run 보존</t>
  </si>
  <si>
    <t>EX04</t>
  </si>
  <si>
    <t>합계상쇄</t>
  </si>
  <si>
    <t>7월c 5940→6500, b8800 유지</t>
  </si>
  <si>
    <t>c 순효과+1568만원; b−1400만원;합계+168만원</t>
  </si>
  <si>
    <t>b 중요경보 유지</t>
  </si>
  <si>
    <t>현재 단위공헌이익 적용</t>
  </si>
  <si>
    <t>EX05</t>
  </si>
  <si>
    <t>확인된0</t>
  </si>
  <si>
    <t>7월b quantity=0</t>
  </si>
  <si>
    <t>9500감소,100%추가감소,1억9천만원감소</t>
  </si>
  <si>
    <t>중요·현업/경영검토</t>
  </si>
  <si>
    <t>누락과 구분</t>
  </si>
  <si>
    <t>EX06</t>
  </si>
  <si>
    <t>직전0</t>
  </si>
  <si>
    <t>독립 테스트</t>
  </si>
  <si>
    <t>b Prior0,Latest100,Target100</t>
  </si>
  <si>
    <t>감소율 미산출,절대변화·손익 검토</t>
  </si>
  <si>
    <t>신규/재개 모델 별도검토</t>
  </si>
  <si>
    <t>기본 계산시트는 양의 분모 전용</t>
  </si>
  <si>
    <t>EX07</t>
  </si>
  <si>
    <t>기한초과</t>
  </si>
  <si>
    <t>EV04 이후</t>
  </si>
  <si>
    <t>미인수 상태로6/17 18시 경과</t>
  </si>
  <si>
    <t>담당/상위검토자 알림</t>
  </si>
  <si>
    <t>장면종료 조건 미충족</t>
  </si>
  <si>
    <t>가상시계 이동</t>
  </si>
  <si>
    <t>EX08</t>
  </si>
  <si>
    <t>Agent실패</t>
  </si>
  <si>
    <t>요약생성실패</t>
  </si>
  <si>
    <t>원천·규칙 계산은 보존,수동 검토 가능</t>
  </si>
  <si>
    <t>업무 완료로 오표시 금지</t>
  </si>
  <si>
    <t>실패로그와 대체입력</t>
  </si>
  <si>
    <t>적재·연결 및 자료형 계약</t>
  </si>
  <si>
    <t>영문 헤더=키. 한글 헤더는 분석 표시용. 이 설계는 논리 데이터 계약이며 물리DB/API는 후속 구현명세.</t>
  </si>
  <si>
    <t>데이터</t>
  </si>
  <si>
    <t>기본키 / 항목</t>
  </si>
  <si>
    <t>자료형·성격</t>
  </si>
  <si>
    <t>행수 / 값</t>
  </si>
  <si>
    <t>연결·처리 기준</t>
  </si>
  <si>
    <t>모델기준</t>
  </si>
  <si>
    <t>문자,PK</t>
  </si>
  <si>
    <t>A-a~A-e</t>
  </si>
  <si>
    <t>고객·공장 고정 범위. 숫자 드라이버는 가상값</t>
  </si>
  <si>
    <t>버전기준</t>
  </si>
  <si>
    <t>T01/F01/F02/CP01/CP02/C01/R01-v1</t>
  </si>
  <si>
    <t>plan_kind·기준시점·확인/승인상태·actual_cutoff 참조</t>
  </si>
  <si>
    <t>고객원천</t>
  </si>
  <si>
    <t>customer_plan_id+customer_id+plant_id+model_id+period</t>
  </si>
  <si>
    <t>복합PK</t>
  </si>
  <si>
    <t>2×3×5=30행</t>
  </si>
  <si>
    <t>period=월초DATE,quantity=정수대분,전체월·당사배정</t>
  </si>
  <si>
    <t>물량스냅샷</t>
  </si>
  <si>
    <t>version_id+customer_id+plant_id+model_id+period</t>
  </si>
  <si>
    <t>3×12×5=180행</t>
  </si>
  <si>
    <t>기초 데이터. basis ACTUAL/ACTUAL_PLUS_FORECAST/FORECAST/TARGET</t>
  </si>
  <si>
    <t>실적</t>
  </si>
  <si>
    <t>actual_version+customer_id+plant_id+model_id+period</t>
  </si>
  <si>
    <t>6×5=30행</t>
  </si>
  <si>
    <t>cutoff_date=DATE. 6월행은월누계, 이후실적 없음</t>
  </si>
  <si>
    <t>단위원가</t>
  </si>
  <si>
    <t>cost_version+customer_id+plant_id+model_id+period</t>
  </si>
  <si>
    <t>12×5=60행</t>
  </si>
  <si>
    <t>원/대분 DECIMAL. 금액=수량×단가. Excel은기준에서계산</t>
  </si>
  <si>
    <t>고정비</t>
  </si>
  <si>
    <t>plant_id+period</t>
  </si>
  <si>
    <t>12행</t>
  </si>
  <si>
    <t>원 DECIMAL. 세 전망 동일. 공장합계에서1회 차감</t>
  </si>
  <si>
    <t>손익계산</t>
  </si>
  <si>
    <t>period+model_id</t>
  </si>
  <si>
    <t>파생 뷰 키</t>
  </si>
  <si>
    <t>60행</t>
  </si>
  <si>
    <t>원천버전별 수량·매출·공헌이익. 미래 actual은NULL</t>
  </si>
  <si>
    <t>월분기연간</t>
  </si>
  <si>
    <t>출력 뷰</t>
  </si>
  <si>
    <t>12개월+4분기+연간</t>
  </si>
  <si>
    <t>월합계→분기→연간. 비율 단순평균 금지</t>
  </si>
  <si>
    <t>SC01검증</t>
  </si>
  <si>
    <t>run_id+period+model_id</t>
  </si>
  <si>
    <t>파생 결과키</t>
  </si>
  <si>
    <t>15행</t>
  </si>
  <si>
    <t>지표ID는열→적재시long 형태변환. 원가·규칙버전run에고정</t>
  </si>
  <si>
    <t>업무이력</t>
  </si>
  <si>
    <t>이벤트 명세 키</t>
  </si>
  <si>
    <t>8단계</t>
  </si>
  <si>
    <t>task_id/issue_id/run_id FK. 실제 task·actor·상태이력은개별행</t>
  </si>
  <si>
    <t>예외케이스</t>
  </si>
  <si>
    <t>독립 fixture 키</t>
  </si>
  <si>
    <t>BASE+8개 예외</t>
  </si>
  <si>
    <t>NULL과0 구분. 잘못된 원천을 기본 시드에 혼합금지</t>
  </si>
  <si>
    <t>공통</t>
  </si>
  <si>
    <t>금액·시각·상태</t>
  </si>
  <si>
    <t>규약</t>
  </si>
  <si>
    <t>원,대분,DATE,시각은 KST문자열→ISO8601+09:00</t>
  </si>
  <si>
    <t>빈 미래실적=NULL,확인된0=0. 위험·업무·승인상태 분리</t>
  </si>
  <si>
    <t>적재순서</t>
  </si>
  <si>
    <t>기준→버전→원천→물량·실적·원가→파생→이슈·업무</t>
  </si>
  <si>
    <t>의존 관계</t>
  </si>
  <si>
    <t>행순서 대신 위 PK로 연결</t>
  </si>
  <si>
    <t>seed_id=SYN-SC01-v0.1, demo_run_id 별도 추가</t>
  </si>
  <si>
    <t>갱신</t>
  </si>
  <si>
    <t>입력수정→원천검증→내부전망생성→계산→업무판단</t>
  </si>
  <si>
    <t>재생성 규칙</t>
  </si>
  <si>
    <t>기존버전 보존</t>
  </si>
  <si>
    <t>원천과스냅샷을각각 수동수정하지말고 생성서비스에서 일치검증</t>
  </si>
  <si>
    <t>연간전망</t>
  </si>
  <si>
    <t>실적+잔여전망</t>
  </si>
  <si>
    <t>적용 규칙</t>
  </si>
  <si>
    <t>1~5월 actual,6월누계+잔여,7~12전망</t>
  </si>
  <si>
    <t>기준일 이후확정실적 유출 금지. 승인값과검토값 구분</t>
  </si>
  <si>
    <t>데이터 정합성 검증</t>
  </si>
  <si>
    <t>차이0=일치. PK·FK·행수·원천버전·예외값은 생성 코드에서 추가 검증. Excel native앱 실행은 미검증.</t>
  </si>
  <si>
    <t>검증 내용</t>
  </si>
  <si>
    <t>기대값</t>
  </si>
  <si>
    <t>계산값</t>
  </si>
  <si>
    <t>차이</t>
  </si>
  <si>
    <t>V01</t>
  </si>
  <si>
    <t>기본 시드행수</t>
  </si>
  <si>
    <t>V02</t>
  </si>
  <si>
    <t>b7월추가감소</t>
  </si>
  <si>
    <t>V03</t>
  </si>
  <si>
    <t>b7월감소액</t>
  </si>
  <si>
    <t>V04</t>
  </si>
  <si>
    <t>연간사건순효과</t>
  </si>
  <si>
    <t>V05</t>
  </si>
  <si>
    <t>Q3사건순효과</t>
  </si>
  <si>
    <t>V06</t>
  </si>
  <si>
    <t>연간매출=분기합</t>
  </si>
  <si>
    <t>V07</t>
  </si>
  <si>
    <t>연간손익=분기합</t>
  </si>
  <si>
    <t>V08</t>
  </si>
  <si>
    <t>6월누계+잔여=월전망</t>
  </si>
  <si>
    <t>V09</t>
  </si>
  <si>
    <t>a7월추가감소</t>
  </si>
  <si>
    <t>V10</t>
  </si>
  <si>
    <t>원천CP02와F02의7~9월 차이</t>
  </si>
  <si>
    <t>V11</t>
  </si>
  <si>
    <t>1~5월F02물량=마감실적</t>
  </si>
  <si>
    <t>V12</t>
  </si>
  <si>
    <t>공장고정비=12개월합</t>
  </si>
  <si>
    <t>V13</t>
  </si>
  <si>
    <t>가격−변동비=기준공헌이익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</si>
</sst>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[Red]\(#,##0\);&quot;-&quot;"/>
    <numFmt numFmtId="177" formatCode="0.0%"/>
    <numFmt numFmtId="178" formatCode="yyyy\-mm\-dd"/>
  </numFmts>
  <fonts count="11">
    <font>
      <sz val="11"/>
      <name val="Carlito"/>
    </font>
    <font>
      <sz val="10"/>
      <color rgb="FF26394D"/>
      <name val="Noto Sans CJK KR"/>
    </font>
    <font>
      <b/>
      <sz val="15"/>
      <color rgb="FF17324D"/>
      <name val="Noto Sans CJK KR"/>
    </font>
    <font>
      <sz val="10"/>
      <color rgb="FF627184"/>
      <name val="Noto Sans CJK KR"/>
    </font>
    <font>
      <b/>
      <sz val="10"/>
      <color rgb="FFFFFFFF"/>
      <name val="Noto Sans CJK KR"/>
    </font>
    <font>
      <sz val="10"/>
      <color rgb="FF0000FF"/>
      <name val="Noto Sans CJK KR"/>
    </font>
    <font>
      <sz val="10"/>
      <color rgb="FF222222"/>
      <name val="Noto Sans CJK KR"/>
    </font>
    <font>
      <sz val="11"/>
      <color rgb="FF0000FF"/>
      <name val="Carlito"/>
    </font>
    <font>
      <sz val="10"/>
      <color rgb="FF008000"/>
      <name val="Noto Sans CJK KR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0F4F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2" borderId="0" xfId="1" applyFont="1" applyFill="1" applyAlignment="1">
      <alignment wrapText="1"/>
    </xf>
    <xf numFmtId="0" fontId="1" fillId="0" borderId="0" xfId="1" applyFont="1" applyAlignment="1">
      <alignment vertical="center" wrapText="1"/>
    </xf>
    <xf numFmtId="0" fontId="1" fillId="3" borderId="0" xfId="1" applyFont="1" applyFill="1" applyAlignment="1">
      <alignment vertical="center" wrapText="1"/>
    </xf>
    <xf numFmtId="176" fontId="5" fillId="4" borderId="0" xfId="1" applyNumberFormat="1" applyFont="1" applyFill="1" applyAlignment="1">
      <alignment vertical="center" wrapText="1"/>
    </xf>
    <xf numFmtId="177" fontId="5" fillId="4" borderId="0" xfId="1" applyNumberFormat="1" applyFont="1" applyFill="1" applyAlignment="1">
      <alignment vertical="center" wrapText="1"/>
    </xf>
    <xf numFmtId="176" fontId="1" fillId="3" borderId="0" xfId="1" applyNumberFormat="1" applyFont="1" applyFill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176" fontId="6" fillId="3" borderId="0" xfId="1" applyNumberFormat="1" applyFont="1" applyFill="1" applyAlignment="1">
      <alignment vertical="center" wrapText="1"/>
    </xf>
    <xf numFmtId="176" fontId="6" fillId="0" borderId="0" xfId="1" applyNumberFormat="1" applyFont="1" applyAlignment="1">
      <alignment vertical="center" wrapText="1"/>
    </xf>
    <xf numFmtId="177" fontId="7" fillId="4" borderId="0" xfId="1" applyNumberFormat="1" applyFont="1" applyFill="1"/>
    <xf numFmtId="176" fontId="7" fillId="4" borderId="0" xfId="1" applyNumberFormat="1" applyFont="1" applyFill="1"/>
    <xf numFmtId="178" fontId="1" fillId="3" borderId="0" xfId="1" applyNumberFormat="1" applyFont="1" applyFill="1" applyAlignment="1">
      <alignment vertical="center" wrapText="1"/>
    </xf>
    <xf numFmtId="178" fontId="1" fillId="0" borderId="0" xfId="1" applyNumberFormat="1" applyFont="1" applyAlignment="1">
      <alignment vertical="center" wrapText="1"/>
    </xf>
    <xf numFmtId="176" fontId="8" fillId="3" borderId="0" xfId="1" applyNumberFormat="1" applyFont="1" applyFill="1" applyAlignment="1">
      <alignment vertical="center" wrapText="1"/>
    </xf>
    <xf numFmtId="176" fontId="8" fillId="0" borderId="0" xfId="1" applyNumberFormat="1" applyFont="1" applyAlignment="1">
      <alignment vertical="center" wrapText="1"/>
    </xf>
    <xf numFmtId="0" fontId="4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right" wrapText="1"/>
    </xf>
    <xf numFmtId="178" fontId="1" fillId="3" borderId="0" xfId="1" applyNumberFormat="1" applyFont="1" applyFill="1" applyAlignment="1">
      <alignment horizontal="right" vertical="center" wrapText="1"/>
    </xf>
    <xf numFmtId="0" fontId="1" fillId="3" borderId="0" xfId="1" applyFont="1" applyFill="1" applyAlignment="1">
      <alignment horizontal="right" vertical="center" wrapText="1"/>
    </xf>
    <xf numFmtId="176" fontId="8" fillId="3" borderId="0" xfId="1" applyNumberFormat="1" applyFont="1" applyFill="1" applyAlignment="1">
      <alignment horizontal="right" vertical="center" wrapText="1"/>
    </xf>
    <xf numFmtId="177" fontId="6" fillId="3" borderId="0" xfId="1" applyNumberFormat="1" applyFont="1" applyFill="1" applyAlignment="1">
      <alignment horizontal="right" vertical="center" wrapText="1"/>
    </xf>
    <xf numFmtId="176" fontId="6" fillId="3" borderId="0" xfId="1" applyNumberFormat="1" applyFont="1" applyFill="1" applyAlignment="1">
      <alignment horizontal="right" vertical="center" wrapText="1"/>
    </xf>
    <xf numFmtId="0" fontId="8" fillId="3" borderId="0" xfId="1" applyFont="1" applyFill="1" applyAlignment="1">
      <alignment horizontal="right" vertical="center" wrapText="1"/>
    </xf>
    <xf numFmtId="0" fontId="6" fillId="3" borderId="0" xfId="1" applyFont="1" applyFill="1" applyAlignment="1">
      <alignment horizontal="right" vertical="center" wrapText="1"/>
    </xf>
    <xf numFmtId="178" fontId="1" fillId="0" borderId="0" xfId="1" applyNumberFormat="1" applyFont="1" applyAlignment="1">
      <alignment horizontal="right" vertical="center" wrapText="1"/>
    </xf>
    <xf numFmtId="0" fontId="1" fillId="0" borderId="0" xfId="1" applyFont="1" applyAlignment="1">
      <alignment horizontal="right" vertical="center" wrapText="1"/>
    </xf>
    <xf numFmtId="176" fontId="8" fillId="0" borderId="0" xfId="1" applyNumberFormat="1" applyFont="1" applyAlignment="1">
      <alignment horizontal="right" vertical="center" wrapText="1"/>
    </xf>
    <xf numFmtId="177" fontId="6" fillId="0" borderId="0" xfId="1" applyNumberFormat="1" applyFont="1" applyAlignment="1">
      <alignment horizontal="right" vertical="center" wrapText="1"/>
    </xf>
    <xf numFmtId="176" fontId="6" fillId="0" borderId="0" xfId="1" applyNumberFormat="1" applyFont="1" applyAlignment="1">
      <alignment horizontal="right" vertical="center" wrapText="1"/>
    </xf>
    <xf numFmtId="0" fontId="8" fillId="0" borderId="0" xfId="1" applyFont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176" fontId="1" fillId="3" borderId="0" xfId="1" applyNumberFormat="1" applyFont="1" applyFill="1" applyAlignment="1">
      <alignment horizontal="right" vertical="center" wrapText="1"/>
    </xf>
    <xf numFmtId="176" fontId="1" fillId="0" borderId="0" xfId="1" applyNumberFormat="1" applyFont="1" applyAlignment="1">
      <alignment horizontal="right" vertical="center" wrapText="1"/>
    </xf>
    <xf numFmtId="176" fontId="1" fillId="5" borderId="0" xfId="1" applyNumberFormat="1" applyFont="1" applyFill="1" applyAlignment="1">
      <alignment horizontal="right" vertical="center" wrapText="1"/>
    </xf>
    <xf numFmtId="176" fontId="5" fillId="5" borderId="0" xfId="1" applyNumberFormat="1" applyFont="1" applyFill="1" applyAlignment="1">
      <alignment vertical="center" wrapText="1"/>
    </xf>
    <xf numFmtId="176" fontId="5" fillId="4" borderId="0" xfId="1" applyNumberFormat="1" applyFont="1" applyFill="1" applyAlignment="1">
      <alignment horizontal="right" vertical="center" wrapText="1"/>
    </xf>
  </cellXfs>
  <cellStyles count="2">
    <cellStyle name="Normal" xfId="1" xr:uid="{00000000-0005-0000-0000-000000000000}"/>
    <cellStyle name="표준" xfId="0" builtinId="0"/>
  </cellStyles>
  <dxfs count="2"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pane xSplit="1" ySplit="5" topLeftCell="B21" activePane="bottomRight" state="frozen"/>
      <selection pane="topRight"/>
      <selection pane="bottomLeft"/>
      <selection pane="bottomRight" activeCell="C24" sqref="C24"/>
    </sheetView>
  </sheetViews>
  <sheetFormatPr defaultRowHeight="13.8"/>
  <cols>
    <col min="1" max="1" width="12" customWidth="1"/>
    <col min="2" max="2" width="25" customWidth="1"/>
    <col min="3" max="3" width="116" customWidth="1"/>
    <col min="4" max="4" width="33" customWidth="1"/>
  </cols>
  <sheetData>
    <row r="1" spans="1:4">
      <c r="A1" s="1"/>
      <c r="B1" s="1"/>
      <c r="C1" s="1"/>
      <c r="D1" s="1"/>
    </row>
    <row r="2" spans="1:4" ht="31.95" customHeight="1">
      <c r="A2" s="2" t="s">
        <v>0</v>
      </c>
      <c r="B2" s="1"/>
      <c r="C2" s="1"/>
      <c r="D2" s="1"/>
    </row>
    <row r="3" spans="1:4">
      <c r="A3" s="3" t="s">
        <v>1</v>
      </c>
      <c r="B3" s="1"/>
      <c r="C3" s="1"/>
      <c r="D3" s="1"/>
    </row>
    <row r="4" spans="1:4">
      <c r="A4" s="1"/>
      <c r="B4" s="1"/>
      <c r="C4" s="1"/>
      <c r="D4" s="1"/>
    </row>
    <row r="5" spans="1:4" ht="37.950000000000003" customHeight="1">
      <c r="A5" s="4" t="s">
        <v>2</v>
      </c>
      <c r="B5" s="4" t="s">
        <v>3</v>
      </c>
      <c r="C5" s="4" t="s">
        <v>4</v>
      </c>
      <c r="D5" s="4" t="s">
        <v>5</v>
      </c>
    </row>
    <row r="6" spans="1:4" ht="28.05" customHeight="1">
      <c r="A6" s="6" t="s">
        <v>6</v>
      </c>
      <c r="B6" s="6" t="s">
        <v>7</v>
      </c>
      <c r="C6" s="6" t="s">
        <v>8</v>
      </c>
      <c r="D6" s="6" t="s">
        <v>9</v>
      </c>
    </row>
    <row r="7" spans="1:4" ht="37.950000000000003" customHeight="1">
      <c r="A7" s="5" t="s">
        <v>10</v>
      </c>
      <c r="B7" s="5" t="s">
        <v>11</v>
      </c>
      <c r="C7" s="5" t="s">
        <v>12</v>
      </c>
      <c r="D7" s="5" t="s">
        <v>13</v>
      </c>
    </row>
    <row r="8" spans="1:4" ht="37.950000000000003" customHeight="1">
      <c r="A8" s="6" t="s">
        <v>14</v>
      </c>
      <c r="B8" s="6" t="s">
        <v>15</v>
      </c>
      <c r="C8" s="6" t="s">
        <v>16</v>
      </c>
      <c r="D8" s="6" t="s">
        <v>17</v>
      </c>
    </row>
    <row r="9" spans="1:4" ht="37.950000000000003" customHeight="1">
      <c r="A9" s="5" t="s">
        <v>18</v>
      </c>
      <c r="B9" s="5" t="s">
        <v>19</v>
      </c>
      <c r="C9" s="5" t="s">
        <v>20</v>
      </c>
      <c r="D9" s="5" t="s">
        <v>21</v>
      </c>
    </row>
    <row r="10" spans="1:4" ht="37.950000000000003" customHeight="1">
      <c r="A10" s="6" t="s">
        <v>22</v>
      </c>
      <c r="B10" s="6" t="s">
        <v>23</v>
      </c>
      <c r="C10" s="6" t="s">
        <v>24</v>
      </c>
      <c r="D10" s="6" t="s">
        <v>25</v>
      </c>
    </row>
    <row r="11" spans="1:4" ht="28.05" customHeight="1">
      <c r="A11" s="5" t="s">
        <v>26</v>
      </c>
      <c r="B11" s="5" t="s">
        <v>27</v>
      </c>
      <c r="C11" s="5" t="s">
        <v>28</v>
      </c>
      <c r="D11" s="5" t="s">
        <v>29</v>
      </c>
    </row>
    <row r="12" spans="1:4" ht="37.950000000000003" customHeight="1">
      <c r="A12" s="6" t="s">
        <v>30</v>
      </c>
      <c r="B12" s="6" t="s">
        <v>31</v>
      </c>
      <c r="C12" s="6" t="s">
        <v>32</v>
      </c>
      <c r="D12" s="6" t="s">
        <v>33</v>
      </c>
    </row>
    <row r="13" spans="1:4" ht="28.05" customHeight="1">
      <c r="A13" s="5" t="s">
        <v>34</v>
      </c>
      <c r="B13" s="5" t="s">
        <v>35</v>
      </c>
      <c r="C13" s="5" t="s">
        <v>36</v>
      </c>
      <c r="D13" s="5" t="s">
        <v>37</v>
      </c>
    </row>
    <row r="14" spans="1:4" ht="37.950000000000003" customHeight="1">
      <c r="A14" s="6" t="s">
        <v>38</v>
      </c>
      <c r="B14" s="6" t="s">
        <v>39</v>
      </c>
      <c r="C14" s="6" t="s">
        <v>40</v>
      </c>
      <c r="D14" s="6" t="s">
        <v>41</v>
      </c>
    </row>
    <row r="15" spans="1:4" ht="28.05" customHeight="1">
      <c r="A15" s="5" t="s">
        <v>42</v>
      </c>
      <c r="B15" s="5" t="s">
        <v>43</v>
      </c>
      <c r="C15" s="5" t="s">
        <v>44</v>
      </c>
      <c r="D15" s="5" t="s">
        <v>45</v>
      </c>
    </row>
    <row r="16" spans="1:4" ht="28.05" customHeight="1">
      <c r="A16" s="6" t="s">
        <v>46</v>
      </c>
      <c r="B16" s="6" t="s">
        <v>47</v>
      </c>
      <c r="C16" s="6" t="s">
        <v>48</v>
      </c>
      <c r="D16" s="6" t="s">
        <v>49</v>
      </c>
    </row>
    <row r="17" spans="1:4" ht="28.05" customHeight="1">
      <c r="A17" s="5" t="s">
        <v>50</v>
      </c>
      <c r="B17" s="5" t="s">
        <v>51</v>
      </c>
      <c r="C17" s="5" t="s">
        <v>52</v>
      </c>
      <c r="D17" s="5" t="s">
        <v>53</v>
      </c>
    </row>
    <row r="18" spans="1:4" ht="37.950000000000003" customHeight="1">
      <c r="A18" s="6" t="s">
        <v>54</v>
      </c>
      <c r="B18" s="6" t="s">
        <v>55</v>
      </c>
      <c r="C18" s="6" t="s">
        <v>56</v>
      </c>
      <c r="D18" s="6" t="s">
        <v>57</v>
      </c>
    </row>
    <row r="19" spans="1:4" ht="28.05" customHeight="1">
      <c r="A19" s="5" t="s">
        <v>58</v>
      </c>
      <c r="B19" s="5" t="s">
        <v>59</v>
      </c>
      <c r="C19" s="5" t="s">
        <v>60</v>
      </c>
      <c r="D19" s="5" t="s">
        <v>61</v>
      </c>
    </row>
    <row r="20" spans="1:4" ht="28.05" customHeight="1">
      <c r="A20" s="6" t="s">
        <v>62</v>
      </c>
      <c r="B20" s="6" t="s">
        <v>63</v>
      </c>
      <c r="C20" s="6" t="s">
        <v>64</v>
      </c>
      <c r="D20" s="6" t="s">
        <v>65</v>
      </c>
    </row>
    <row r="21" spans="1:4" ht="37.950000000000003" customHeight="1">
      <c r="A21" s="5" t="s">
        <v>66</v>
      </c>
      <c r="B21" s="5" t="s">
        <v>67</v>
      </c>
      <c r="C21" s="5" t="s">
        <v>68</v>
      </c>
      <c r="D21" s="5" t="s">
        <v>21</v>
      </c>
    </row>
    <row r="22" spans="1:4" ht="37.950000000000003" customHeight="1">
      <c r="A22" s="6" t="s">
        <v>69</v>
      </c>
      <c r="B22" s="6" t="s">
        <v>70</v>
      </c>
      <c r="C22" s="6" t="s">
        <v>71</v>
      </c>
      <c r="D22" s="6" t="s">
        <v>72</v>
      </c>
    </row>
    <row r="23" spans="1:4" ht="37.950000000000003" customHeight="1">
      <c r="A23" s="5" t="s">
        <v>73</v>
      </c>
      <c r="B23" s="5" t="s">
        <v>74</v>
      </c>
      <c r="C23" s="5" t="s">
        <v>75</v>
      </c>
      <c r="D23" s="5" t="s">
        <v>76</v>
      </c>
    </row>
    <row r="24" spans="1:4" ht="28.05" customHeight="1">
      <c r="A24" s="6" t="s">
        <v>77</v>
      </c>
      <c r="B24" s="6" t="s">
        <v>78</v>
      </c>
      <c r="C24" s="6" t="s">
        <v>79</v>
      </c>
      <c r="D24" s="6" t="s">
        <v>80</v>
      </c>
    </row>
    <row r="25" spans="1:4" ht="37.950000000000003" customHeight="1">
      <c r="A25" s="5" t="s">
        <v>81</v>
      </c>
      <c r="B25" s="5" t="s">
        <v>82</v>
      </c>
      <c r="C25" s="5" t="s">
        <v>83</v>
      </c>
      <c r="D25" s="5" t="s">
        <v>84</v>
      </c>
    </row>
    <row r="26" spans="1:4" ht="28.05" customHeight="1">
      <c r="A26" s="6" t="s">
        <v>85</v>
      </c>
      <c r="B26" s="6" t="s">
        <v>86</v>
      </c>
      <c r="C26" s="6" t="s">
        <v>87</v>
      </c>
      <c r="D26" s="6" t="s">
        <v>88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H22" sqref="H22"/>
    </sheetView>
  </sheetViews>
  <sheetFormatPr defaultRowHeight="13.8"/>
  <cols>
    <col min="1" max="1" width="10" customWidth="1"/>
    <col min="2" max="3" width="13" customWidth="1"/>
    <col min="4" max="4" width="17.69921875" customWidth="1"/>
    <col min="5" max="5" width="15.69921875" customWidth="1"/>
    <col min="6" max="6" width="18" customWidth="1"/>
    <col min="7" max="7" width="17.59765625" customWidth="1"/>
    <col min="8" max="8" width="16.8984375" customWidth="1"/>
    <col min="9" max="9" width="17.59765625" customWidth="1"/>
    <col min="10" max="10" width="17.69921875" customWidth="1"/>
    <col min="11" max="11" width="14.5" customWidth="1"/>
    <col min="12" max="12" width="17.296875" customWidth="1"/>
    <col min="13" max="13" width="18.796875" customWidth="1"/>
    <col min="14" max="14" width="14.296875" customWidth="1"/>
    <col min="15" max="15" width="15.69921875" customWidth="1"/>
    <col min="16" max="16" width="17" customWidth="1"/>
    <col min="17" max="17" width="14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1.95" customHeight="1">
      <c r="A2" s="2" t="s">
        <v>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3" t="s">
        <v>90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7.950000000000003" customHeight="1">
      <c r="A5" s="19" t="s">
        <v>91</v>
      </c>
      <c r="B5" s="19" t="s">
        <v>92</v>
      </c>
      <c r="C5" s="19" t="s">
        <v>93</v>
      </c>
      <c r="D5" s="19" t="s">
        <v>94</v>
      </c>
      <c r="E5" s="19" t="s">
        <v>95</v>
      </c>
      <c r="F5" s="19" t="s">
        <v>96</v>
      </c>
      <c r="G5" s="19" t="s">
        <v>97</v>
      </c>
      <c r="H5" s="19" t="s">
        <v>98</v>
      </c>
      <c r="I5" s="19" t="s">
        <v>99</v>
      </c>
      <c r="J5" s="19" t="s">
        <v>100</v>
      </c>
      <c r="K5" s="19" t="s">
        <v>101</v>
      </c>
      <c r="L5" s="19" t="s">
        <v>102</v>
      </c>
      <c r="M5" s="19" t="s">
        <v>103</v>
      </c>
      <c r="N5" s="19" t="s">
        <v>104</v>
      </c>
      <c r="O5" s="19" t="s">
        <v>105</v>
      </c>
      <c r="P5" s="19" t="s">
        <v>106</v>
      </c>
      <c r="Q5" s="19" t="s">
        <v>107</v>
      </c>
    </row>
    <row r="6" spans="1:17" ht="28.05" customHeight="1">
      <c r="A6" s="6" t="s">
        <v>108</v>
      </c>
      <c r="B6" s="6">
        <v>1</v>
      </c>
      <c r="C6" s="6">
        <v>1</v>
      </c>
      <c r="D6" s="6" t="s">
        <v>109</v>
      </c>
      <c r="E6" s="17">
        <f>SUM(손익계산!J6:J10)</f>
        <v>5997600000</v>
      </c>
      <c r="F6" s="17">
        <f>SUM(손익계산!K6:K10)</f>
        <v>5989630000</v>
      </c>
      <c r="G6" s="17">
        <f>SUM(손익계산!L6:L10)</f>
        <v>5989630000</v>
      </c>
      <c r="H6" s="17">
        <f>SUM(손익계산!M6:M10)</f>
        <v>680340000</v>
      </c>
      <c r="I6" s="17">
        <f>SUM(손익계산!N6:N10)</f>
        <v>679349000</v>
      </c>
      <c r="J6" s="17">
        <f>SUM(손익계산!O6:O10)</f>
        <v>679349000</v>
      </c>
      <c r="K6" s="17">
        <f>고정비!I6</f>
        <v>370000000</v>
      </c>
      <c r="L6" s="11">
        <f t="shared" ref="L6:L17" si="0">H6-K6</f>
        <v>310340000</v>
      </c>
      <c r="M6" s="11">
        <f t="shared" ref="M6:M17" si="1">I6-K6</f>
        <v>309349000</v>
      </c>
      <c r="N6" s="11">
        <f t="shared" ref="N6:N17" si="2">J6-K6</f>
        <v>309349000</v>
      </c>
      <c r="O6" s="11">
        <f t="shared" ref="O6:O17" si="3">N6-M6</f>
        <v>0</v>
      </c>
      <c r="P6" s="11">
        <f t="shared" ref="P6:P17" si="4">L6-N6</f>
        <v>991000</v>
      </c>
      <c r="Q6" s="9"/>
    </row>
    <row r="7" spans="1:17" ht="28.05" customHeight="1">
      <c r="A7" s="5" t="s">
        <v>110</v>
      </c>
      <c r="B7" s="5">
        <v>2</v>
      </c>
      <c r="C7" s="5">
        <v>2</v>
      </c>
      <c r="D7" s="5" t="s">
        <v>109</v>
      </c>
      <c r="E7" s="18">
        <f>SUM(손익계산!J11:J15)</f>
        <v>5292000000</v>
      </c>
      <c r="F7" s="18">
        <f>SUM(손익계산!K11:K15)</f>
        <v>5257980000</v>
      </c>
      <c r="G7" s="18">
        <f>SUM(손익계산!L11:L15)</f>
        <v>5257980000</v>
      </c>
      <c r="H7" s="18">
        <f>SUM(손익계산!M11:M15)</f>
        <v>600300000</v>
      </c>
      <c r="I7" s="18">
        <f>SUM(손익계산!N11:N15)</f>
        <v>596547000</v>
      </c>
      <c r="J7" s="18">
        <f>SUM(손익계산!O11:O15)</f>
        <v>596547000</v>
      </c>
      <c r="K7" s="18">
        <f>고정비!I7</f>
        <v>370000000</v>
      </c>
      <c r="L7" s="12">
        <f t="shared" si="0"/>
        <v>230300000</v>
      </c>
      <c r="M7" s="12">
        <f t="shared" si="1"/>
        <v>226547000</v>
      </c>
      <c r="N7" s="12">
        <f t="shared" si="2"/>
        <v>226547000</v>
      </c>
      <c r="O7" s="12">
        <f t="shared" si="3"/>
        <v>0</v>
      </c>
      <c r="P7" s="12">
        <f t="shared" si="4"/>
        <v>3753000</v>
      </c>
      <c r="Q7" s="10"/>
    </row>
    <row r="8" spans="1:17" ht="28.05" customHeight="1">
      <c r="A8" s="6" t="s">
        <v>111</v>
      </c>
      <c r="B8" s="6">
        <v>3</v>
      </c>
      <c r="C8" s="6">
        <v>3</v>
      </c>
      <c r="D8" s="6" t="s">
        <v>109</v>
      </c>
      <c r="E8" s="17">
        <f>SUM(손익계산!J16:J20)</f>
        <v>6174000000</v>
      </c>
      <c r="F8" s="17">
        <f>SUM(손익계산!K16:K20)</f>
        <v>6102990000</v>
      </c>
      <c r="G8" s="17">
        <f>SUM(손익계산!L16:L20)</f>
        <v>6102990000</v>
      </c>
      <c r="H8" s="17">
        <f>SUM(손익계산!M16:M20)</f>
        <v>700350000</v>
      </c>
      <c r="I8" s="17">
        <f>SUM(손익계산!N16:N20)</f>
        <v>692633000</v>
      </c>
      <c r="J8" s="17">
        <f>SUM(손익계산!O16:O20)</f>
        <v>692633000</v>
      </c>
      <c r="K8" s="17">
        <f>고정비!I8</f>
        <v>370000000</v>
      </c>
      <c r="L8" s="11">
        <f t="shared" si="0"/>
        <v>330350000</v>
      </c>
      <c r="M8" s="11">
        <f t="shared" si="1"/>
        <v>322633000</v>
      </c>
      <c r="N8" s="11">
        <f t="shared" si="2"/>
        <v>322633000</v>
      </c>
      <c r="O8" s="11">
        <f t="shared" si="3"/>
        <v>0</v>
      </c>
      <c r="P8" s="11">
        <f t="shared" si="4"/>
        <v>7717000</v>
      </c>
      <c r="Q8" s="9"/>
    </row>
    <row r="9" spans="1:17" ht="28.05" customHeight="1">
      <c r="A9" s="5" t="s">
        <v>112</v>
      </c>
      <c r="B9" s="5">
        <v>4</v>
      </c>
      <c r="C9" s="5">
        <v>4</v>
      </c>
      <c r="D9" s="5" t="s">
        <v>109</v>
      </c>
      <c r="E9" s="18">
        <f>SUM(손익계산!J21:J25)</f>
        <v>5880000000</v>
      </c>
      <c r="F9" s="18">
        <f>SUM(손익계산!K21:K25)</f>
        <v>5782200000</v>
      </c>
      <c r="G9" s="18">
        <f>SUM(손익계산!L21:L25)</f>
        <v>5782200000</v>
      </c>
      <c r="H9" s="18">
        <f>SUM(손익계산!M21:M25)</f>
        <v>667000000</v>
      </c>
      <c r="I9" s="18">
        <f>SUM(손익계산!N21:N25)</f>
        <v>656430000</v>
      </c>
      <c r="J9" s="18">
        <f>SUM(손익계산!O21:O25)</f>
        <v>656430000</v>
      </c>
      <c r="K9" s="18">
        <f>고정비!I9</f>
        <v>370000000</v>
      </c>
      <c r="L9" s="12">
        <f t="shared" si="0"/>
        <v>297000000</v>
      </c>
      <c r="M9" s="12">
        <f t="shared" si="1"/>
        <v>286430000</v>
      </c>
      <c r="N9" s="12">
        <f t="shared" si="2"/>
        <v>286430000</v>
      </c>
      <c r="O9" s="12">
        <f t="shared" si="3"/>
        <v>0</v>
      </c>
      <c r="P9" s="12">
        <f t="shared" si="4"/>
        <v>10570000</v>
      </c>
      <c r="Q9" s="10"/>
    </row>
    <row r="10" spans="1:17" ht="28.05" customHeight="1">
      <c r="A10" s="6" t="s">
        <v>113</v>
      </c>
      <c r="B10" s="6">
        <v>5</v>
      </c>
      <c r="C10" s="6">
        <v>5</v>
      </c>
      <c r="D10" s="6" t="s">
        <v>109</v>
      </c>
      <c r="E10" s="17">
        <f>SUM(손익계산!J26:J30)</f>
        <v>5762400000</v>
      </c>
      <c r="F10" s="17">
        <f>SUM(손익계산!K26:K30)</f>
        <v>5637110000</v>
      </c>
      <c r="G10" s="17">
        <f>SUM(손익계산!L26:L30)</f>
        <v>5637110000</v>
      </c>
      <c r="H10" s="17">
        <f>SUM(손익계산!M26:M30)</f>
        <v>653660000</v>
      </c>
      <c r="I10" s="17">
        <f>SUM(손익계산!N26:N30)</f>
        <v>640161000</v>
      </c>
      <c r="J10" s="17">
        <f>SUM(손익계산!O26:O30)</f>
        <v>640161000</v>
      </c>
      <c r="K10" s="17">
        <f>고정비!I10</f>
        <v>370000000</v>
      </c>
      <c r="L10" s="11">
        <f t="shared" si="0"/>
        <v>283660000</v>
      </c>
      <c r="M10" s="11">
        <f t="shared" si="1"/>
        <v>270161000</v>
      </c>
      <c r="N10" s="11">
        <f t="shared" si="2"/>
        <v>270161000</v>
      </c>
      <c r="O10" s="11">
        <f t="shared" si="3"/>
        <v>0</v>
      </c>
      <c r="P10" s="11">
        <f t="shared" si="4"/>
        <v>13499000</v>
      </c>
      <c r="Q10" s="9"/>
    </row>
    <row r="11" spans="1:17" ht="28.05" customHeight="1">
      <c r="A11" s="5" t="s">
        <v>114</v>
      </c>
      <c r="B11" s="5">
        <v>6</v>
      </c>
      <c r="C11" s="5">
        <v>6</v>
      </c>
      <c r="D11" s="5" t="s">
        <v>115</v>
      </c>
      <c r="E11" s="18">
        <f>SUM(손익계산!J31:J35)</f>
        <v>5880000000</v>
      </c>
      <c r="F11" s="18">
        <f>SUM(손익계산!K31:K35)</f>
        <v>5722200000</v>
      </c>
      <c r="G11" s="18">
        <f>SUM(손익계산!L31:L35)</f>
        <v>5722200000</v>
      </c>
      <c r="H11" s="18">
        <f>SUM(손익계산!M31:M35)</f>
        <v>667000000</v>
      </c>
      <c r="I11" s="18">
        <f>SUM(손익계산!N31:N35)</f>
        <v>650030000</v>
      </c>
      <c r="J11" s="18">
        <f>SUM(손익계산!O31:O35)</f>
        <v>650030000</v>
      </c>
      <c r="K11" s="18">
        <f>고정비!I11</f>
        <v>370000000</v>
      </c>
      <c r="L11" s="12">
        <f t="shared" si="0"/>
        <v>297000000</v>
      </c>
      <c r="M11" s="12">
        <f t="shared" si="1"/>
        <v>280030000</v>
      </c>
      <c r="N11" s="12">
        <f t="shared" si="2"/>
        <v>280030000</v>
      </c>
      <c r="O11" s="12">
        <f t="shared" si="3"/>
        <v>0</v>
      </c>
      <c r="P11" s="12">
        <f t="shared" si="4"/>
        <v>16970000</v>
      </c>
      <c r="Q11" s="18">
        <f>SUM(손익계산!F31:F35)-SUM(손익계산!P31:P35)</f>
        <v>14994</v>
      </c>
    </row>
    <row r="12" spans="1:17" ht="28.05" customHeight="1">
      <c r="A12" s="6" t="s">
        <v>116</v>
      </c>
      <c r="B12" s="6">
        <v>7</v>
      </c>
      <c r="C12" s="6">
        <v>7</v>
      </c>
      <c r="D12" s="6" t="s">
        <v>117</v>
      </c>
      <c r="E12" s="17">
        <f>SUM(손익계산!J36:J40)</f>
        <v>5880000000</v>
      </c>
      <c r="F12" s="17">
        <f>SUM(손익계산!K36:K40)</f>
        <v>5722200000</v>
      </c>
      <c r="G12" s="17">
        <f>SUM(손익계산!L36:L40)</f>
        <v>5596200000</v>
      </c>
      <c r="H12" s="17">
        <f>SUM(손익계산!M36:M40)</f>
        <v>667000000</v>
      </c>
      <c r="I12" s="17">
        <f>SUM(손익계산!N36:N40)</f>
        <v>650030000</v>
      </c>
      <c r="J12" s="17">
        <f>SUM(손익계산!O36:O40)</f>
        <v>636030000</v>
      </c>
      <c r="K12" s="17">
        <f>고정비!I12</f>
        <v>370000000</v>
      </c>
      <c r="L12" s="11">
        <f t="shared" si="0"/>
        <v>297000000</v>
      </c>
      <c r="M12" s="11">
        <f t="shared" si="1"/>
        <v>280030000</v>
      </c>
      <c r="N12" s="11">
        <f t="shared" si="2"/>
        <v>266030000</v>
      </c>
      <c r="O12" s="11">
        <f t="shared" si="3"/>
        <v>-14000000</v>
      </c>
      <c r="P12" s="11">
        <f t="shared" si="4"/>
        <v>30970000</v>
      </c>
      <c r="Q12" s="9"/>
    </row>
    <row r="13" spans="1:17" ht="28.05" customHeight="1">
      <c r="A13" s="5" t="s">
        <v>118</v>
      </c>
      <c r="B13" s="5">
        <v>8</v>
      </c>
      <c r="C13" s="5">
        <v>8</v>
      </c>
      <c r="D13" s="5" t="s">
        <v>117</v>
      </c>
      <c r="E13" s="18">
        <f>SUM(손익계산!J41:J45)</f>
        <v>5409600000</v>
      </c>
      <c r="F13" s="18">
        <f>SUM(손익계산!K41:K45)</f>
        <v>5264410000</v>
      </c>
      <c r="G13" s="18">
        <f>SUM(손익계산!L41:L45)</f>
        <v>5264410000</v>
      </c>
      <c r="H13" s="18">
        <f>SUM(손익계산!M41:M45)</f>
        <v>613640000</v>
      </c>
      <c r="I13" s="18">
        <f>SUM(손익계산!N41:N45)</f>
        <v>598026000</v>
      </c>
      <c r="J13" s="18">
        <f>SUM(손익계산!O41:O45)</f>
        <v>598026000</v>
      </c>
      <c r="K13" s="18">
        <f>고정비!I13</f>
        <v>370000000</v>
      </c>
      <c r="L13" s="12">
        <f t="shared" si="0"/>
        <v>243640000</v>
      </c>
      <c r="M13" s="12">
        <f t="shared" si="1"/>
        <v>228026000</v>
      </c>
      <c r="N13" s="12">
        <f t="shared" si="2"/>
        <v>228026000</v>
      </c>
      <c r="O13" s="12">
        <f t="shared" si="3"/>
        <v>0</v>
      </c>
      <c r="P13" s="12">
        <f t="shared" si="4"/>
        <v>15614000</v>
      </c>
      <c r="Q13" s="10"/>
    </row>
    <row r="14" spans="1:17" ht="28.05" customHeight="1">
      <c r="A14" s="6" t="s">
        <v>119</v>
      </c>
      <c r="B14" s="6">
        <v>9</v>
      </c>
      <c r="C14" s="6">
        <v>9</v>
      </c>
      <c r="D14" s="6" t="s">
        <v>117</v>
      </c>
      <c r="E14" s="17">
        <f>SUM(손익계산!J46:J50)</f>
        <v>6056400000</v>
      </c>
      <c r="F14" s="17">
        <f>SUM(손익계산!K46:K50)</f>
        <v>5893910000</v>
      </c>
      <c r="G14" s="17">
        <f>SUM(손익계산!L46:L50)</f>
        <v>5893910000</v>
      </c>
      <c r="H14" s="17">
        <f>SUM(손익계산!M46:M50)</f>
        <v>687010000</v>
      </c>
      <c r="I14" s="17">
        <f>SUM(손익계산!N46:N50)</f>
        <v>669536000</v>
      </c>
      <c r="J14" s="17">
        <f>SUM(손익계산!O46:O50)</f>
        <v>669536000</v>
      </c>
      <c r="K14" s="17">
        <f>고정비!I14</f>
        <v>370000000</v>
      </c>
      <c r="L14" s="11">
        <f t="shared" si="0"/>
        <v>317010000</v>
      </c>
      <c r="M14" s="11">
        <f t="shared" si="1"/>
        <v>299536000</v>
      </c>
      <c r="N14" s="11">
        <f t="shared" si="2"/>
        <v>299536000</v>
      </c>
      <c r="O14" s="11">
        <f t="shared" si="3"/>
        <v>0</v>
      </c>
      <c r="P14" s="11">
        <f t="shared" si="4"/>
        <v>17474000</v>
      </c>
      <c r="Q14" s="9"/>
    </row>
    <row r="15" spans="1:17" ht="28.05" customHeight="1">
      <c r="A15" s="5" t="s">
        <v>120</v>
      </c>
      <c r="B15" s="5">
        <v>10</v>
      </c>
      <c r="C15" s="5">
        <v>10</v>
      </c>
      <c r="D15" s="5" t="s">
        <v>117</v>
      </c>
      <c r="E15" s="18">
        <f>SUM(손익계산!J51:J55)</f>
        <v>5997600000</v>
      </c>
      <c r="F15" s="18">
        <f>SUM(손익계산!K51:K55)</f>
        <v>5836630000</v>
      </c>
      <c r="G15" s="18">
        <f>SUM(손익계산!L51:L55)</f>
        <v>5836630000</v>
      </c>
      <c r="H15" s="18">
        <f>SUM(손익계산!M51:M55)</f>
        <v>680340000</v>
      </c>
      <c r="I15" s="18">
        <f>SUM(손익계산!N51:N55)</f>
        <v>663029000</v>
      </c>
      <c r="J15" s="18">
        <f>SUM(손익계산!O51:O55)</f>
        <v>663029000</v>
      </c>
      <c r="K15" s="18">
        <f>고정비!I15</f>
        <v>370000000</v>
      </c>
      <c r="L15" s="12">
        <f t="shared" si="0"/>
        <v>310340000</v>
      </c>
      <c r="M15" s="12">
        <f t="shared" si="1"/>
        <v>293029000</v>
      </c>
      <c r="N15" s="12">
        <f t="shared" si="2"/>
        <v>293029000</v>
      </c>
      <c r="O15" s="12">
        <f t="shared" si="3"/>
        <v>0</v>
      </c>
      <c r="P15" s="12">
        <f t="shared" si="4"/>
        <v>17311000</v>
      </c>
      <c r="Q15" s="10"/>
    </row>
    <row r="16" spans="1:17" ht="28.05" customHeight="1">
      <c r="A16" s="6" t="s">
        <v>121</v>
      </c>
      <c r="B16" s="6">
        <v>11</v>
      </c>
      <c r="C16" s="6">
        <v>11</v>
      </c>
      <c r="D16" s="6" t="s">
        <v>117</v>
      </c>
      <c r="E16" s="17">
        <f>SUM(손익계산!J56:J60)</f>
        <v>5880000000</v>
      </c>
      <c r="F16" s="17">
        <f>SUM(손익계산!K56:K60)</f>
        <v>5722200000</v>
      </c>
      <c r="G16" s="17">
        <f>SUM(손익계산!L56:L60)</f>
        <v>5722200000</v>
      </c>
      <c r="H16" s="17">
        <f>SUM(손익계산!M56:M60)</f>
        <v>667000000</v>
      </c>
      <c r="I16" s="17">
        <f>SUM(손익계산!N56:N60)</f>
        <v>650030000</v>
      </c>
      <c r="J16" s="17">
        <f>SUM(손익계산!O56:O60)</f>
        <v>650030000</v>
      </c>
      <c r="K16" s="17">
        <f>고정비!I16</f>
        <v>370000000</v>
      </c>
      <c r="L16" s="11">
        <f t="shared" si="0"/>
        <v>297000000</v>
      </c>
      <c r="M16" s="11">
        <f t="shared" si="1"/>
        <v>280030000</v>
      </c>
      <c r="N16" s="11">
        <f t="shared" si="2"/>
        <v>280030000</v>
      </c>
      <c r="O16" s="11">
        <f t="shared" si="3"/>
        <v>0</v>
      </c>
      <c r="P16" s="11">
        <f t="shared" si="4"/>
        <v>16970000</v>
      </c>
      <c r="Q16" s="9"/>
    </row>
    <row r="17" spans="1:17" ht="28.05" customHeight="1">
      <c r="A17" s="5" t="s">
        <v>122</v>
      </c>
      <c r="B17" s="5">
        <v>12</v>
      </c>
      <c r="C17" s="5">
        <v>12</v>
      </c>
      <c r="D17" s="5" t="s">
        <v>117</v>
      </c>
      <c r="E17" s="18">
        <f>SUM(손익계산!J61:J65)</f>
        <v>5586000000</v>
      </c>
      <c r="F17" s="18">
        <f>SUM(손익계산!K61:K65)</f>
        <v>5436270000</v>
      </c>
      <c r="G17" s="18">
        <f>SUM(손익계산!L61:L65)</f>
        <v>5436270000</v>
      </c>
      <c r="H17" s="18">
        <f>SUM(손익계산!M61:M65)</f>
        <v>633650000</v>
      </c>
      <c r="I17" s="18">
        <f>SUM(손익계산!N61:N65)</f>
        <v>617550000</v>
      </c>
      <c r="J17" s="18">
        <f>SUM(손익계산!O61:O65)</f>
        <v>617550000</v>
      </c>
      <c r="K17" s="18">
        <f>고정비!I17</f>
        <v>370000000</v>
      </c>
      <c r="L17" s="12">
        <f t="shared" si="0"/>
        <v>263650000</v>
      </c>
      <c r="M17" s="12">
        <f t="shared" si="1"/>
        <v>247550000</v>
      </c>
      <c r="N17" s="12">
        <f t="shared" si="2"/>
        <v>247550000</v>
      </c>
      <c r="O17" s="12">
        <f t="shared" si="3"/>
        <v>0</v>
      </c>
      <c r="P17" s="12">
        <f t="shared" si="4"/>
        <v>16100000</v>
      </c>
      <c r="Q17" s="10"/>
    </row>
    <row r="18" spans="1:17" ht="28.05" customHeight="1">
      <c r="A18" s="6" t="s">
        <v>123</v>
      </c>
      <c r="B18" s="6">
        <v>1</v>
      </c>
      <c r="C18" s="6">
        <v>3</v>
      </c>
      <c r="D18" s="6" t="s">
        <v>109</v>
      </c>
      <c r="E18" s="11">
        <f t="shared" ref="E18:P18" si="5">SUM(E6:E8)</f>
        <v>17463600000</v>
      </c>
      <c r="F18" s="11">
        <f t="shared" si="5"/>
        <v>17350600000</v>
      </c>
      <c r="G18" s="11">
        <f t="shared" si="5"/>
        <v>17350600000</v>
      </c>
      <c r="H18" s="11">
        <f t="shared" si="5"/>
        <v>1980990000</v>
      </c>
      <c r="I18" s="11">
        <f t="shared" si="5"/>
        <v>1968529000</v>
      </c>
      <c r="J18" s="11">
        <f t="shared" si="5"/>
        <v>1968529000</v>
      </c>
      <c r="K18" s="11">
        <f t="shared" si="5"/>
        <v>1110000000</v>
      </c>
      <c r="L18" s="11">
        <f t="shared" si="5"/>
        <v>870990000</v>
      </c>
      <c r="M18" s="11">
        <f t="shared" si="5"/>
        <v>858529000</v>
      </c>
      <c r="N18" s="11">
        <f t="shared" si="5"/>
        <v>858529000</v>
      </c>
      <c r="O18" s="11">
        <f t="shared" si="5"/>
        <v>0</v>
      </c>
      <c r="P18" s="11">
        <f t="shared" si="5"/>
        <v>12461000</v>
      </c>
      <c r="Q18" s="9"/>
    </row>
    <row r="19" spans="1:17" ht="28.05" customHeight="1">
      <c r="A19" s="5" t="s">
        <v>124</v>
      </c>
      <c r="B19" s="5">
        <v>4</v>
      </c>
      <c r="C19" s="5">
        <v>6</v>
      </c>
      <c r="D19" s="5" t="s">
        <v>125</v>
      </c>
      <c r="E19" s="12">
        <f t="shared" ref="E19:P19" si="6">SUM(E9:E11)</f>
        <v>17522400000</v>
      </c>
      <c r="F19" s="12">
        <f t="shared" si="6"/>
        <v>17141510000</v>
      </c>
      <c r="G19" s="12">
        <f t="shared" si="6"/>
        <v>17141510000</v>
      </c>
      <c r="H19" s="12">
        <f t="shared" si="6"/>
        <v>1987660000</v>
      </c>
      <c r="I19" s="12">
        <f t="shared" si="6"/>
        <v>1946621000</v>
      </c>
      <c r="J19" s="12">
        <f t="shared" si="6"/>
        <v>1946621000</v>
      </c>
      <c r="K19" s="12">
        <f t="shared" si="6"/>
        <v>1110000000</v>
      </c>
      <c r="L19" s="12">
        <f t="shared" si="6"/>
        <v>877660000</v>
      </c>
      <c r="M19" s="12">
        <f t="shared" si="6"/>
        <v>836621000</v>
      </c>
      <c r="N19" s="12">
        <f t="shared" si="6"/>
        <v>836621000</v>
      </c>
      <c r="O19" s="12">
        <f t="shared" si="6"/>
        <v>0</v>
      </c>
      <c r="P19" s="12">
        <f t="shared" si="6"/>
        <v>41039000</v>
      </c>
      <c r="Q19" s="10"/>
    </row>
    <row r="20" spans="1:17" ht="28.05" customHeight="1">
      <c r="A20" s="6" t="s">
        <v>126</v>
      </c>
      <c r="B20" s="6">
        <v>7</v>
      </c>
      <c r="C20" s="6">
        <v>9</v>
      </c>
      <c r="D20" s="6" t="s">
        <v>117</v>
      </c>
      <c r="E20" s="11">
        <f t="shared" ref="E20:P20" si="7">SUM(E12:E14)</f>
        <v>17346000000</v>
      </c>
      <c r="F20" s="11">
        <f t="shared" si="7"/>
        <v>16880520000</v>
      </c>
      <c r="G20" s="11">
        <f t="shared" si="7"/>
        <v>16754520000</v>
      </c>
      <c r="H20" s="11">
        <f t="shared" si="7"/>
        <v>1967650000</v>
      </c>
      <c r="I20" s="11">
        <f t="shared" si="7"/>
        <v>1917592000</v>
      </c>
      <c r="J20" s="11">
        <f t="shared" si="7"/>
        <v>1903592000</v>
      </c>
      <c r="K20" s="11">
        <f t="shared" si="7"/>
        <v>1110000000</v>
      </c>
      <c r="L20" s="11">
        <f t="shared" si="7"/>
        <v>857650000</v>
      </c>
      <c r="M20" s="11">
        <f t="shared" si="7"/>
        <v>807592000</v>
      </c>
      <c r="N20" s="11">
        <f t="shared" si="7"/>
        <v>793592000</v>
      </c>
      <c r="O20" s="11">
        <f t="shared" si="7"/>
        <v>-14000000</v>
      </c>
      <c r="P20" s="11">
        <f t="shared" si="7"/>
        <v>64058000</v>
      </c>
      <c r="Q20" s="9"/>
    </row>
    <row r="21" spans="1:17" ht="28.05" customHeight="1">
      <c r="A21" s="5" t="s">
        <v>127</v>
      </c>
      <c r="B21" s="5">
        <v>10</v>
      </c>
      <c r="C21" s="5">
        <v>12</v>
      </c>
      <c r="D21" s="5" t="s">
        <v>117</v>
      </c>
      <c r="E21" s="12">
        <f t="shared" ref="E21:P21" si="8">SUM(E15:E17)</f>
        <v>17463600000</v>
      </c>
      <c r="F21" s="12">
        <f t="shared" si="8"/>
        <v>16995100000</v>
      </c>
      <c r="G21" s="12">
        <f t="shared" si="8"/>
        <v>16995100000</v>
      </c>
      <c r="H21" s="12">
        <f t="shared" si="8"/>
        <v>1980990000</v>
      </c>
      <c r="I21" s="12">
        <f t="shared" si="8"/>
        <v>1930609000</v>
      </c>
      <c r="J21" s="12">
        <f t="shared" si="8"/>
        <v>1930609000</v>
      </c>
      <c r="K21" s="12">
        <f t="shared" si="8"/>
        <v>1110000000</v>
      </c>
      <c r="L21" s="12">
        <f t="shared" si="8"/>
        <v>870990000</v>
      </c>
      <c r="M21" s="12">
        <f t="shared" si="8"/>
        <v>820609000</v>
      </c>
      <c r="N21" s="12">
        <f t="shared" si="8"/>
        <v>820609000</v>
      </c>
      <c r="O21" s="12">
        <f t="shared" si="8"/>
        <v>0</v>
      </c>
      <c r="P21" s="12">
        <f t="shared" si="8"/>
        <v>50381000</v>
      </c>
      <c r="Q21" s="10"/>
    </row>
    <row r="22" spans="1:17" ht="28.05" customHeight="1">
      <c r="A22" s="6" t="s">
        <v>128</v>
      </c>
      <c r="B22" s="6">
        <v>1</v>
      </c>
      <c r="C22" s="6">
        <v>12</v>
      </c>
      <c r="D22" s="6" t="s">
        <v>125</v>
      </c>
      <c r="E22" s="11">
        <f t="shared" ref="E22:P22" si="9">SUM(E6:E17)</f>
        <v>69795600000</v>
      </c>
      <c r="F22" s="11">
        <f t="shared" si="9"/>
        <v>68367730000</v>
      </c>
      <c r="G22" s="11">
        <f t="shared" si="9"/>
        <v>68241730000</v>
      </c>
      <c r="H22" s="11">
        <f t="shared" si="9"/>
        <v>7917290000</v>
      </c>
      <c r="I22" s="11">
        <f t="shared" si="9"/>
        <v>7763351000</v>
      </c>
      <c r="J22" s="11">
        <f t="shared" si="9"/>
        <v>7749351000</v>
      </c>
      <c r="K22" s="11">
        <f t="shared" si="9"/>
        <v>4440000000</v>
      </c>
      <c r="L22" s="11">
        <f t="shared" si="9"/>
        <v>3477290000</v>
      </c>
      <c r="M22" s="11">
        <f t="shared" si="9"/>
        <v>3323351000</v>
      </c>
      <c r="N22" s="11">
        <f t="shared" si="9"/>
        <v>3309351000</v>
      </c>
      <c r="O22" s="11">
        <f t="shared" si="9"/>
        <v>-14000000</v>
      </c>
      <c r="P22" s="11">
        <f t="shared" si="9"/>
        <v>167939000</v>
      </c>
      <c r="Q22" s="9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E7" sqref="E7:F7"/>
    </sheetView>
  </sheetViews>
  <sheetFormatPr defaultRowHeight="13.8"/>
  <cols>
    <col min="1" max="1" width="23" customWidth="1"/>
    <col min="2" max="2" width="14.296875" customWidth="1"/>
    <col min="3" max="3" width="11.09765625" customWidth="1"/>
    <col min="4" max="5" width="12.69921875" customWidth="1"/>
    <col min="6" max="6" width="11.09765625" customWidth="1"/>
    <col min="7" max="7" width="10.69921875" customWidth="1"/>
    <col min="8" max="8" width="10.09765625" customWidth="1"/>
    <col min="9" max="9" width="11.5" customWidth="1"/>
    <col min="10" max="10" width="14.09765625" customWidth="1"/>
    <col min="11" max="11" width="12.19921875" customWidth="1"/>
    <col min="12" max="12" width="10.8984375" customWidth="1"/>
    <col min="13" max="13" width="13.796875" customWidth="1"/>
    <col min="14" max="14" width="18.3984375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95" customHeight="1">
      <c r="A2" s="2" t="s">
        <v>129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3" t="s">
        <v>130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7.950000000000003" customHeight="1">
      <c r="A5" s="20" t="s">
        <v>131</v>
      </c>
      <c r="B5" s="20" t="s">
        <v>132</v>
      </c>
      <c r="C5" s="20" t="s">
        <v>133</v>
      </c>
      <c r="D5" s="20" t="s">
        <v>134</v>
      </c>
      <c r="E5" s="20" t="s">
        <v>135</v>
      </c>
      <c r="F5" s="20" t="s">
        <v>136</v>
      </c>
      <c r="G5" s="20" t="s">
        <v>137</v>
      </c>
      <c r="H5" s="20" t="s">
        <v>138</v>
      </c>
      <c r="I5" s="20" t="s">
        <v>139</v>
      </c>
      <c r="J5" s="20" t="s">
        <v>140</v>
      </c>
      <c r="K5" s="20" t="s">
        <v>141</v>
      </c>
      <c r="L5" s="20" t="s">
        <v>142</v>
      </c>
      <c r="M5" s="20" t="s">
        <v>143</v>
      </c>
      <c r="N5" s="20" t="s">
        <v>144</v>
      </c>
    </row>
    <row r="6" spans="1:14" ht="28.05" customHeight="1">
      <c r="A6" s="6" t="s">
        <v>145</v>
      </c>
      <c r="B6" s="21">
        <v>46569</v>
      </c>
      <c r="C6" s="22" t="s">
        <v>146</v>
      </c>
      <c r="D6" s="23">
        <f>손익계산!D36</f>
        <v>4000</v>
      </c>
      <c r="E6" s="23">
        <f>손익계산!E36</f>
        <v>3800</v>
      </c>
      <c r="F6" s="23">
        <f>손익계산!F36</f>
        <v>3800</v>
      </c>
      <c r="G6" s="24">
        <f t="shared" ref="G6:G20" si="0">IF(D6=0,"미산출",F6/D6)</f>
        <v>0.95</v>
      </c>
      <c r="H6" s="25">
        <f t="shared" ref="H6:H20" si="1">E6-F6</f>
        <v>0</v>
      </c>
      <c r="I6" s="24">
        <f t="shared" ref="I6:I20" si="2">IF(E6=0,"미산출",ROUND(H6/E6,8))</f>
        <v>0</v>
      </c>
      <c r="J6" s="23">
        <f>(F6-E6)*손익계산!I36</f>
        <v>0</v>
      </c>
      <c r="K6" s="25">
        <f t="shared" ref="K6:K20" si="3">MAX(-J6,0)</f>
        <v>0</v>
      </c>
      <c r="L6" s="24">
        <f t="shared" ref="L6:L20" si="4">IF(D6=0,"미산출",ROUND(MAX(1-G6,0),8))</f>
        <v>0.05</v>
      </c>
      <c r="M6" s="26" t="str">
        <f>IF(OR(I6&gt;=버전기준!$B$17,K6&gt;=버전기준!$B$19,L6&gt;=버전기준!$B$21),"중요",IF(OR(I6&gt;=버전기준!$B$16,K6&gt;=버전기준!$B$18,L6&gt;=버전기준!$B$20),"관심","기준 이내"))</f>
        <v>관심</v>
      </c>
      <c r="N6" s="27" t="str">
        <f t="shared" ref="N6:N20" si="5">IF(M6="중요","기존 이슈 상향·Review",IF(H6&lt;&gt;0,"현업 변경검토",IF(M6="관심","기존 관심 추적","추가 변경없음")))</f>
        <v>기존 관심 추적</v>
      </c>
    </row>
    <row r="7" spans="1:14" ht="28.05" customHeight="1">
      <c r="A7" s="5" t="s">
        <v>145</v>
      </c>
      <c r="B7" s="28">
        <v>46569</v>
      </c>
      <c r="C7" s="29" t="s">
        <v>147</v>
      </c>
      <c r="D7" s="30">
        <f>손익계산!D37</f>
        <v>10000</v>
      </c>
      <c r="E7" s="30">
        <f>손익계산!E37</f>
        <v>9500</v>
      </c>
      <c r="F7" s="30">
        <f>손익계산!F37</f>
        <v>8800</v>
      </c>
      <c r="G7" s="31">
        <f t="shared" si="0"/>
        <v>0.88</v>
      </c>
      <c r="H7" s="32">
        <f t="shared" si="1"/>
        <v>700</v>
      </c>
      <c r="I7" s="31">
        <f t="shared" si="2"/>
        <v>7.368421E-2</v>
      </c>
      <c r="J7" s="30">
        <f>(F7-E7)*손익계산!I37</f>
        <v>-14000000</v>
      </c>
      <c r="K7" s="32">
        <f t="shared" si="3"/>
        <v>14000000</v>
      </c>
      <c r="L7" s="31">
        <f t="shared" si="4"/>
        <v>0.12</v>
      </c>
      <c r="M7" s="33" t="str">
        <f>IF(OR(I7&gt;=버전기준!$B$17,K7&gt;=버전기준!$B$19,L7&gt;=버전기준!$B$21),"중요",IF(OR(I7&gt;=버전기준!$B$16,K7&gt;=버전기준!$B$18,L7&gt;=버전기준!$B$20),"관심","기준 이내"))</f>
        <v>중요</v>
      </c>
      <c r="N7" s="34" t="str">
        <f t="shared" si="5"/>
        <v>기존 이슈 상향·Review</v>
      </c>
    </row>
    <row r="8" spans="1:14" ht="28.05" customHeight="1">
      <c r="A8" s="6" t="s">
        <v>145</v>
      </c>
      <c r="B8" s="21">
        <v>46569</v>
      </c>
      <c r="C8" s="22" t="s">
        <v>148</v>
      </c>
      <c r="D8" s="23">
        <f>손익계산!D38</f>
        <v>6000</v>
      </c>
      <c r="E8" s="23">
        <f>손익계산!E38</f>
        <v>5940</v>
      </c>
      <c r="F8" s="23">
        <f>손익계산!F38</f>
        <v>5940</v>
      </c>
      <c r="G8" s="24">
        <f t="shared" si="0"/>
        <v>0.99</v>
      </c>
      <c r="H8" s="25">
        <f t="shared" si="1"/>
        <v>0</v>
      </c>
      <c r="I8" s="24">
        <f t="shared" si="2"/>
        <v>0</v>
      </c>
      <c r="J8" s="23">
        <f>(F8-E8)*손익계산!I38</f>
        <v>0</v>
      </c>
      <c r="K8" s="25">
        <f t="shared" si="3"/>
        <v>0</v>
      </c>
      <c r="L8" s="24">
        <f t="shared" si="4"/>
        <v>0.01</v>
      </c>
      <c r="M8" s="26" t="str">
        <f>IF(OR(I8&gt;=버전기준!$B$17,K8&gt;=버전기준!$B$19,L8&gt;=버전기준!$B$21),"중요",IF(OR(I8&gt;=버전기준!$B$16,K8&gt;=버전기준!$B$18,L8&gt;=버전기준!$B$20),"관심","기준 이내"))</f>
        <v>기준 이내</v>
      </c>
      <c r="N8" s="27" t="str">
        <f t="shared" si="5"/>
        <v>추가 변경없음</v>
      </c>
    </row>
    <row r="9" spans="1:14" ht="28.05" customHeight="1">
      <c r="A9" s="5" t="s">
        <v>145</v>
      </c>
      <c r="B9" s="28">
        <v>46569</v>
      </c>
      <c r="C9" s="29" t="s">
        <v>149</v>
      </c>
      <c r="D9" s="30">
        <f>손익계산!D39</f>
        <v>5000</v>
      </c>
      <c r="E9" s="30">
        <f>손익계산!E39</f>
        <v>5050</v>
      </c>
      <c r="F9" s="30">
        <f>손익계산!F39</f>
        <v>5050</v>
      </c>
      <c r="G9" s="31">
        <f t="shared" si="0"/>
        <v>1.01</v>
      </c>
      <c r="H9" s="32">
        <f t="shared" si="1"/>
        <v>0</v>
      </c>
      <c r="I9" s="31">
        <f t="shared" si="2"/>
        <v>0</v>
      </c>
      <c r="J9" s="30">
        <f>(F9-E9)*손익계산!I39</f>
        <v>0</v>
      </c>
      <c r="K9" s="32">
        <f t="shared" si="3"/>
        <v>0</v>
      </c>
      <c r="L9" s="31">
        <f t="shared" si="4"/>
        <v>0</v>
      </c>
      <c r="M9" s="33" t="str">
        <f>IF(OR(I9&gt;=버전기준!$B$17,K9&gt;=버전기준!$B$19,L9&gt;=버전기준!$B$21),"중요",IF(OR(I9&gt;=버전기준!$B$16,K9&gt;=버전기준!$B$18,L9&gt;=버전기준!$B$20),"관심","기준 이내"))</f>
        <v>기준 이내</v>
      </c>
      <c r="N9" s="34" t="str">
        <f t="shared" si="5"/>
        <v>추가 변경없음</v>
      </c>
    </row>
    <row r="10" spans="1:14" ht="28.05" customHeight="1">
      <c r="A10" s="6" t="s">
        <v>145</v>
      </c>
      <c r="B10" s="21">
        <v>46569</v>
      </c>
      <c r="C10" s="22" t="s">
        <v>150</v>
      </c>
      <c r="D10" s="23">
        <f>손익계산!D40</f>
        <v>3000</v>
      </c>
      <c r="E10" s="23">
        <f>손익계산!E40</f>
        <v>2970</v>
      </c>
      <c r="F10" s="23">
        <f>손익계산!F40</f>
        <v>2970</v>
      </c>
      <c r="G10" s="24">
        <f t="shared" si="0"/>
        <v>0.99</v>
      </c>
      <c r="H10" s="25">
        <f t="shared" si="1"/>
        <v>0</v>
      </c>
      <c r="I10" s="24">
        <f t="shared" si="2"/>
        <v>0</v>
      </c>
      <c r="J10" s="23">
        <f>(F10-E10)*손익계산!I40</f>
        <v>0</v>
      </c>
      <c r="K10" s="25">
        <f t="shared" si="3"/>
        <v>0</v>
      </c>
      <c r="L10" s="24">
        <f t="shared" si="4"/>
        <v>0.01</v>
      </c>
      <c r="M10" s="26" t="str">
        <f>IF(OR(I10&gt;=버전기준!$B$17,K10&gt;=버전기준!$B$19,L10&gt;=버전기준!$B$21),"중요",IF(OR(I10&gt;=버전기준!$B$16,K10&gt;=버전기준!$B$18,L10&gt;=버전기준!$B$20),"관심","기준 이내"))</f>
        <v>기준 이내</v>
      </c>
      <c r="N10" s="27" t="str">
        <f t="shared" si="5"/>
        <v>추가 변경없음</v>
      </c>
    </row>
    <row r="11" spans="1:14" ht="28.05" customHeight="1">
      <c r="A11" s="5" t="s">
        <v>145</v>
      </c>
      <c r="B11" s="28">
        <v>46600</v>
      </c>
      <c r="C11" s="29" t="s">
        <v>146</v>
      </c>
      <c r="D11" s="30">
        <f>손익계산!D41</f>
        <v>3680</v>
      </c>
      <c r="E11" s="30">
        <f>손익계산!E41</f>
        <v>3496</v>
      </c>
      <c r="F11" s="30">
        <f>손익계산!F41</f>
        <v>3496</v>
      </c>
      <c r="G11" s="31">
        <f t="shared" si="0"/>
        <v>0.95</v>
      </c>
      <c r="H11" s="32">
        <f t="shared" si="1"/>
        <v>0</v>
      </c>
      <c r="I11" s="31">
        <f t="shared" si="2"/>
        <v>0</v>
      </c>
      <c r="J11" s="30">
        <f>(F11-E11)*손익계산!I41</f>
        <v>0</v>
      </c>
      <c r="K11" s="32">
        <f t="shared" si="3"/>
        <v>0</v>
      </c>
      <c r="L11" s="31">
        <f t="shared" si="4"/>
        <v>0.05</v>
      </c>
      <c r="M11" s="33" t="str">
        <f>IF(OR(I11&gt;=버전기준!$B$17,K11&gt;=버전기준!$B$19,L11&gt;=버전기준!$B$21),"중요",IF(OR(I11&gt;=버전기준!$B$16,K11&gt;=버전기준!$B$18,L11&gt;=버전기준!$B$20),"관심","기준 이내"))</f>
        <v>관심</v>
      </c>
      <c r="N11" s="34" t="str">
        <f t="shared" si="5"/>
        <v>기존 관심 추적</v>
      </c>
    </row>
    <row r="12" spans="1:14" ht="28.05" customHeight="1">
      <c r="A12" s="6" t="s">
        <v>145</v>
      </c>
      <c r="B12" s="21">
        <v>46600</v>
      </c>
      <c r="C12" s="22" t="s">
        <v>147</v>
      </c>
      <c r="D12" s="23">
        <f>손익계산!D42</f>
        <v>9200</v>
      </c>
      <c r="E12" s="23">
        <f>손익계산!E42</f>
        <v>8740</v>
      </c>
      <c r="F12" s="23">
        <f>손익계산!F42</f>
        <v>8740</v>
      </c>
      <c r="G12" s="24">
        <f t="shared" si="0"/>
        <v>0.95</v>
      </c>
      <c r="H12" s="25">
        <f t="shared" si="1"/>
        <v>0</v>
      </c>
      <c r="I12" s="24">
        <f t="shared" si="2"/>
        <v>0</v>
      </c>
      <c r="J12" s="23">
        <f>(F12-E12)*손익계산!I42</f>
        <v>0</v>
      </c>
      <c r="K12" s="25">
        <f t="shared" si="3"/>
        <v>0</v>
      </c>
      <c r="L12" s="24">
        <f t="shared" si="4"/>
        <v>0.05</v>
      </c>
      <c r="M12" s="26" t="str">
        <f>IF(OR(I12&gt;=버전기준!$B$17,K12&gt;=버전기준!$B$19,L12&gt;=버전기준!$B$21),"중요",IF(OR(I12&gt;=버전기준!$B$16,K12&gt;=버전기준!$B$18,L12&gt;=버전기준!$B$20),"관심","기준 이내"))</f>
        <v>관심</v>
      </c>
      <c r="N12" s="27" t="str">
        <f t="shared" si="5"/>
        <v>기존 관심 추적</v>
      </c>
    </row>
    <row r="13" spans="1:14" ht="28.05" customHeight="1">
      <c r="A13" s="5" t="s">
        <v>145</v>
      </c>
      <c r="B13" s="28">
        <v>46600</v>
      </c>
      <c r="C13" s="29" t="s">
        <v>148</v>
      </c>
      <c r="D13" s="30">
        <f>손익계산!D43</f>
        <v>5520</v>
      </c>
      <c r="E13" s="30">
        <f>손익계산!E43</f>
        <v>5465</v>
      </c>
      <c r="F13" s="30">
        <f>손익계산!F43</f>
        <v>5465</v>
      </c>
      <c r="G13" s="31">
        <f t="shared" si="0"/>
        <v>0.99003623188405798</v>
      </c>
      <c r="H13" s="32">
        <f t="shared" si="1"/>
        <v>0</v>
      </c>
      <c r="I13" s="31">
        <f t="shared" si="2"/>
        <v>0</v>
      </c>
      <c r="J13" s="30">
        <f>(F13-E13)*손익계산!I43</f>
        <v>0</v>
      </c>
      <c r="K13" s="32">
        <f t="shared" si="3"/>
        <v>0</v>
      </c>
      <c r="L13" s="31">
        <f t="shared" si="4"/>
        <v>9.9637700000000003E-3</v>
      </c>
      <c r="M13" s="33" t="str">
        <f>IF(OR(I13&gt;=버전기준!$B$17,K13&gt;=버전기준!$B$19,L13&gt;=버전기준!$B$21),"중요",IF(OR(I13&gt;=버전기준!$B$16,K13&gt;=버전기준!$B$18,L13&gt;=버전기준!$B$20),"관심","기준 이내"))</f>
        <v>기준 이내</v>
      </c>
      <c r="N13" s="34" t="str">
        <f t="shared" si="5"/>
        <v>추가 변경없음</v>
      </c>
    </row>
    <row r="14" spans="1:14" ht="28.05" customHeight="1">
      <c r="A14" s="6" t="s">
        <v>145</v>
      </c>
      <c r="B14" s="21">
        <v>46600</v>
      </c>
      <c r="C14" s="22" t="s">
        <v>149</v>
      </c>
      <c r="D14" s="23">
        <f>손익계산!D44</f>
        <v>4600</v>
      </c>
      <c r="E14" s="23">
        <f>손익계산!E44</f>
        <v>4646</v>
      </c>
      <c r="F14" s="23">
        <f>손익계산!F44</f>
        <v>4646</v>
      </c>
      <c r="G14" s="24">
        <f t="shared" si="0"/>
        <v>1.01</v>
      </c>
      <c r="H14" s="25">
        <f t="shared" si="1"/>
        <v>0</v>
      </c>
      <c r="I14" s="24">
        <f t="shared" si="2"/>
        <v>0</v>
      </c>
      <c r="J14" s="23">
        <f>(F14-E14)*손익계산!I44</f>
        <v>0</v>
      </c>
      <c r="K14" s="25">
        <f t="shared" si="3"/>
        <v>0</v>
      </c>
      <c r="L14" s="24">
        <f t="shared" si="4"/>
        <v>0</v>
      </c>
      <c r="M14" s="26" t="str">
        <f>IF(OR(I14&gt;=버전기준!$B$17,K14&gt;=버전기준!$B$19,L14&gt;=버전기준!$B$21),"중요",IF(OR(I14&gt;=버전기준!$B$16,K14&gt;=버전기준!$B$18,L14&gt;=버전기준!$B$20),"관심","기준 이내"))</f>
        <v>기준 이내</v>
      </c>
      <c r="N14" s="27" t="str">
        <f t="shared" si="5"/>
        <v>추가 변경없음</v>
      </c>
    </row>
    <row r="15" spans="1:14" ht="28.05" customHeight="1">
      <c r="A15" s="5" t="s">
        <v>145</v>
      </c>
      <c r="B15" s="28">
        <v>46600</v>
      </c>
      <c r="C15" s="29" t="s">
        <v>150</v>
      </c>
      <c r="D15" s="30">
        <f>손익계산!D45</f>
        <v>2760</v>
      </c>
      <c r="E15" s="30">
        <f>손익계산!E45</f>
        <v>2732</v>
      </c>
      <c r="F15" s="30">
        <f>손익계산!F45</f>
        <v>2732</v>
      </c>
      <c r="G15" s="31">
        <f t="shared" si="0"/>
        <v>0.98985507246376814</v>
      </c>
      <c r="H15" s="32">
        <f t="shared" si="1"/>
        <v>0</v>
      </c>
      <c r="I15" s="31">
        <f t="shared" si="2"/>
        <v>0</v>
      </c>
      <c r="J15" s="30">
        <f>(F15-E15)*손익계산!I45</f>
        <v>0</v>
      </c>
      <c r="K15" s="32">
        <f t="shared" si="3"/>
        <v>0</v>
      </c>
      <c r="L15" s="31">
        <f t="shared" si="4"/>
        <v>1.014493E-2</v>
      </c>
      <c r="M15" s="33" t="str">
        <f>IF(OR(I15&gt;=버전기준!$B$17,K15&gt;=버전기준!$B$19,L15&gt;=버전기준!$B$21),"중요",IF(OR(I15&gt;=버전기준!$B$16,K15&gt;=버전기준!$B$18,L15&gt;=버전기준!$B$20),"관심","기준 이내"))</f>
        <v>기준 이내</v>
      </c>
      <c r="N15" s="34" t="str">
        <f t="shared" si="5"/>
        <v>추가 변경없음</v>
      </c>
    </row>
    <row r="16" spans="1:14" ht="28.05" customHeight="1">
      <c r="A16" s="6" t="s">
        <v>145</v>
      </c>
      <c r="B16" s="21">
        <v>46631</v>
      </c>
      <c r="C16" s="22" t="s">
        <v>146</v>
      </c>
      <c r="D16" s="23">
        <f>손익계산!D46</f>
        <v>4120</v>
      </c>
      <c r="E16" s="23">
        <f>손익계산!E46</f>
        <v>3914</v>
      </c>
      <c r="F16" s="23">
        <f>손익계산!F46</f>
        <v>3914</v>
      </c>
      <c r="G16" s="24">
        <f t="shared" si="0"/>
        <v>0.95</v>
      </c>
      <c r="H16" s="25">
        <f t="shared" si="1"/>
        <v>0</v>
      </c>
      <c r="I16" s="24">
        <f t="shared" si="2"/>
        <v>0</v>
      </c>
      <c r="J16" s="23">
        <f>(F16-E16)*손익계산!I46</f>
        <v>0</v>
      </c>
      <c r="K16" s="25">
        <f t="shared" si="3"/>
        <v>0</v>
      </c>
      <c r="L16" s="24">
        <f t="shared" si="4"/>
        <v>0.05</v>
      </c>
      <c r="M16" s="26" t="str">
        <f>IF(OR(I16&gt;=버전기준!$B$17,K16&gt;=버전기준!$B$19,L16&gt;=버전기준!$B$21),"중요",IF(OR(I16&gt;=버전기준!$B$16,K16&gt;=버전기준!$B$18,L16&gt;=버전기준!$B$20),"관심","기준 이내"))</f>
        <v>관심</v>
      </c>
      <c r="N16" s="27" t="str">
        <f t="shared" si="5"/>
        <v>기존 관심 추적</v>
      </c>
    </row>
    <row r="17" spans="1:14" ht="28.05" customHeight="1">
      <c r="A17" s="5" t="s">
        <v>145</v>
      </c>
      <c r="B17" s="28">
        <v>46631</v>
      </c>
      <c r="C17" s="29" t="s">
        <v>147</v>
      </c>
      <c r="D17" s="30">
        <f>손익계산!D47</f>
        <v>10300</v>
      </c>
      <c r="E17" s="30">
        <f>손익계산!E47</f>
        <v>9785</v>
      </c>
      <c r="F17" s="30">
        <f>손익계산!F47</f>
        <v>9785</v>
      </c>
      <c r="G17" s="31">
        <f t="shared" si="0"/>
        <v>0.95</v>
      </c>
      <c r="H17" s="32">
        <f t="shared" si="1"/>
        <v>0</v>
      </c>
      <c r="I17" s="31">
        <f t="shared" si="2"/>
        <v>0</v>
      </c>
      <c r="J17" s="30">
        <f>(F17-E17)*손익계산!I47</f>
        <v>0</v>
      </c>
      <c r="K17" s="32">
        <f t="shared" si="3"/>
        <v>0</v>
      </c>
      <c r="L17" s="31">
        <f t="shared" si="4"/>
        <v>0.05</v>
      </c>
      <c r="M17" s="33" t="str">
        <f>IF(OR(I17&gt;=버전기준!$B$17,K17&gt;=버전기준!$B$19,L17&gt;=버전기준!$B$21),"중요",IF(OR(I17&gt;=버전기준!$B$16,K17&gt;=버전기준!$B$18,L17&gt;=버전기준!$B$20),"관심","기준 이내"))</f>
        <v>관심</v>
      </c>
      <c r="N17" s="34" t="str">
        <f t="shared" si="5"/>
        <v>기존 관심 추적</v>
      </c>
    </row>
    <row r="18" spans="1:14" ht="28.05" customHeight="1">
      <c r="A18" s="6" t="s">
        <v>145</v>
      </c>
      <c r="B18" s="21">
        <v>46631</v>
      </c>
      <c r="C18" s="22" t="s">
        <v>148</v>
      </c>
      <c r="D18" s="23">
        <f>손익계산!D48</f>
        <v>6180</v>
      </c>
      <c r="E18" s="23">
        <f>손익계산!E48</f>
        <v>6118</v>
      </c>
      <c r="F18" s="23">
        <f>손익계산!F48</f>
        <v>6118</v>
      </c>
      <c r="G18" s="24">
        <f t="shared" si="0"/>
        <v>0.98996763754045303</v>
      </c>
      <c r="H18" s="25">
        <f t="shared" si="1"/>
        <v>0</v>
      </c>
      <c r="I18" s="24">
        <f t="shared" si="2"/>
        <v>0</v>
      </c>
      <c r="J18" s="23">
        <f>(F18-E18)*손익계산!I48</f>
        <v>0</v>
      </c>
      <c r="K18" s="25">
        <f t="shared" si="3"/>
        <v>0</v>
      </c>
      <c r="L18" s="24">
        <f t="shared" si="4"/>
        <v>1.0032360000000001E-2</v>
      </c>
      <c r="M18" s="26" t="str">
        <f>IF(OR(I18&gt;=버전기준!$B$17,K18&gt;=버전기준!$B$19,L18&gt;=버전기준!$B$21),"중요",IF(OR(I18&gt;=버전기준!$B$16,K18&gt;=버전기준!$B$18,L18&gt;=버전기준!$B$20),"관심","기준 이내"))</f>
        <v>기준 이내</v>
      </c>
      <c r="N18" s="27" t="str">
        <f t="shared" si="5"/>
        <v>추가 변경없음</v>
      </c>
    </row>
    <row r="19" spans="1:14" ht="28.05" customHeight="1">
      <c r="A19" s="5" t="s">
        <v>145</v>
      </c>
      <c r="B19" s="28">
        <v>46631</v>
      </c>
      <c r="C19" s="29" t="s">
        <v>149</v>
      </c>
      <c r="D19" s="30">
        <f>손익계산!D49</f>
        <v>5150</v>
      </c>
      <c r="E19" s="30">
        <f>손익계산!E49</f>
        <v>5202</v>
      </c>
      <c r="F19" s="30">
        <f>손익계산!F49</f>
        <v>5202</v>
      </c>
      <c r="G19" s="31">
        <f t="shared" si="0"/>
        <v>1.0100970873786408</v>
      </c>
      <c r="H19" s="32">
        <f t="shared" si="1"/>
        <v>0</v>
      </c>
      <c r="I19" s="31">
        <f t="shared" si="2"/>
        <v>0</v>
      </c>
      <c r="J19" s="30">
        <f>(F19-E19)*손익계산!I49</f>
        <v>0</v>
      </c>
      <c r="K19" s="32">
        <f t="shared" si="3"/>
        <v>0</v>
      </c>
      <c r="L19" s="31">
        <f t="shared" si="4"/>
        <v>0</v>
      </c>
      <c r="M19" s="33" t="str">
        <f>IF(OR(I19&gt;=버전기준!$B$17,K19&gt;=버전기준!$B$19,L19&gt;=버전기준!$B$21),"중요",IF(OR(I19&gt;=버전기준!$B$16,K19&gt;=버전기준!$B$18,L19&gt;=버전기준!$B$20),"관심","기준 이내"))</f>
        <v>기준 이내</v>
      </c>
      <c r="N19" s="34" t="str">
        <f t="shared" si="5"/>
        <v>추가 변경없음</v>
      </c>
    </row>
    <row r="20" spans="1:14" ht="28.05" customHeight="1">
      <c r="A20" s="6" t="s">
        <v>145</v>
      </c>
      <c r="B20" s="21">
        <v>46631</v>
      </c>
      <c r="C20" s="22" t="s">
        <v>150</v>
      </c>
      <c r="D20" s="23">
        <f>손익계산!D50</f>
        <v>3090</v>
      </c>
      <c r="E20" s="23">
        <f>손익계산!E50</f>
        <v>3059</v>
      </c>
      <c r="F20" s="23">
        <f>손익계산!F50</f>
        <v>3059</v>
      </c>
      <c r="G20" s="24">
        <f t="shared" si="0"/>
        <v>0.98996763754045303</v>
      </c>
      <c r="H20" s="25">
        <f t="shared" si="1"/>
        <v>0</v>
      </c>
      <c r="I20" s="24">
        <f t="shared" si="2"/>
        <v>0</v>
      </c>
      <c r="J20" s="23">
        <f>(F20-E20)*손익계산!I50</f>
        <v>0</v>
      </c>
      <c r="K20" s="25">
        <f t="shared" si="3"/>
        <v>0</v>
      </c>
      <c r="L20" s="24">
        <f t="shared" si="4"/>
        <v>1.0032360000000001E-2</v>
      </c>
      <c r="M20" s="26" t="str">
        <f>IF(OR(I20&gt;=버전기준!$B$17,K20&gt;=버전기준!$B$19,L20&gt;=버전기준!$B$21),"중요",IF(OR(I20&gt;=버전기준!$B$16,K20&gt;=버전기준!$B$18,L20&gt;=버전기준!$B$20),"관심","기준 이내"))</f>
        <v>기준 이내</v>
      </c>
      <c r="N20" s="27" t="str">
        <f t="shared" si="5"/>
        <v>추가 변경없음</v>
      </c>
    </row>
  </sheetData>
  <phoneticPr fontId="10" type="noConversion"/>
  <conditionalFormatting sqref="M6:M20">
    <cfRule type="containsText" dxfId="1" priority="1" operator="containsText" text="중요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"/>
  <sheetViews>
    <sheetView showGridLines="0" workbookViewId="0">
      <pane xSplit="1" ySplit="5" topLeftCell="E32" activePane="bottomRight" state="frozen"/>
      <selection pane="topRight"/>
      <selection pane="bottomLeft"/>
      <selection pane="bottomRight" activeCell="O32" sqref="O32"/>
    </sheetView>
  </sheetViews>
  <sheetFormatPr defaultRowHeight="13.8"/>
  <cols>
    <col min="1" max="1" width="13.09765625" customWidth="1"/>
    <col min="2" max="2" width="8.69921875" customWidth="1"/>
    <col min="3" max="3" width="13.69921875" customWidth="1"/>
    <col min="4" max="4" width="12.19921875" customWidth="1"/>
    <col min="5" max="5" width="10.69921875" customWidth="1"/>
    <col min="6" max="6" width="11.69921875" customWidth="1"/>
    <col min="7" max="7" width="13.8984375" customWidth="1"/>
    <col min="8" max="8" width="14.09765625" customWidth="1"/>
    <col min="9" max="9" width="13.296875" customWidth="1"/>
    <col min="10" max="10" width="14.19921875" customWidth="1"/>
    <col min="11" max="11" width="17.09765625" customWidth="1"/>
    <col min="12" max="12" width="15.3984375" customWidth="1"/>
    <col min="13" max="13" width="13.09765625" customWidth="1"/>
    <col min="14" max="14" width="16" customWidth="1"/>
    <col min="15" max="15" width="14.3984375" customWidth="1"/>
    <col min="16" max="16" width="10.8984375" customWidth="1"/>
    <col min="17" max="17" width="15.3984375" customWidth="1"/>
    <col min="18" max="18" width="15.898437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1.95" customHeight="1">
      <c r="A2" s="2" t="s">
        <v>151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3" t="s">
        <v>152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7.950000000000003" customHeight="1">
      <c r="A5" s="20" t="s">
        <v>132</v>
      </c>
      <c r="B5" s="20" t="s">
        <v>153</v>
      </c>
      <c r="C5" s="20" t="s">
        <v>133</v>
      </c>
      <c r="D5" s="20" t="s">
        <v>154</v>
      </c>
      <c r="E5" s="20" t="s">
        <v>155</v>
      </c>
      <c r="F5" s="20" t="s">
        <v>156</v>
      </c>
      <c r="G5" s="20" t="s">
        <v>157</v>
      </c>
      <c r="H5" s="20" t="s">
        <v>158</v>
      </c>
      <c r="I5" s="20" t="s">
        <v>159</v>
      </c>
      <c r="J5" s="20" t="s">
        <v>160</v>
      </c>
      <c r="K5" s="20" t="s">
        <v>161</v>
      </c>
      <c r="L5" s="20" t="s">
        <v>162</v>
      </c>
      <c r="M5" s="20" t="s">
        <v>163</v>
      </c>
      <c r="N5" s="20" t="s">
        <v>164</v>
      </c>
      <c r="O5" s="20" t="s">
        <v>165</v>
      </c>
      <c r="P5" s="20" t="s">
        <v>166</v>
      </c>
      <c r="Q5" s="20" t="s">
        <v>167</v>
      </c>
      <c r="R5" s="20" t="s">
        <v>168</v>
      </c>
    </row>
    <row r="6" spans="1:18" ht="28.05" customHeight="1">
      <c r="A6" s="15">
        <v>46388</v>
      </c>
      <c r="B6" s="22">
        <v>1</v>
      </c>
      <c r="C6" s="22" t="s">
        <v>146</v>
      </c>
      <c r="D6" s="23">
        <f>물량스냅샷!F6</f>
        <v>4080</v>
      </c>
      <c r="E6" s="23">
        <f>물량스냅샷!F66</f>
        <v>4080</v>
      </c>
      <c r="F6" s="23">
        <f>물량스냅샷!F126</f>
        <v>4080</v>
      </c>
      <c r="G6" s="23">
        <f>단위원가!F6</f>
        <v>300000</v>
      </c>
      <c r="H6" s="23">
        <f>단위원가!J6</f>
        <v>270000</v>
      </c>
      <c r="I6" s="23">
        <f>단위원가!K6</f>
        <v>30000</v>
      </c>
      <c r="J6" s="25">
        <f t="shared" ref="J6:J37" si="0">D6*G6</f>
        <v>1224000000</v>
      </c>
      <c r="K6" s="25">
        <f t="shared" ref="K6:K37" si="1">E6*G6</f>
        <v>1224000000</v>
      </c>
      <c r="L6" s="25">
        <f t="shared" ref="L6:L37" si="2">F6*G6</f>
        <v>1224000000</v>
      </c>
      <c r="M6" s="25">
        <f t="shared" ref="M6:M37" si="3">D6*I6</f>
        <v>122400000</v>
      </c>
      <c r="N6" s="25">
        <f t="shared" ref="N6:N37" si="4">E6*I6</f>
        <v>122400000</v>
      </c>
      <c r="O6" s="25">
        <f t="shared" ref="O6:O37" si="5">F6*I6</f>
        <v>122400000</v>
      </c>
      <c r="P6" s="23">
        <f>실적!H6</f>
        <v>4080</v>
      </c>
      <c r="Q6" s="25">
        <f t="shared" ref="Q6:Q35" si="6">P6*G6</f>
        <v>1224000000</v>
      </c>
      <c r="R6" s="25">
        <f t="shared" ref="R6:R35" si="7">P6*I6</f>
        <v>122400000</v>
      </c>
    </row>
    <row r="7" spans="1:18" ht="28.05" customHeight="1">
      <c r="A7" s="16">
        <v>46388</v>
      </c>
      <c r="B7" s="29">
        <v>1</v>
      </c>
      <c r="C7" s="29" t="s">
        <v>147</v>
      </c>
      <c r="D7" s="30">
        <f>물량스냅샷!F7</f>
        <v>10200</v>
      </c>
      <c r="E7" s="30">
        <f>물량스냅샷!F67</f>
        <v>10200</v>
      </c>
      <c r="F7" s="30">
        <f>물량스냅샷!F127</f>
        <v>10200</v>
      </c>
      <c r="G7" s="30">
        <f>단위원가!F7</f>
        <v>180000</v>
      </c>
      <c r="H7" s="30">
        <f>단위원가!J7</f>
        <v>160000</v>
      </c>
      <c r="I7" s="30">
        <f>단위원가!K7</f>
        <v>20000</v>
      </c>
      <c r="J7" s="32">
        <f t="shared" si="0"/>
        <v>1836000000</v>
      </c>
      <c r="K7" s="32">
        <f t="shared" si="1"/>
        <v>1836000000</v>
      </c>
      <c r="L7" s="32">
        <f t="shared" si="2"/>
        <v>1836000000</v>
      </c>
      <c r="M7" s="32">
        <f t="shared" si="3"/>
        <v>204000000</v>
      </c>
      <c r="N7" s="32">
        <f t="shared" si="4"/>
        <v>204000000</v>
      </c>
      <c r="O7" s="32">
        <f t="shared" si="5"/>
        <v>204000000</v>
      </c>
      <c r="P7" s="30">
        <f>실적!H7</f>
        <v>10200</v>
      </c>
      <c r="Q7" s="32">
        <f t="shared" si="6"/>
        <v>1836000000</v>
      </c>
      <c r="R7" s="32">
        <f t="shared" si="7"/>
        <v>204000000</v>
      </c>
    </row>
    <row r="8" spans="1:18" ht="28.05" customHeight="1">
      <c r="A8" s="15">
        <v>46388</v>
      </c>
      <c r="B8" s="22">
        <v>1</v>
      </c>
      <c r="C8" s="22" t="s">
        <v>148</v>
      </c>
      <c r="D8" s="23">
        <f>물량스냅샷!F8</f>
        <v>6120</v>
      </c>
      <c r="E8" s="23">
        <f>물량스냅샷!F68</f>
        <v>6059</v>
      </c>
      <c r="F8" s="23">
        <f>물량스냅샷!F128</f>
        <v>6059</v>
      </c>
      <c r="G8" s="23">
        <f>단위원가!F8</f>
        <v>230000</v>
      </c>
      <c r="H8" s="23">
        <f>단위원가!J8</f>
        <v>202000</v>
      </c>
      <c r="I8" s="23">
        <f>단위원가!K8</f>
        <v>28000</v>
      </c>
      <c r="J8" s="25">
        <f t="shared" si="0"/>
        <v>1407600000</v>
      </c>
      <c r="K8" s="25">
        <f t="shared" si="1"/>
        <v>1393570000</v>
      </c>
      <c r="L8" s="25">
        <f t="shared" si="2"/>
        <v>1393570000</v>
      </c>
      <c r="M8" s="25">
        <f t="shared" si="3"/>
        <v>171360000</v>
      </c>
      <c r="N8" s="25">
        <f t="shared" si="4"/>
        <v>169652000</v>
      </c>
      <c r="O8" s="25">
        <f t="shared" si="5"/>
        <v>169652000</v>
      </c>
      <c r="P8" s="23">
        <f>실적!H8</f>
        <v>6059</v>
      </c>
      <c r="Q8" s="25">
        <f t="shared" si="6"/>
        <v>1393570000</v>
      </c>
      <c r="R8" s="25">
        <f t="shared" si="7"/>
        <v>169652000</v>
      </c>
    </row>
    <row r="9" spans="1:18" ht="28.05" customHeight="1">
      <c r="A9" s="16">
        <v>46388</v>
      </c>
      <c r="B9" s="29">
        <v>1</v>
      </c>
      <c r="C9" s="29" t="s">
        <v>149</v>
      </c>
      <c r="D9" s="30">
        <f>물량스냅샷!F9</f>
        <v>5100</v>
      </c>
      <c r="E9" s="30">
        <f>물량스냅샷!F69</f>
        <v>5151</v>
      </c>
      <c r="F9" s="30">
        <f>물량스냅샷!F129</f>
        <v>5151</v>
      </c>
      <c r="G9" s="30">
        <f>단위원가!F9</f>
        <v>210000</v>
      </c>
      <c r="H9" s="30">
        <f>단위원가!J9</f>
        <v>185000</v>
      </c>
      <c r="I9" s="30">
        <f>단위원가!K9</f>
        <v>25000</v>
      </c>
      <c r="J9" s="32">
        <f t="shared" si="0"/>
        <v>1071000000</v>
      </c>
      <c r="K9" s="32">
        <f t="shared" si="1"/>
        <v>1081710000</v>
      </c>
      <c r="L9" s="32">
        <f t="shared" si="2"/>
        <v>1081710000</v>
      </c>
      <c r="M9" s="32">
        <f t="shared" si="3"/>
        <v>127500000</v>
      </c>
      <c r="N9" s="32">
        <f t="shared" si="4"/>
        <v>128775000</v>
      </c>
      <c r="O9" s="32">
        <f t="shared" si="5"/>
        <v>128775000</v>
      </c>
      <c r="P9" s="30">
        <f>실적!H9</f>
        <v>5151</v>
      </c>
      <c r="Q9" s="32">
        <f t="shared" si="6"/>
        <v>1081710000</v>
      </c>
      <c r="R9" s="32">
        <f t="shared" si="7"/>
        <v>128775000</v>
      </c>
    </row>
    <row r="10" spans="1:18" ht="28.05" customHeight="1">
      <c r="A10" s="15">
        <v>46388</v>
      </c>
      <c r="B10" s="22">
        <v>1</v>
      </c>
      <c r="C10" s="22" t="s">
        <v>150</v>
      </c>
      <c r="D10" s="23">
        <f>물량스냅샷!F10</f>
        <v>3060</v>
      </c>
      <c r="E10" s="23">
        <f>물량스냅샷!F70</f>
        <v>3029</v>
      </c>
      <c r="F10" s="23">
        <f>물량스냅샷!F130</f>
        <v>3029</v>
      </c>
      <c r="G10" s="23">
        <f>단위원가!F10</f>
        <v>150000</v>
      </c>
      <c r="H10" s="23">
        <f>단위원가!J10</f>
        <v>132000</v>
      </c>
      <c r="I10" s="23">
        <f>단위원가!K10</f>
        <v>18000</v>
      </c>
      <c r="J10" s="25">
        <f t="shared" si="0"/>
        <v>459000000</v>
      </c>
      <c r="K10" s="25">
        <f t="shared" si="1"/>
        <v>454350000</v>
      </c>
      <c r="L10" s="25">
        <f t="shared" si="2"/>
        <v>454350000</v>
      </c>
      <c r="M10" s="25">
        <f t="shared" si="3"/>
        <v>55080000</v>
      </c>
      <c r="N10" s="25">
        <f t="shared" si="4"/>
        <v>54522000</v>
      </c>
      <c r="O10" s="25">
        <f t="shared" si="5"/>
        <v>54522000</v>
      </c>
      <c r="P10" s="23">
        <f>실적!H10</f>
        <v>3029</v>
      </c>
      <c r="Q10" s="25">
        <f t="shared" si="6"/>
        <v>454350000</v>
      </c>
      <c r="R10" s="25">
        <f t="shared" si="7"/>
        <v>54522000</v>
      </c>
    </row>
    <row r="11" spans="1:18" ht="28.05" customHeight="1">
      <c r="A11" s="16">
        <v>46419</v>
      </c>
      <c r="B11" s="29">
        <v>1</v>
      </c>
      <c r="C11" s="29" t="s">
        <v>146</v>
      </c>
      <c r="D11" s="30">
        <f>물량스냅샷!F11</f>
        <v>3600</v>
      </c>
      <c r="E11" s="30">
        <f>물량스냅샷!F71</f>
        <v>3564</v>
      </c>
      <c r="F11" s="30">
        <f>물량스냅샷!F131</f>
        <v>3564</v>
      </c>
      <c r="G11" s="30">
        <f>단위원가!F11</f>
        <v>300000</v>
      </c>
      <c r="H11" s="30">
        <f>단위원가!J11</f>
        <v>270000</v>
      </c>
      <c r="I11" s="30">
        <f>단위원가!K11</f>
        <v>30000</v>
      </c>
      <c r="J11" s="32">
        <f t="shared" si="0"/>
        <v>1080000000</v>
      </c>
      <c r="K11" s="32">
        <f t="shared" si="1"/>
        <v>1069200000</v>
      </c>
      <c r="L11" s="32">
        <f t="shared" si="2"/>
        <v>1069200000</v>
      </c>
      <c r="M11" s="32">
        <f t="shared" si="3"/>
        <v>108000000</v>
      </c>
      <c r="N11" s="32">
        <f t="shared" si="4"/>
        <v>106920000</v>
      </c>
      <c r="O11" s="32">
        <f t="shared" si="5"/>
        <v>106920000</v>
      </c>
      <c r="P11" s="30">
        <f>실적!H11</f>
        <v>3564</v>
      </c>
      <c r="Q11" s="32">
        <f t="shared" si="6"/>
        <v>1069200000</v>
      </c>
      <c r="R11" s="32">
        <f t="shared" si="7"/>
        <v>106920000</v>
      </c>
    </row>
    <row r="12" spans="1:18" ht="28.05" customHeight="1">
      <c r="A12" s="15">
        <v>46419</v>
      </c>
      <c r="B12" s="22">
        <v>1</v>
      </c>
      <c r="C12" s="22" t="s">
        <v>147</v>
      </c>
      <c r="D12" s="23">
        <f>물량스냅샷!F12</f>
        <v>9000</v>
      </c>
      <c r="E12" s="23">
        <f>물량스냅샷!F72</f>
        <v>8910</v>
      </c>
      <c r="F12" s="23">
        <f>물량스냅샷!F132</f>
        <v>8910</v>
      </c>
      <c r="G12" s="23">
        <f>단위원가!F12</f>
        <v>180000</v>
      </c>
      <c r="H12" s="23">
        <f>단위원가!J12</f>
        <v>160000</v>
      </c>
      <c r="I12" s="23">
        <f>단위원가!K12</f>
        <v>20000</v>
      </c>
      <c r="J12" s="25">
        <f t="shared" si="0"/>
        <v>1620000000</v>
      </c>
      <c r="K12" s="25">
        <f t="shared" si="1"/>
        <v>1603800000</v>
      </c>
      <c r="L12" s="25">
        <f t="shared" si="2"/>
        <v>1603800000</v>
      </c>
      <c r="M12" s="25">
        <f t="shared" si="3"/>
        <v>180000000</v>
      </c>
      <c r="N12" s="25">
        <f t="shared" si="4"/>
        <v>178200000</v>
      </c>
      <c r="O12" s="25">
        <f t="shared" si="5"/>
        <v>178200000</v>
      </c>
      <c r="P12" s="23">
        <f>실적!H12</f>
        <v>8910</v>
      </c>
      <c r="Q12" s="25">
        <f t="shared" si="6"/>
        <v>1603800000</v>
      </c>
      <c r="R12" s="25">
        <f t="shared" si="7"/>
        <v>178200000</v>
      </c>
    </row>
    <row r="13" spans="1:18" ht="28.05" customHeight="1">
      <c r="A13" s="16">
        <v>46419</v>
      </c>
      <c r="B13" s="29">
        <v>1</v>
      </c>
      <c r="C13" s="29" t="s">
        <v>148</v>
      </c>
      <c r="D13" s="30">
        <f>물량스냅샷!F13</f>
        <v>5400</v>
      </c>
      <c r="E13" s="30">
        <f>물량스냅샷!F73</f>
        <v>5346</v>
      </c>
      <c r="F13" s="30">
        <f>물량스냅샷!F133</f>
        <v>5346</v>
      </c>
      <c r="G13" s="30">
        <f>단위원가!F13</f>
        <v>230000</v>
      </c>
      <c r="H13" s="30">
        <f>단위원가!J13</f>
        <v>202000</v>
      </c>
      <c r="I13" s="30">
        <f>단위원가!K13</f>
        <v>28000</v>
      </c>
      <c r="J13" s="32">
        <f t="shared" si="0"/>
        <v>1242000000</v>
      </c>
      <c r="K13" s="32">
        <f t="shared" si="1"/>
        <v>1229580000</v>
      </c>
      <c r="L13" s="32">
        <f t="shared" si="2"/>
        <v>1229580000</v>
      </c>
      <c r="M13" s="32">
        <f t="shared" si="3"/>
        <v>151200000</v>
      </c>
      <c r="N13" s="32">
        <f t="shared" si="4"/>
        <v>149688000</v>
      </c>
      <c r="O13" s="32">
        <f t="shared" si="5"/>
        <v>149688000</v>
      </c>
      <c r="P13" s="30">
        <f>실적!H13</f>
        <v>5346</v>
      </c>
      <c r="Q13" s="32">
        <f t="shared" si="6"/>
        <v>1229580000</v>
      </c>
      <c r="R13" s="32">
        <f t="shared" si="7"/>
        <v>149688000</v>
      </c>
    </row>
    <row r="14" spans="1:18" ht="28.05" customHeight="1">
      <c r="A14" s="15">
        <v>46419</v>
      </c>
      <c r="B14" s="22">
        <v>1</v>
      </c>
      <c r="C14" s="22" t="s">
        <v>149</v>
      </c>
      <c r="D14" s="23">
        <f>물량스냅샷!F14</f>
        <v>4500</v>
      </c>
      <c r="E14" s="23">
        <f>물량스냅샷!F74</f>
        <v>4545</v>
      </c>
      <c r="F14" s="23">
        <f>물량스냅샷!F134</f>
        <v>4545</v>
      </c>
      <c r="G14" s="23">
        <f>단위원가!F14</f>
        <v>210000</v>
      </c>
      <c r="H14" s="23">
        <f>단위원가!J14</f>
        <v>185000</v>
      </c>
      <c r="I14" s="23">
        <f>단위원가!K14</f>
        <v>25000</v>
      </c>
      <c r="J14" s="25">
        <f t="shared" si="0"/>
        <v>945000000</v>
      </c>
      <c r="K14" s="25">
        <f t="shared" si="1"/>
        <v>954450000</v>
      </c>
      <c r="L14" s="25">
        <f t="shared" si="2"/>
        <v>954450000</v>
      </c>
      <c r="M14" s="25">
        <f t="shared" si="3"/>
        <v>112500000</v>
      </c>
      <c r="N14" s="25">
        <f t="shared" si="4"/>
        <v>113625000</v>
      </c>
      <c r="O14" s="25">
        <f t="shared" si="5"/>
        <v>113625000</v>
      </c>
      <c r="P14" s="23">
        <f>실적!H14</f>
        <v>4545</v>
      </c>
      <c r="Q14" s="25">
        <f t="shared" si="6"/>
        <v>954450000</v>
      </c>
      <c r="R14" s="25">
        <f t="shared" si="7"/>
        <v>113625000</v>
      </c>
    </row>
    <row r="15" spans="1:18" ht="28.05" customHeight="1">
      <c r="A15" s="16">
        <v>46419</v>
      </c>
      <c r="B15" s="29">
        <v>1</v>
      </c>
      <c r="C15" s="29" t="s">
        <v>150</v>
      </c>
      <c r="D15" s="30">
        <f>물량스냅샷!F15</f>
        <v>2700</v>
      </c>
      <c r="E15" s="30">
        <f>물량스냅샷!F75</f>
        <v>2673</v>
      </c>
      <c r="F15" s="30">
        <f>물량스냅샷!F135</f>
        <v>2673</v>
      </c>
      <c r="G15" s="30">
        <f>단위원가!F15</f>
        <v>150000</v>
      </c>
      <c r="H15" s="30">
        <f>단위원가!J15</f>
        <v>132000</v>
      </c>
      <c r="I15" s="30">
        <f>단위원가!K15</f>
        <v>18000</v>
      </c>
      <c r="J15" s="32">
        <f t="shared" si="0"/>
        <v>405000000</v>
      </c>
      <c r="K15" s="32">
        <f t="shared" si="1"/>
        <v>400950000</v>
      </c>
      <c r="L15" s="32">
        <f t="shared" si="2"/>
        <v>400950000</v>
      </c>
      <c r="M15" s="32">
        <f t="shared" si="3"/>
        <v>48600000</v>
      </c>
      <c r="N15" s="32">
        <f t="shared" si="4"/>
        <v>48114000</v>
      </c>
      <c r="O15" s="32">
        <f t="shared" si="5"/>
        <v>48114000</v>
      </c>
      <c r="P15" s="30">
        <f>실적!H15</f>
        <v>2673</v>
      </c>
      <c r="Q15" s="32">
        <f t="shared" si="6"/>
        <v>400950000</v>
      </c>
      <c r="R15" s="32">
        <f t="shared" si="7"/>
        <v>48114000</v>
      </c>
    </row>
    <row r="16" spans="1:18" ht="28.05" customHeight="1">
      <c r="A16" s="15">
        <v>46447</v>
      </c>
      <c r="B16" s="22">
        <v>1</v>
      </c>
      <c r="C16" s="22" t="s">
        <v>146</v>
      </c>
      <c r="D16" s="23">
        <f>물량스냅샷!F16</f>
        <v>4200</v>
      </c>
      <c r="E16" s="23">
        <f>물량스냅샷!F76</f>
        <v>4116</v>
      </c>
      <c r="F16" s="23">
        <f>물량스냅샷!F136</f>
        <v>4116</v>
      </c>
      <c r="G16" s="23">
        <f>단위원가!F16</f>
        <v>300000</v>
      </c>
      <c r="H16" s="23">
        <f>단위원가!J16</f>
        <v>270000</v>
      </c>
      <c r="I16" s="23">
        <f>단위원가!K16</f>
        <v>30000</v>
      </c>
      <c r="J16" s="25">
        <f t="shared" si="0"/>
        <v>1260000000</v>
      </c>
      <c r="K16" s="25">
        <f t="shared" si="1"/>
        <v>1234800000</v>
      </c>
      <c r="L16" s="25">
        <f t="shared" si="2"/>
        <v>1234800000</v>
      </c>
      <c r="M16" s="25">
        <f t="shared" si="3"/>
        <v>126000000</v>
      </c>
      <c r="N16" s="25">
        <f t="shared" si="4"/>
        <v>123480000</v>
      </c>
      <c r="O16" s="25">
        <f t="shared" si="5"/>
        <v>123480000</v>
      </c>
      <c r="P16" s="23">
        <f>실적!H16</f>
        <v>4116</v>
      </c>
      <c r="Q16" s="25">
        <f t="shared" si="6"/>
        <v>1234800000</v>
      </c>
      <c r="R16" s="25">
        <f t="shared" si="7"/>
        <v>123480000</v>
      </c>
    </row>
    <row r="17" spans="1:18" ht="28.05" customHeight="1">
      <c r="A17" s="16">
        <v>46447</v>
      </c>
      <c r="B17" s="29">
        <v>1</v>
      </c>
      <c r="C17" s="29" t="s">
        <v>147</v>
      </c>
      <c r="D17" s="30">
        <f>물량스냅샷!F17</f>
        <v>10500</v>
      </c>
      <c r="E17" s="30">
        <f>물량스냅샷!F77</f>
        <v>10290</v>
      </c>
      <c r="F17" s="30">
        <f>물량스냅샷!F137</f>
        <v>10290</v>
      </c>
      <c r="G17" s="30">
        <f>단위원가!F17</f>
        <v>180000</v>
      </c>
      <c r="H17" s="30">
        <f>단위원가!J17</f>
        <v>160000</v>
      </c>
      <c r="I17" s="30">
        <f>단위원가!K17</f>
        <v>20000</v>
      </c>
      <c r="J17" s="32">
        <f t="shared" si="0"/>
        <v>1890000000</v>
      </c>
      <c r="K17" s="32">
        <f t="shared" si="1"/>
        <v>1852200000</v>
      </c>
      <c r="L17" s="32">
        <f t="shared" si="2"/>
        <v>1852200000</v>
      </c>
      <c r="M17" s="32">
        <f t="shared" si="3"/>
        <v>210000000</v>
      </c>
      <c r="N17" s="32">
        <f t="shared" si="4"/>
        <v>205800000</v>
      </c>
      <c r="O17" s="32">
        <f t="shared" si="5"/>
        <v>205800000</v>
      </c>
      <c r="P17" s="30">
        <f>실적!H17</f>
        <v>10290</v>
      </c>
      <c r="Q17" s="32">
        <f t="shared" si="6"/>
        <v>1852200000</v>
      </c>
      <c r="R17" s="32">
        <f t="shared" si="7"/>
        <v>205800000</v>
      </c>
    </row>
    <row r="18" spans="1:18" ht="28.05" customHeight="1">
      <c r="A18" s="15">
        <v>46447</v>
      </c>
      <c r="B18" s="22">
        <v>1</v>
      </c>
      <c r="C18" s="22" t="s">
        <v>148</v>
      </c>
      <c r="D18" s="23">
        <f>물량스냅샷!F18</f>
        <v>6300</v>
      </c>
      <c r="E18" s="23">
        <f>물량스냅샷!F78</f>
        <v>6237</v>
      </c>
      <c r="F18" s="23">
        <f>물량스냅샷!F138</f>
        <v>6237</v>
      </c>
      <c r="G18" s="23">
        <f>단위원가!F18</f>
        <v>230000</v>
      </c>
      <c r="H18" s="23">
        <f>단위원가!J18</f>
        <v>202000</v>
      </c>
      <c r="I18" s="23">
        <f>단위원가!K18</f>
        <v>28000</v>
      </c>
      <c r="J18" s="25">
        <f t="shared" si="0"/>
        <v>1449000000</v>
      </c>
      <c r="K18" s="25">
        <f t="shared" si="1"/>
        <v>1434510000</v>
      </c>
      <c r="L18" s="25">
        <f t="shared" si="2"/>
        <v>1434510000</v>
      </c>
      <c r="M18" s="25">
        <f t="shared" si="3"/>
        <v>176400000</v>
      </c>
      <c r="N18" s="25">
        <f t="shared" si="4"/>
        <v>174636000</v>
      </c>
      <c r="O18" s="25">
        <f t="shared" si="5"/>
        <v>174636000</v>
      </c>
      <c r="P18" s="23">
        <f>실적!H18</f>
        <v>6237</v>
      </c>
      <c r="Q18" s="25">
        <f t="shared" si="6"/>
        <v>1434510000</v>
      </c>
      <c r="R18" s="25">
        <f t="shared" si="7"/>
        <v>174636000</v>
      </c>
    </row>
    <row r="19" spans="1:18" ht="28.05" customHeight="1">
      <c r="A19" s="16">
        <v>46447</v>
      </c>
      <c r="B19" s="29">
        <v>1</v>
      </c>
      <c r="C19" s="29" t="s">
        <v>149</v>
      </c>
      <c r="D19" s="30">
        <f>물량스냅샷!F19</f>
        <v>5250</v>
      </c>
      <c r="E19" s="30">
        <f>물량스냅샷!F79</f>
        <v>5303</v>
      </c>
      <c r="F19" s="30">
        <f>물량스냅샷!F139</f>
        <v>5303</v>
      </c>
      <c r="G19" s="30">
        <f>단위원가!F19</f>
        <v>210000</v>
      </c>
      <c r="H19" s="30">
        <f>단위원가!J19</f>
        <v>185000</v>
      </c>
      <c r="I19" s="30">
        <f>단위원가!K19</f>
        <v>25000</v>
      </c>
      <c r="J19" s="32">
        <f t="shared" si="0"/>
        <v>1102500000</v>
      </c>
      <c r="K19" s="32">
        <f t="shared" si="1"/>
        <v>1113630000</v>
      </c>
      <c r="L19" s="32">
        <f t="shared" si="2"/>
        <v>1113630000</v>
      </c>
      <c r="M19" s="32">
        <f t="shared" si="3"/>
        <v>131250000</v>
      </c>
      <c r="N19" s="32">
        <f t="shared" si="4"/>
        <v>132575000</v>
      </c>
      <c r="O19" s="32">
        <f t="shared" si="5"/>
        <v>132575000</v>
      </c>
      <c r="P19" s="30">
        <f>실적!H19</f>
        <v>5303</v>
      </c>
      <c r="Q19" s="32">
        <f t="shared" si="6"/>
        <v>1113630000</v>
      </c>
      <c r="R19" s="32">
        <f t="shared" si="7"/>
        <v>132575000</v>
      </c>
    </row>
    <row r="20" spans="1:18" ht="28.05" customHeight="1">
      <c r="A20" s="15">
        <v>46447</v>
      </c>
      <c r="B20" s="22">
        <v>1</v>
      </c>
      <c r="C20" s="22" t="s">
        <v>150</v>
      </c>
      <c r="D20" s="23">
        <f>물량스냅샷!F20</f>
        <v>3150</v>
      </c>
      <c r="E20" s="23">
        <f>물량스냅샷!F80</f>
        <v>3119</v>
      </c>
      <c r="F20" s="23">
        <f>물량스냅샷!F140</f>
        <v>3119</v>
      </c>
      <c r="G20" s="23">
        <f>단위원가!F20</f>
        <v>150000</v>
      </c>
      <c r="H20" s="23">
        <f>단위원가!J20</f>
        <v>132000</v>
      </c>
      <c r="I20" s="23">
        <f>단위원가!K20</f>
        <v>18000</v>
      </c>
      <c r="J20" s="25">
        <f t="shared" si="0"/>
        <v>472500000</v>
      </c>
      <c r="K20" s="25">
        <f t="shared" si="1"/>
        <v>467850000</v>
      </c>
      <c r="L20" s="25">
        <f t="shared" si="2"/>
        <v>467850000</v>
      </c>
      <c r="M20" s="25">
        <f t="shared" si="3"/>
        <v>56700000</v>
      </c>
      <c r="N20" s="25">
        <f t="shared" si="4"/>
        <v>56142000</v>
      </c>
      <c r="O20" s="25">
        <f t="shared" si="5"/>
        <v>56142000</v>
      </c>
      <c r="P20" s="23">
        <f>실적!H20</f>
        <v>3119</v>
      </c>
      <c r="Q20" s="25">
        <f t="shared" si="6"/>
        <v>467850000</v>
      </c>
      <c r="R20" s="25">
        <f t="shared" si="7"/>
        <v>56142000</v>
      </c>
    </row>
    <row r="21" spans="1:18" ht="28.05" customHeight="1">
      <c r="A21" s="16">
        <v>46478</v>
      </c>
      <c r="B21" s="29">
        <v>2</v>
      </c>
      <c r="C21" s="29" t="s">
        <v>146</v>
      </c>
      <c r="D21" s="30">
        <f>물량스냅샷!F21</f>
        <v>4000</v>
      </c>
      <c r="E21" s="30">
        <f>물량스냅샷!F81</f>
        <v>3880</v>
      </c>
      <c r="F21" s="30">
        <f>물량스냅샷!F141</f>
        <v>3880</v>
      </c>
      <c r="G21" s="30">
        <f>단위원가!F21</f>
        <v>300000</v>
      </c>
      <c r="H21" s="30">
        <f>단위원가!J21</f>
        <v>270000</v>
      </c>
      <c r="I21" s="30">
        <f>단위원가!K21</f>
        <v>30000</v>
      </c>
      <c r="J21" s="32">
        <f t="shared" si="0"/>
        <v>1200000000</v>
      </c>
      <c r="K21" s="32">
        <f t="shared" si="1"/>
        <v>1164000000</v>
      </c>
      <c r="L21" s="32">
        <f t="shared" si="2"/>
        <v>1164000000</v>
      </c>
      <c r="M21" s="32">
        <f t="shared" si="3"/>
        <v>120000000</v>
      </c>
      <c r="N21" s="32">
        <f t="shared" si="4"/>
        <v>116400000</v>
      </c>
      <c r="O21" s="32">
        <f t="shared" si="5"/>
        <v>116400000</v>
      </c>
      <c r="P21" s="30">
        <f>실적!H21</f>
        <v>3880</v>
      </c>
      <c r="Q21" s="32">
        <f t="shared" si="6"/>
        <v>1164000000</v>
      </c>
      <c r="R21" s="32">
        <f t="shared" si="7"/>
        <v>116400000</v>
      </c>
    </row>
    <row r="22" spans="1:18" ht="28.05" customHeight="1">
      <c r="A22" s="15">
        <v>46478</v>
      </c>
      <c r="B22" s="22">
        <v>2</v>
      </c>
      <c r="C22" s="22" t="s">
        <v>147</v>
      </c>
      <c r="D22" s="23">
        <f>물량스냅샷!F22</f>
        <v>10000</v>
      </c>
      <c r="E22" s="23">
        <f>물량스냅샷!F82</f>
        <v>9700</v>
      </c>
      <c r="F22" s="23">
        <f>물량스냅샷!F142</f>
        <v>9700</v>
      </c>
      <c r="G22" s="23">
        <f>단위원가!F22</f>
        <v>180000</v>
      </c>
      <c r="H22" s="23">
        <f>단위원가!J22</f>
        <v>160000</v>
      </c>
      <c r="I22" s="23">
        <f>단위원가!K22</f>
        <v>20000</v>
      </c>
      <c r="J22" s="25">
        <f t="shared" si="0"/>
        <v>1800000000</v>
      </c>
      <c r="K22" s="25">
        <f t="shared" si="1"/>
        <v>1746000000</v>
      </c>
      <c r="L22" s="25">
        <f t="shared" si="2"/>
        <v>1746000000</v>
      </c>
      <c r="M22" s="25">
        <f t="shared" si="3"/>
        <v>200000000</v>
      </c>
      <c r="N22" s="25">
        <f t="shared" si="4"/>
        <v>194000000</v>
      </c>
      <c r="O22" s="25">
        <f t="shared" si="5"/>
        <v>194000000</v>
      </c>
      <c r="P22" s="23">
        <f>실적!H22</f>
        <v>9700</v>
      </c>
      <c r="Q22" s="25">
        <f t="shared" si="6"/>
        <v>1746000000</v>
      </c>
      <c r="R22" s="25">
        <f t="shared" si="7"/>
        <v>194000000</v>
      </c>
    </row>
    <row r="23" spans="1:18" ht="28.05" customHeight="1">
      <c r="A23" s="16">
        <v>46478</v>
      </c>
      <c r="B23" s="29">
        <v>2</v>
      </c>
      <c r="C23" s="29" t="s">
        <v>148</v>
      </c>
      <c r="D23" s="30">
        <f>물량스냅샷!F23</f>
        <v>6000</v>
      </c>
      <c r="E23" s="30">
        <f>물량스냅샷!F83</f>
        <v>5940</v>
      </c>
      <c r="F23" s="30">
        <f>물량스냅샷!F143</f>
        <v>5940</v>
      </c>
      <c r="G23" s="30">
        <f>단위원가!F23</f>
        <v>230000</v>
      </c>
      <c r="H23" s="30">
        <f>단위원가!J23</f>
        <v>202000</v>
      </c>
      <c r="I23" s="30">
        <f>단위원가!K23</f>
        <v>28000</v>
      </c>
      <c r="J23" s="32">
        <f t="shared" si="0"/>
        <v>1380000000</v>
      </c>
      <c r="K23" s="32">
        <f t="shared" si="1"/>
        <v>1366200000</v>
      </c>
      <c r="L23" s="32">
        <f t="shared" si="2"/>
        <v>1366200000</v>
      </c>
      <c r="M23" s="32">
        <f t="shared" si="3"/>
        <v>168000000</v>
      </c>
      <c r="N23" s="32">
        <f t="shared" si="4"/>
        <v>166320000</v>
      </c>
      <c r="O23" s="32">
        <f t="shared" si="5"/>
        <v>166320000</v>
      </c>
      <c r="P23" s="30">
        <f>실적!H23</f>
        <v>5940</v>
      </c>
      <c r="Q23" s="32">
        <f t="shared" si="6"/>
        <v>1366200000</v>
      </c>
      <c r="R23" s="32">
        <f t="shared" si="7"/>
        <v>166320000</v>
      </c>
    </row>
    <row r="24" spans="1:18" ht="28.05" customHeight="1">
      <c r="A24" s="15">
        <v>46478</v>
      </c>
      <c r="B24" s="22">
        <v>2</v>
      </c>
      <c r="C24" s="22" t="s">
        <v>149</v>
      </c>
      <c r="D24" s="23">
        <f>물량스냅샷!F24</f>
        <v>5000</v>
      </c>
      <c r="E24" s="23">
        <f>물량스냅샷!F84</f>
        <v>5050</v>
      </c>
      <c r="F24" s="23">
        <f>물량스냅샷!F144</f>
        <v>5050</v>
      </c>
      <c r="G24" s="23">
        <f>단위원가!F24</f>
        <v>210000</v>
      </c>
      <c r="H24" s="23">
        <f>단위원가!J24</f>
        <v>185000</v>
      </c>
      <c r="I24" s="23">
        <f>단위원가!K24</f>
        <v>25000</v>
      </c>
      <c r="J24" s="25">
        <f t="shared" si="0"/>
        <v>1050000000</v>
      </c>
      <c r="K24" s="25">
        <f t="shared" si="1"/>
        <v>1060500000</v>
      </c>
      <c r="L24" s="25">
        <f t="shared" si="2"/>
        <v>1060500000</v>
      </c>
      <c r="M24" s="25">
        <f t="shared" si="3"/>
        <v>125000000</v>
      </c>
      <c r="N24" s="25">
        <f t="shared" si="4"/>
        <v>126250000</v>
      </c>
      <c r="O24" s="25">
        <f t="shared" si="5"/>
        <v>126250000</v>
      </c>
      <c r="P24" s="23">
        <f>실적!H24</f>
        <v>5050</v>
      </c>
      <c r="Q24" s="25">
        <f t="shared" si="6"/>
        <v>1060500000</v>
      </c>
      <c r="R24" s="25">
        <f t="shared" si="7"/>
        <v>126250000</v>
      </c>
    </row>
    <row r="25" spans="1:18" ht="28.05" customHeight="1">
      <c r="A25" s="16">
        <v>46478</v>
      </c>
      <c r="B25" s="29">
        <v>2</v>
      </c>
      <c r="C25" s="29" t="s">
        <v>150</v>
      </c>
      <c r="D25" s="30">
        <f>물량스냅샷!F25</f>
        <v>3000</v>
      </c>
      <c r="E25" s="30">
        <f>물량스냅샷!F85</f>
        <v>2970</v>
      </c>
      <c r="F25" s="30">
        <f>물량스냅샷!F145</f>
        <v>2970</v>
      </c>
      <c r="G25" s="30">
        <f>단위원가!F25</f>
        <v>150000</v>
      </c>
      <c r="H25" s="30">
        <f>단위원가!J25</f>
        <v>132000</v>
      </c>
      <c r="I25" s="30">
        <f>단위원가!K25</f>
        <v>18000</v>
      </c>
      <c r="J25" s="32">
        <f t="shared" si="0"/>
        <v>450000000</v>
      </c>
      <c r="K25" s="32">
        <f t="shared" si="1"/>
        <v>445500000</v>
      </c>
      <c r="L25" s="32">
        <f t="shared" si="2"/>
        <v>445500000</v>
      </c>
      <c r="M25" s="32">
        <f t="shared" si="3"/>
        <v>54000000</v>
      </c>
      <c r="N25" s="32">
        <f t="shared" si="4"/>
        <v>53460000</v>
      </c>
      <c r="O25" s="32">
        <f t="shared" si="5"/>
        <v>53460000</v>
      </c>
      <c r="P25" s="30">
        <f>실적!H25</f>
        <v>2970</v>
      </c>
      <c r="Q25" s="32">
        <f t="shared" si="6"/>
        <v>445500000</v>
      </c>
      <c r="R25" s="32">
        <f t="shared" si="7"/>
        <v>53460000</v>
      </c>
    </row>
    <row r="26" spans="1:18" ht="28.05" customHeight="1">
      <c r="A26" s="15">
        <v>46508</v>
      </c>
      <c r="B26" s="22">
        <v>2</v>
      </c>
      <c r="C26" s="22" t="s">
        <v>146</v>
      </c>
      <c r="D26" s="23">
        <f>물량스냅샷!F26</f>
        <v>3920</v>
      </c>
      <c r="E26" s="23">
        <f>물량스냅샷!F86</f>
        <v>3763</v>
      </c>
      <c r="F26" s="23">
        <f>물량스냅샷!F146</f>
        <v>3763</v>
      </c>
      <c r="G26" s="23">
        <f>단위원가!F26</f>
        <v>300000</v>
      </c>
      <c r="H26" s="23">
        <f>단위원가!J26</f>
        <v>270000</v>
      </c>
      <c r="I26" s="23">
        <f>단위원가!K26</f>
        <v>30000</v>
      </c>
      <c r="J26" s="25">
        <f t="shared" si="0"/>
        <v>1176000000</v>
      </c>
      <c r="K26" s="25">
        <f t="shared" si="1"/>
        <v>1128900000</v>
      </c>
      <c r="L26" s="25">
        <f t="shared" si="2"/>
        <v>1128900000</v>
      </c>
      <c r="M26" s="25">
        <f t="shared" si="3"/>
        <v>117600000</v>
      </c>
      <c r="N26" s="25">
        <f t="shared" si="4"/>
        <v>112890000</v>
      </c>
      <c r="O26" s="25">
        <f t="shared" si="5"/>
        <v>112890000</v>
      </c>
      <c r="P26" s="23">
        <f>실적!H26</f>
        <v>3763</v>
      </c>
      <c r="Q26" s="25">
        <f t="shared" si="6"/>
        <v>1128900000</v>
      </c>
      <c r="R26" s="25">
        <f t="shared" si="7"/>
        <v>112890000</v>
      </c>
    </row>
    <row r="27" spans="1:18" ht="28.05" customHeight="1">
      <c r="A27" s="16">
        <v>46508</v>
      </c>
      <c r="B27" s="29">
        <v>2</v>
      </c>
      <c r="C27" s="29" t="s">
        <v>147</v>
      </c>
      <c r="D27" s="30">
        <f>물량스냅샷!F27</f>
        <v>9800</v>
      </c>
      <c r="E27" s="30">
        <f>물량스냅샷!F87</f>
        <v>9408</v>
      </c>
      <c r="F27" s="30">
        <f>물량스냅샷!F147</f>
        <v>9408</v>
      </c>
      <c r="G27" s="30">
        <f>단위원가!F27</f>
        <v>180000</v>
      </c>
      <c r="H27" s="30">
        <f>단위원가!J27</f>
        <v>160000</v>
      </c>
      <c r="I27" s="30">
        <f>단위원가!K27</f>
        <v>20000</v>
      </c>
      <c r="J27" s="32">
        <f t="shared" si="0"/>
        <v>1764000000</v>
      </c>
      <c r="K27" s="32">
        <f t="shared" si="1"/>
        <v>1693440000</v>
      </c>
      <c r="L27" s="32">
        <f t="shared" si="2"/>
        <v>1693440000</v>
      </c>
      <c r="M27" s="32">
        <f t="shared" si="3"/>
        <v>196000000</v>
      </c>
      <c r="N27" s="32">
        <f t="shared" si="4"/>
        <v>188160000</v>
      </c>
      <c r="O27" s="32">
        <f t="shared" si="5"/>
        <v>188160000</v>
      </c>
      <c r="P27" s="30">
        <f>실적!H27</f>
        <v>9408</v>
      </c>
      <c r="Q27" s="32">
        <f t="shared" si="6"/>
        <v>1693440000</v>
      </c>
      <c r="R27" s="32">
        <f t="shared" si="7"/>
        <v>188160000</v>
      </c>
    </row>
    <row r="28" spans="1:18" ht="28.05" customHeight="1">
      <c r="A28" s="15">
        <v>46508</v>
      </c>
      <c r="B28" s="22">
        <v>2</v>
      </c>
      <c r="C28" s="22" t="s">
        <v>148</v>
      </c>
      <c r="D28" s="23">
        <f>물량스냅샷!F28</f>
        <v>5880</v>
      </c>
      <c r="E28" s="23">
        <f>물량스냅샷!F88</f>
        <v>5821</v>
      </c>
      <c r="F28" s="23">
        <f>물량스냅샷!F148</f>
        <v>5821</v>
      </c>
      <c r="G28" s="23">
        <f>단위원가!F28</f>
        <v>230000</v>
      </c>
      <c r="H28" s="23">
        <f>단위원가!J28</f>
        <v>202000</v>
      </c>
      <c r="I28" s="23">
        <f>단위원가!K28</f>
        <v>28000</v>
      </c>
      <c r="J28" s="25">
        <f t="shared" si="0"/>
        <v>1352400000</v>
      </c>
      <c r="K28" s="25">
        <f t="shared" si="1"/>
        <v>1338830000</v>
      </c>
      <c r="L28" s="25">
        <f t="shared" si="2"/>
        <v>1338830000</v>
      </c>
      <c r="M28" s="25">
        <f t="shared" si="3"/>
        <v>164640000</v>
      </c>
      <c r="N28" s="25">
        <f t="shared" si="4"/>
        <v>162988000</v>
      </c>
      <c r="O28" s="25">
        <f t="shared" si="5"/>
        <v>162988000</v>
      </c>
      <c r="P28" s="23">
        <f>실적!H28</f>
        <v>5821</v>
      </c>
      <c r="Q28" s="25">
        <f t="shared" si="6"/>
        <v>1338830000</v>
      </c>
      <c r="R28" s="25">
        <f t="shared" si="7"/>
        <v>162988000</v>
      </c>
    </row>
    <row r="29" spans="1:18" ht="28.05" customHeight="1">
      <c r="A29" s="16">
        <v>46508</v>
      </c>
      <c r="B29" s="29">
        <v>2</v>
      </c>
      <c r="C29" s="29" t="s">
        <v>149</v>
      </c>
      <c r="D29" s="30">
        <f>물량스냅샷!F29</f>
        <v>4900</v>
      </c>
      <c r="E29" s="30">
        <f>물량스냅샷!F89</f>
        <v>4949</v>
      </c>
      <c r="F29" s="30">
        <f>물량스냅샷!F149</f>
        <v>4949</v>
      </c>
      <c r="G29" s="30">
        <f>단위원가!F29</f>
        <v>210000</v>
      </c>
      <c r="H29" s="30">
        <f>단위원가!J29</f>
        <v>185000</v>
      </c>
      <c r="I29" s="30">
        <f>단위원가!K29</f>
        <v>25000</v>
      </c>
      <c r="J29" s="32">
        <f t="shared" si="0"/>
        <v>1029000000</v>
      </c>
      <c r="K29" s="32">
        <f t="shared" si="1"/>
        <v>1039290000</v>
      </c>
      <c r="L29" s="32">
        <f t="shared" si="2"/>
        <v>1039290000</v>
      </c>
      <c r="M29" s="32">
        <f t="shared" si="3"/>
        <v>122500000</v>
      </c>
      <c r="N29" s="32">
        <f t="shared" si="4"/>
        <v>123725000</v>
      </c>
      <c r="O29" s="32">
        <f t="shared" si="5"/>
        <v>123725000</v>
      </c>
      <c r="P29" s="30">
        <f>실적!H29</f>
        <v>4949</v>
      </c>
      <c r="Q29" s="32">
        <f t="shared" si="6"/>
        <v>1039290000</v>
      </c>
      <c r="R29" s="32">
        <f t="shared" si="7"/>
        <v>123725000</v>
      </c>
    </row>
    <row r="30" spans="1:18" ht="28.05" customHeight="1">
      <c r="A30" s="15">
        <v>46508</v>
      </c>
      <c r="B30" s="22">
        <v>2</v>
      </c>
      <c r="C30" s="22" t="s">
        <v>150</v>
      </c>
      <c r="D30" s="23">
        <f>물량스냅샷!F30</f>
        <v>2940</v>
      </c>
      <c r="E30" s="23">
        <f>물량스냅샷!F90</f>
        <v>2911</v>
      </c>
      <c r="F30" s="23">
        <f>물량스냅샷!F150</f>
        <v>2911</v>
      </c>
      <c r="G30" s="23">
        <f>단위원가!F30</f>
        <v>150000</v>
      </c>
      <c r="H30" s="23">
        <f>단위원가!J30</f>
        <v>132000</v>
      </c>
      <c r="I30" s="23">
        <f>단위원가!K30</f>
        <v>18000</v>
      </c>
      <c r="J30" s="25">
        <f t="shared" si="0"/>
        <v>441000000</v>
      </c>
      <c r="K30" s="25">
        <f t="shared" si="1"/>
        <v>436650000</v>
      </c>
      <c r="L30" s="25">
        <f t="shared" si="2"/>
        <v>436650000</v>
      </c>
      <c r="M30" s="25">
        <f t="shared" si="3"/>
        <v>52920000</v>
      </c>
      <c r="N30" s="25">
        <f t="shared" si="4"/>
        <v>52398000</v>
      </c>
      <c r="O30" s="25">
        <f t="shared" si="5"/>
        <v>52398000</v>
      </c>
      <c r="P30" s="23">
        <f>실적!H30</f>
        <v>2911</v>
      </c>
      <c r="Q30" s="25">
        <f t="shared" si="6"/>
        <v>436650000</v>
      </c>
      <c r="R30" s="25">
        <f t="shared" si="7"/>
        <v>52398000</v>
      </c>
    </row>
    <row r="31" spans="1:18" ht="28.05" customHeight="1">
      <c r="A31" s="16">
        <v>46539</v>
      </c>
      <c r="B31" s="29">
        <v>2</v>
      </c>
      <c r="C31" s="29" t="s">
        <v>146</v>
      </c>
      <c r="D31" s="30">
        <f>물량스냅샷!F31</f>
        <v>4000</v>
      </c>
      <c r="E31" s="30">
        <f>물량스냅샷!F91</f>
        <v>3800</v>
      </c>
      <c r="F31" s="30">
        <f>물량스냅샷!F151</f>
        <v>3800</v>
      </c>
      <c r="G31" s="30">
        <f>단위원가!F31</f>
        <v>300000</v>
      </c>
      <c r="H31" s="30">
        <f>단위원가!J31</f>
        <v>270000</v>
      </c>
      <c r="I31" s="30">
        <f>단위원가!K31</f>
        <v>30000</v>
      </c>
      <c r="J31" s="32">
        <f t="shared" si="0"/>
        <v>1200000000</v>
      </c>
      <c r="K31" s="32">
        <f t="shared" si="1"/>
        <v>1140000000</v>
      </c>
      <c r="L31" s="32">
        <f t="shared" si="2"/>
        <v>1140000000</v>
      </c>
      <c r="M31" s="32">
        <f t="shared" si="3"/>
        <v>120000000</v>
      </c>
      <c r="N31" s="32">
        <f t="shared" si="4"/>
        <v>114000000</v>
      </c>
      <c r="O31" s="32">
        <f t="shared" si="5"/>
        <v>114000000</v>
      </c>
      <c r="P31" s="30">
        <f>실적!H31</f>
        <v>1710</v>
      </c>
      <c r="Q31" s="32">
        <f t="shared" si="6"/>
        <v>513000000</v>
      </c>
      <c r="R31" s="32">
        <f t="shared" si="7"/>
        <v>51300000</v>
      </c>
    </row>
    <row r="32" spans="1:18" ht="28.05" customHeight="1">
      <c r="A32" s="15">
        <v>46539</v>
      </c>
      <c r="B32" s="22">
        <v>2</v>
      </c>
      <c r="C32" s="22" t="s">
        <v>147</v>
      </c>
      <c r="D32" s="23">
        <f>물량스냅샷!F32</f>
        <v>10000</v>
      </c>
      <c r="E32" s="23">
        <f>물량스냅샷!F92</f>
        <v>9500</v>
      </c>
      <c r="F32" s="23">
        <f>물량스냅샷!F152</f>
        <v>9500</v>
      </c>
      <c r="G32" s="23">
        <f>단위원가!F32</f>
        <v>180000</v>
      </c>
      <c r="H32" s="23">
        <f>단위원가!J32</f>
        <v>160000</v>
      </c>
      <c r="I32" s="23">
        <f>단위원가!K32</f>
        <v>20000</v>
      </c>
      <c r="J32" s="25">
        <f t="shared" si="0"/>
        <v>1800000000</v>
      </c>
      <c r="K32" s="25">
        <f t="shared" si="1"/>
        <v>1710000000</v>
      </c>
      <c r="L32" s="25">
        <f t="shared" si="2"/>
        <v>1710000000</v>
      </c>
      <c r="M32" s="25">
        <f t="shared" si="3"/>
        <v>200000000</v>
      </c>
      <c r="N32" s="25">
        <f t="shared" si="4"/>
        <v>190000000</v>
      </c>
      <c r="O32" s="25">
        <f t="shared" si="5"/>
        <v>190000000</v>
      </c>
      <c r="P32" s="23">
        <f>실적!H32</f>
        <v>4275</v>
      </c>
      <c r="Q32" s="25">
        <f t="shared" si="6"/>
        <v>769500000</v>
      </c>
      <c r="R32" s="25">
        <f t="shared" si="7"/>
        <v>85500000</v>
      </c>
    </row>
    <row r="33" spans="1:18" ht="28.05" customHeight="1">
      <c r="A33" s="16">
        <v>46539</v>
      </c>
      <c r="B33" s="29">
        <v>2</v>
      </c>
      <c r="C33" s="29" t="s">
        <v>148</v>
      </c>
      <c r="D33" s="30">
        <f>물량스냅샷!F33</f>
        <v>6000</v>
      </c>
      <c r="E33" s="30">
        <f>물량스냅샷!F93</f>
        <v>5940</v>
      </c>
      <c r="F33" s="30">
        <f>물량스냅샷!F153</f>
        <v>5940</v>
      </c>
      <c r="G33" s="30">
        <f>단위원가!F33</f>
        <v>230000</v>
      </c>
      <c r="H33" s="30">
        <f>단위원가!J33</f>
        <v>202000</v>
      </c>
      <c r="I33" s="30">
        <f>단위원가!K33</f>
        <v>28000</v>
      </c>
      <c r="J33" s="32">
        <f t="shared" si="0"/>
        <v>1380000000</v>
      </c>
      <c r="K33" s="32">
        <f t="shared" si="1"/>
        <v>1366200000</v>
      </c>
      <c r="L33" s="32">
        <f t="shared" si="2"/>
        <v>1366200000</v>
      </c>
      <c r="M33" s="32">
        <f t="shared" si="3"/>
        <v>168000000</v>
      </c>
      <c r="N33" s="32">
        <f t="shared" si="4"/>
        <v>166320000</v>
      </c>
      <c r="O33" s="32">
        <f t="shared" si="5"/>
        <v>166320000</v>
      </c>
      <c r="P33" s="30">
        <f>실적!H33</f>
        <v>2673</v>
      </c>
      <c r="Q33" s="32">
        <f t="shared" si="6"/>
        <v>614790000</v>
      </c>
      <c r="R33" s="32">
        <f t="shared" si="7"/>
        <v>74844000</v>
      </c>
    </row>
    <row r="34" spans="1:18" ht="28.05" customHeight="1">
      <c r="A34" s="15">
        <v>46539</v>
      </c>
      <c r="B34" s="22">
        <v>2</v>
      </c>
      <c r="C34" s="22" t="s">
        <v>149</v>
      </c>
      <c r="D34" s="23">
        <f>물량스냅샷!F34</f>
        <v>5000</v>
      </c>
      <c r="E34" s="23">
        <f>물량스냅샷!F94</f>
        <v>5050</v>
      </c>
      <c r="F34" s="23">
        <f>물량스냅샷!F154</f>
        <v>5050</v>
      </c>
      <c r="G34" s="23">
        <f>단위원가!F34</f>
        <v>210000</v>
      </c>
      <c r="H34" s="23">
        <f>단위원가!J34</f>
        <v>185000</v>
      </c>
      <c r="I34" s="23">
        <f>단위원가!K34</f>
        <v>25000</v>
      </c>
      <c r="J34" s="25">
        <f t="shared" si="0"/>
        <v>1050000000</v>
      </c>
      <c r="K34" s="25">
        <f t="shared" si="1"/>
        <v>1060500000</v>
      </c>
      <c r="L34" s="25">
        <f t="shared" si="2"/>
        <v>1060500000</v>
      </c>
      <c r="M34" s="25">
        <f t="shared" si="3"/>
        <v>125000000</v>
      </c>
      <c r="N34" s="25">
        <f t="shared" si="4"/>
        <v>126250000</v>
      </c>
      <c r="O34" s="25">
        <f t="shared" si="5"/>
        <v>126250000</v>
      </c>
      <c r="P34" s="23">
        <f>실적!H34</f>
        <v>2272</v>
      </c>
      <c r="Q34" s="25">
        <f t="shared" si="6"/>
        <v>477120000</v>
      </c>
      <c r="R34" s="25">
        <f t="shared" si="7"/>
        <v>56800000</v>
      </c>
    </row>
    <row r="35" spans="1:18" ht="28.05" customHeight="1">
      <c r="A35" s="16">
        <v>46539</v>
      </c>
      <c r="B35" s="29">
        <v>2</v>
      </c>
      <c r="C35" s="29" t="s">
        <v>150</v>
      </c>
      <c r="D35" s="30">
        <f>물량스냅샷!F35</f>
        <v>3000</v>
      </c>
      <c r="E35" s="30">
        <f>물량스냅샷!F95</f>
        <v>2970</v>
      </c>
      <c r="F35" s="30">
        <f>물량스냅샷!F155</f>
        <v>2970</v>
      </c>
      <c r="G35" s="30">
        <f>단위원가!F35</f>
        <v>150000</v>
      </c>
      <c r="H35" s="30">
        <f>단위원가!J35</f>
        <v>132000</v>
      </c>
      <c r="I35" s="30">
        <f>단위원가!K35</f>
        <v>18000</v>
      </c>
      <c r="J35" s="32">
        <f t="shared" si="0"/>
        <v>450000000</v>
      </c>
      <c r="K35" s="32">
        <f t="shared" si="1"/>
        <v>445500000</v>
      </c>
      <c r="L35" s="32">
        <f t="shared" si="2"/>
        <v>445500000</v>
      </c>
      <c r="M35" s="32">
        <f t="shared" si="3"/>
        <v>54000000</v>
      </c>
      <c r="N35" s="32">
        <f t="shared" si="4"/>
        <v>53460000</v>
      </c>
      <c r="O35" s="32">
        <f t="shared" si="5"/>
        <v>53460000</v>
      </c>
      <c r="P35" s="30">
        <f>실적!H35</f>
        <v>1336</v>
      </c>
      <c r="Q35" s="32">
        <f t="shared" si="6"/>
        <v>200400000</v>
      </c>
      <c r="R35" s="32">
        <f t="shared" si="7"/>
        <v>24048000</v>
      </c>
    </row>
    <row r="36" spans="1:18" ht="28.05" customHeight="1">
      <c r="A36" s="15">
        <v>46569</v>
      </c>
      <c r="B36" s="22">
        <v>3</v>
      </c>
      <c r="C36" s="22" t="s">
        <v>146</v>
      </c>
      <c r="D36" s="23">
        <f>물량스냅샷!F36</f>
        <v>4000</v>
      </c>
      <c r="E36" s="23">
        <f>물량스냅샷!F96</f>
        <v>3800</v>
      </c>
      <c r="F36" s="23">
        <f>물량스냅샷!F156</f>
        <v>3800</v>
      </c>
      <c r="G36" s="23">
        <f>단위원가!F36</f>
        <v>300000</v>
      </c>
      <c r="H36" s="23">
        <f>단위원가!J36</f>
        <v>270000</v>
      </c>
      <c r="I36" s="23">
        <f>단위원가!K36</f>
        <v>30000</v>
      </c>
      <c r="J36" s="25">
        <f t="shared" si="0"/>
        <v>1200000000</v>
      </c>
      <c r="K36" s="25">
        <f t="shared" si="1"/>
        <v>1140000000</v>
      </c>
      <c r="L36" s="25">
        <f t="shared" si="2"/>
        <v>1140000000</v>
      </c>
      <c r="M36" s="25">
        <f t="shared" si="3"/>
        <v>120000000</v>
      </c>
      <c r="N36" s="25">
        <f t="shared" si="4"/>
        <v>114000000</v>
      </c>
      <c r="O36" s="25">
        <f t="shared" si="5"/>
        <v>114000000</v>
      </c>
      <c r="P36" s="35"/>
      <c r="Q36" s="35"/>
      <c r="R36" s="35"/>
    </row>
    <row r="37" spans="1:18" ht="28.05" customHeight="1">
      <c r="A37" s="16">
        <v>46569</v>
      </c>
      <c r="B37" s="29">
        <v>3</v>
      </c>
      <c r="C37" s="29" t="s">
        <v>147</v>
      </c>
      <c r="D37" s="30">
        <f>물량스냅샷!F37</f>
        <v>10000</v>
      </c>
      <c r="E37" s="30">
        <f>물량스냅샷!F97</f>
        <v>9500</v>
      </c>
      <c r="F37" s="30">
        <f>물량스냅샷!F157</f>
        <v>8800</v>
      </c>
      <c r="G37" s="30">
        <f>단위원가!F37</f>
        <v>180000</v>
      </c>
      <c r="H37" s="30">
        <f>단위원가!J37</f>
        <v>160000</v>
      </c>
      <c r="I37" s="30">
        <f>단위원가!K37</f>
        <v>20000</v>
      </c>
      <c r="J37" s="32">
        <f t="shared" si="0"/>
        <v>1800000000</v>
      </c>
      <c r="K37" s="32">
        <f t="shared" si="1"/>
        <v>1710000000</v>
      </c>
      <c r="L37" s="32">
        <f t="shared" si="2"/>
        <v>1584000000</v>
      </c>
      <c r="M37" s="32">
        <f t="shared" si="3"/>
        <v>200000000</v>
      </c>
      <c r="N37" s="32">
        <f t="shared" si="4"/>
        <v>190000000</v>
      </c>
      <c r="O37" s="32">
        <f t="shared" si="5"/>
        <v>176000000</v>
      </c>
      <c r="P37" s="36"/>
      <c r="Q37" s="36"/>
      <c r="R37" s="36"/>
    </row>
    <row r="38" spans="1:18" ht="28.05" customHeight="1">
      <c r="A38" s="15">
        <v>46569</v>
      </c>
      <c r="B38" s="22">
        <v>3</v>
      </c>
      <c r="C38" s="22" t="s">
        <v>148</v>
      </c>
      <c r="D38" s="23">
        <f>물량스냅샷!F38</f>
        <v>6000</v>
      </c>
      <c r="E38" s="23">
        <f>물량스냅샷!F98</f>
        <v>5940</v>
      </c>
      <c r="F38" s="23">
        <f>물량스냅샷!F158</f>
        <v>5940</v>
      </c>
      <c r="G38" s="23">
        <f>단위원가!F38</f>
        <v>230000</v>
      </c>
      <c r="H38" s="23">
        <f>단위원가!J38</f>
        <v>202000</v>
      </c>
      <c r="I38" s="23">
        <f>단위원가!K38</f>
        <v>28000</v>
      </c>
      <c r="J38" s="25">
        <f t="shared" ref="J38:J65" si="8">D38*G38</f>
        <v>1380000000</v>
      </c>
      <c r="K38" s="25">
        <f t="shared" ref="K38:K65" si="9">E38*G38</f>
        <v>1366200000</v>
      </c>
      <c r="L38" s="25">
        <f t="shared" ref="L38:L65" si="10">F38*G38</f>
        <v>1366200000</v>
      </c>
      <c r="M38" s="25">
        <f t="shared" ref="M38:M65" si="11">D38*I38</f>
        <v>168000000</v>
      </c>
      <c r="N38" s="25">
        <f t="shared" ref="N38:N65" si="12">E38*I38</f>
        <v>166320000</v>
      </c>
      <c r="O38" s="25">
        <f t="shared" ref="O38:O65" si="13">F38*I38</f>
        <v>166320000</v>
      </c>
      <c r="P38" s="35"/>
      <c r="Q38" s="35"/>
      <c r="R38" s="35"/>
    </row>
    <row r="39" spans="1:18" ht="28.05" customHeight="1">
      <c r="A39" s="16">
        <v>46569</v>
      </c>
      <c r="B39" s="29">
        <v>3</v>
      </c>
      <c r="C39" s="29" t="s">
        <v>149</v>
      </c>
      <c r="D39" s="30">
        <f>물량스냅샷!F39</f>
        <v>5000</v>
      </c>
      <c r="E39" s="30">
        <f>물량스냅샷!F99</f>
        <v>5050</v>
      </c>
      <c r="F39" s="30">
        <f>물량스냅샷!F159</f>
        <v>5050</v>
      </c>
      <c r="G39" s="30">
        <f>단위원가!F39</f>
        <v>210000</v>
      </c>
      <c r="H39" s="30">
        <f>단위원가!J39</f>
        <v>185000</v>
      </c>
      <c r="I39" s="30">
        <f>단위원가!K39</f>
        <v>25000</v>
      </c>
      <c r="J39" s="32">
        <f t="shared" si="8"/>
        <v>1050000000</v>
      </c>
      <c r="K39" s="32">
        <f t="shared" si="9"/>
        <v>1060500000</v>
      </c>
      <c r="L39" s="32">
        <f t="shared" si="10"/>
        <v>1060500000</v>
      </c>
      <c r="M39" s="32">
        <f t="shared" si="11"/>
        <v>125000000</v>
      </c>
      <c r="N39" s="32">
        <f t="shared" si="12"/>
        <v>126250000</v>
      </c>
      <c r="O39" s="32">
        <f t="shared" si="13"/>
        <v>126250000</v>
      </c>
      <c r="P39" s="36"/>
      <c r="Q39" s="36"/>
      <c r="R39" s="36"/>
    </row>
    <row r="40" spans="1:18" ht="28.05" customHeight="1">
      <c r="A40" s="15">
        <v>46569</v>
      </c>
      <c r="B40" s="22">
        <v>3</v>
      </c>
      <c r="C40" s="22" t="s">
        <v>150</v>
      </c>
      <c r="D40" s="23">
        <f>물량스냅샷!F40</f>
        <v>3000</v>
      </c>
      <c r="E40" s="23">
        <f>물량스냅샷!F100</f>
        <v>2970</v>
      </c>
      <c r="F40" s="23">
        <f>물량스냅샷!F160</f>
        <v>2970</v>
      </c>
      <c r="G40" s="23">
        <f>단위원가!F40</f>
        <v>150000</v>
      </c>
      <c r="H40" s="23">
        <f>단위원가!J40</f>
        <v>132000</v>
      </c>
      <c r="I40" s="23">
        <f>단위원가!K40</f>
        <v>18000</v>
      </c>
      <c r="J40" s="25">
        <f t="shared" si="8"/>
        <v>450000000</v>
      </c>
      <c r="K40" s="25">
        <f t="shared" si="9"/>
        <v>445500000</v>
      </c>
      <c r="L40" s="25">
        <f t="shared" si="10"/>
        <v>445500000</v>
      </c>
      <c r="M40" s="25">
        <f t="shared" si="11"/>
        <v>54000000</v>
      </c>
      <c r="N40" s="25">
        <f t="shared" si="12"/>
        <v>53460000</v>
      </c>
      <c r="O40" s="25">
        <f t="shared" si="13"/>
        <v>53460000</v>
      </c>
      <c r="P40" s="35"/>
      <c r="Q40" s="35"/>
      <c r="R40" s="35"/>
    </row>
    <row r="41" spans="1:18" ht="28.05" customHeight="1">
      <c r="A41" s="16">
        <v>46600</v>
      </c>
      <c r="B41" s="29">
        <v>3</v>
      </c>
      <c r="C41" s="29" t="s">
        <v>146</v>
      </c>
      <c r="D41" s="30">
        <f>물량스냅샷!F41</f>
        <v>3680</v>
      </c>
      <c r="E41" s="30">
        <f>물량스냅샷!F101</f>
        <v>3496</v>
      </c>
      <c r="F41" s="30">
        <f>물량스냅샷!F161</f>
        <v>3496</v>
      </c>
      <c r="G41" s="30">
        <f>단위원가!F41</f>
        <v>300000</v>
      </c>
      <c r="H41" s="30">
        <f>단위원가!J41</f>
        <v>270000</v>
      </c>
      <c r="I41" s="30">
        <f>단위원가!K41</f>
        <v>30000</v>
      </c>
      <c r="J41" s="32">
        <f t="shared" si="8"/>
        <v>1104000000</v>
      </c>
      <c r="K41" s="32">
        <f t="shared" si="9"/>
        <v>1048800000</v>
      </c>
      <c r="L41" s="32">
        <f t="shared" si="10"/>
        <v>1048800000</v>
      </c>
      <c r="M41" s="32">
        <f t="shared" si="11"/>
        <v>110400000</v>
      </c>
      <c r="N41" s="32">
        <f t="shared" si="12"/>
        <v>104880000</v>
      </c>
      <c r="O41" s="32">
        <f t="shared" si="13"/>
        <v>104880000</v>
      </c>
      <c r="P41" s="36"/>
      <c r="Q41" s="36"/>
      <c r="R41" s="36"/>
    </row>
    <row r="42" spans="1:18" ht="28.05" customHeight="1">
      <c r="A42" s="15">
        <v>46600</v>
      </c>
      <c r="B42" s="22">
        <v>3</v>
      </c>
      <c r="C42" s="22" t="s">
        <v>147</v>
      </c>
      <c r="D42" s="23">
        <f>물량스냅샷!F42</f>
        <v>9200</v>
      </c>
      <c r="E42" s="23">
        <f>물량스냅샷!F102</f>
        <v>8740</v>
      </c>
      <c r="F42" s="23">
        <f>물량스냅샷!F162</f>
        <v>8740</v>
      </c>
      <c r="G42" s="23">
        <f>단위원가!F42</f>
        <v>180000</v>
      </c>
      <c r="H42" s="23">
        <f>단위원가!J42</f>
        <v>160000</v>
      </c>
      <c r="I42" s="23">
        <f>단위원가!K42</f>
        <v>20000</v>
      </c>
      <c r="J42" s="25">
        <f t="shared" si="8"/>
        <v>1656000000</v>
      </c>
      <c r="K42" s="25">
        <f t="shared" si="9"/>
        <v>1573200000</v>
      </c>
      <c r="L42" s="25">
        <f t="shared" si="10"/>
        <v>1573200000</v>
      </c>
      <c r="M42" s="25">
        <f t="shared" si="11"/>
        <v>184000000</v>
      </c>
      <c r="N42" s="25">
        <f t="shared" si="12"/>
        <v>174800000</v>
      </c>
      <c r="O42" s="25">
        <f t="shared" si="13"/>
        <v>174800000</v>
      </c>
      <c r="P42" s="35"/>
      <c r="Q42" s="35"/>
      <c r="R42" s="35"/>
    </row>
    <row r="43" spans="1:18" ht="28.05" customHeight="1">
      <c r="A43" s="16">
        <v>46600</v>
      </c>
      <c r="B43" s="29">
        <v>3</v>
      </c>
      <c r="C43" s="29" t="s">
        <v>148</v>
      </c>
      <c r="D43" s="30">
        <f>물량스냅샷!F43</f>
        <v>5520</v>
      </c>
      <c r="E43" s="30">
        <f>물량스냅샷!F103</f>
        <v>5465</v>
      </c>
      <c r="F43" s="30">
        <f>물량스냅샷!F163</f>
        <v>5465</v>
      </c>
      <c r="G43" s="30">
        <f>단위원가!F43</f>
        <v>230000</v>
      </c>
      <c r="H43" s="30">
        <f>단위원가!J43</f>
        <v>202000</v>
      </c>
      <c r="I43" s="30">
        <f>단위원가!K43</f>
        <v>28000</v>
      </c>
      <c r="J43" s="32">
        <f t="shared" si="8"/>
        <v>1269600000</v>
      </c>
      <c r="K43" s="32">
        <f t="shared" si="9"/>
        <v>1256950000</v>
      </c>
      <c r="L43" s="32">
        <f t="shared" si="10"/>
        <v>1256950000</v>
      </c>
      <c r="M43" s="32">
        <f t="shared" si="11"/>
        <v>154560000</v>
      </c>
      <c r="N43" s="32">
        <f t="shared" si="12"/>
        <v>153020000</v>
      </c>
      <c r="O43" s="32">
        <f t="shared" si="13"/>
        <v>153020000</v>
      </c>
      <c r="P43" s="36"/>
      <c r="Q43" s="36"/>
      <c r="R43" s="36"/>
    </row>
    <row r="44" spans="1:18" ht="28.05" customHeight="1">
      <c r="A44" s="15">
        <v>46600</v>
      </c>
      <c r="B44" s="22">
        <v>3</v>
      </c>
      <c r="C44" s="22" t="s">
        <v>149</v>
      </c>
      <c r="D44" s="23">
        <f>물량스냅샷!F44</f>
        <v>4600</v>
      </c>
      <c r="E44" s="23">
        <f>물량스냅샷!F104</f>
        <v>4646</v>
      </c>
      <c r="F44" s="23">
        <f>물량스냅샷!F164</f>
        <v>4646</v>
      </c>
      <c r="G44" s="23">
        <f>단위원가!F44</f>
        <v>210000</v>
      </c>
      <c r="H44" s="23">
        <f>단위원가!J44</f>
        <v>185000</v>
      </c>
      <c r="I44" s="23">
        <f>단위원가!K44</f>
        <v>25000</v>
      </c>
      <c r="J44" s="25">
        <f t="shared" si="8"/>
        <v>966000000</v>
      </c>
      <c r="K44" s="25">
        <f t="shared" si="9"/>
        <v>975660000</v>
      </c>
      <c r="L44" s="25">
        <f t="shared" si="10"/>
        <v>975660000</v>
      </c>
      <c r="M44" s="25">
        <f t="shared" si="11"/>
        <v>115000000</v>
      </c>
      <c r="N44" s="25">
        <f t="shared" si="12"/>
        <v>116150000</v>
      </c>
      <c r="O44" s="25">
        <f t="shared" si="13"/>
        <v>116150000</v>
      </c>
      <c r="P44" s="35"/>
      <c r="Q44" s="35"/>
      <c r="R44" s="35"/>
    </row>
    <row r="45" spans="1:18" ht="28.05" customHeight="1">
      <c r="A45" s="16">
        <v>46600</v>
      </c>
      <c r="B45" s="29">
        <v>3</v>
      </c>
      <c r="C45" s="29" t="s">
        <v>150</v>
      </c>
      <c r="D45" s="30">
        <f>물량스냅샷!F45</f>
        <v>2760</v>
      </c>
      <c r="E45" s="30">
        <f>물량스냅샷!F105</f>
        <v>2732</v>
      </c>
      <c r="F45" s="30">
        <f>물량스냅샷!F165</f>
        <v>2732</v>
      </c>
      <c r="G45" s="30">
        <f>단위원가!F45</f>
        <v>150000</v>
      </c>
      <c r="H45" s="30">
        <f>단위원가!J45</f>
        <v>132000</v>
      </c>
      <c r="I45" s="30">
        <f>단위원가!K45</f>
        <v>18000</v>
      </c>
      <c r="J45" s="32">
        <f t="shared" si="8"/>
        <v>414000000</v>
      </c>
      <c r="K45" s="32">
        <f t="shared" si="9"/>
        <v>409800000</v>
      </c>
      <c r="L45" s="32">
        <f t="shared" si="10"/>
        <v>409800000</v>
      </c>
      <c r="M45" s="32">
        <f t="shared" si="11"/>
        <v>49680000</v>
      </c>
      <c r="N45" s="32">
        <f t="shared" si="12"/>
        <v>49176000</v>
      </c>
      <c r="O45" s="32">
        <f t="shared" si="13"/>
        <v>49176000</v>
      </c>
      <c r="P45" s="36"/>
      <c r="Q45" s="36"/>
      <c r="R45" s="36"/>
    </row>
    <row r="46" spans="1:18" ht="28.05" customHeight="1">
      <c r="A46" s="15">
        <v>46631</v>
      </c>
      <c r="B46" s="22">
        <v>3</v>
      </c>
      <c r="C46" s="22" t="s">
        <v>146</v>
      </c>
      <c r="D46" s="23">
        <f>물량스냅샷!F46</f>
        <v>4120</v>
      </c>
      <c r="E46" s="23">
        <f>물량스냅샷!F106</f>
        <v>3914</v>
      </c>
      <c r="F46" s="23">
        <f>물량스냅샷!F166</f>
        <v>3914</v>
      </c>
      <c r="G46" s="23">
        <f>단위원가!F46</f>
        <v>300000</v>
      </c>
      <c r="H46" s="23">
        <f>단위원가!J46</f>
        <v>270000</v>
      </c>
      <c r="I46" s="23">
        <f>단위원가!K46</f>
        <v>30000</v>
      </c>
      <c r="J46" s="25">
        <f t="shared" si="8"/>
        <v>1236000000</v>
      </c>
      <c r="K46" s="25">
        <f t="shared" si="9"/>
        <v>1174200000</v>
      </c>
      <c r="L46" s="25">
        <f t="shared" si="10"/>
        <v>1174200000</v>
      </c>
      <c r="M46" s="25">
        <f t="shared" si="11"/>
        <v>123600000</v>
      </c>
      <c r="N46" s="25">
        <f t="shared" si="12"/>
        <v>117420000</v>
      </c>
      <c r="O46" s="25">
        <f t="shared" si="13"/>
        <v>117420000</v>
      </c>
      <c r="P46" s="35"/>
      <c r="Q46" s="35"/>
      <c r="R46" s="35"/>
    </row>
    <row r="47" spans="1:18" ht="28.05" customHeight="1">
      <c r="A47" s="16">
        <v>46631</v>
      </c>
      <c r="B47" s="29">
        <v>3</v>
      </c>
      <c r="C47" s="29" t="s">
        <v>147</v>
      </c>
      <c r="D47" s="30">
        <f>물량스냅샷!F47</f>
        <v>10300</v>
      </c>
      <c r="E47" s="30">
        <f>물량스냅샷!F107</f>
        <v>9785</v>
      </c>
      <c r="F47" s="30">
        <f>물량스냅샷!F167</f>
        <v>9785</v>
      </c>
      <c r="G47" s="30">
        <f>단위원가!F47</f>
        <v>180000</v>
      </c>
      <c r="H47" s="30">
        <f>단위원가!J47</f>
        <v>160000</v>
      </c>
      <c r="I47" s="30">
        <f>단위원가!K47</f>
        <v>20000</v>
      </c>
      <c r="J47" s="32">
        <f t="shared" si="8"/>
        <v>1854000000</v>
      </c>
      <c r="K47" s="32">
        <f t="shared" si="9"/>
        <v>1761300000</v>
      </c>
      <c r="L47" s="32">
        <f t="shared" si="10"/>
        <v>1761300000</v>
      </c>
      <c r="M47" s="32">
        <f t="shared" si="11"/>
        <v>206000000</v>
      </c>
      <c r="N47" s="32">
        <f t="shared" si="12"/>
        <v>195700000</v>
      </c>
      <c r="O47" s="32">
        <f t="shared" si="13"/>
        <v>195700000</v>
      </c>
      <c r="P47" s="36"/>
      <c r="Q47" s="36"/>
      <c r="R47" s="36"/>
    </row>
    <row r="48" spans="1:18" ht="28.05" customHeight="1">
      <c r="A48" s="15">
        <v>46631</v>
      </c>
      <c r="B48" s="22">
        <v>3</v>
      </c>
      <c r="C48" s="22" t="s">
        <v>148</v>
      </c>
      <c r="D48" s="23">
        <f>물량스냅샷!F48</f>
        <v>6180</v>
      </c>
      <c r="E48" s="23">
        <f>물량스냅샷!F108</f>
        <v>6118</v>
      </c>
      <c r="F48" s="23">
        <f>물량스냅샷!F168</f>
        <v>6118</v>
      </c>
      <c r="G48" s="23">
        <f>단위원가!F48</f>
        <v>230000</v>
      </c>
      <c r="H48" s="23">
        <f>단위원가!J48</f>
        <v>202000</v>
      </c>
      <c r="I48" s="23">
        <f>단위원가!K48</f>
        <v>28000</v>
      </c>
      <c r="J48" s="25">
        <f t="shared" si="8"/>
        <v>1421400000</v>
      </c>
      <c r="K48" s="25">
        <f t="shared" si="9"/>
        <v>1407140000</v>
      </c>
      <c r="L48" s="25">
        <f t="shared" si="10"/>
        <v>1407140000</v>
      </c>
      <c r="M48" s="25">
        <f t="shared" si="11"/>
        <v>173040000</v>
      </c>
      <c r="N48" s="25">
        <f t="shared" si="12"/>
        <v>171304000</v>
      </c>
      <c r="O48" s="25">
        <f t="shared" si="13"/>
        <v>171304000</v>
      </c>
      <c r="P48" s="35"/>
      <c r="Q48" s="35"/>
      <c r="R48" s="35"/>
    </row>
    <row r="49" spans="1:18" ht="28.05" customHeight="1">
      <c r="A49" s="16">
        <v>46631</v>
      </c>
      <c r="B49" s="29">
        <v>3</v>
      </c>
      <c r="C49" s="29" t="s">
        <v>149</v>
      </c>
      <c r="D49" s="30">
        <f>물량스냅샷!F49</f>
        <v>5150</v>
      </c>
      <c r="E49" s="30">
        <f>물량스냅샷!F109</f>
        <v>5202</v>
      </c>
      <c r="F49" s="30">
        <f>물량스냅샷!F169</f>
        <v>5202</v>
      </c>
      <c r="G49" s="30">
        <f>단위원가!F49</f>
        <v>210000</v>
      </c>
      <c r="H49" s="30">
        <f>단위원가!J49</f>
        <v>185000</v>
      </c>
      <c r="I49" s="30">
        <f>단위원가!K49</f>
        <v>25000</v>
      </c>
      <c r="J49" s="32">
        <f t="shared" si="8"/>
        <v>1081500000</v>
      </c>
      <c r="K49" s="32">
        <f t="shared" si="9"/>
        <v>1092420000</v>
      </c>
      <c r="L49" s="32">
        <f t="shared" si="10"/>
        <v>1092420000</v>
      </c>
      <c r="M49" s="32">
        <f t="shared" si="11"/>
        <v>128750000</v>
      </c>
      <c r="N49" s="32">
        <f t="shared" si="12"/>
        <v>130050000</v>
      </c>
      <c r="O49" s="32">
        <f t="shared" si="13"/>
        <v>130050000</v>
      </c>
      <c r="P49" s="36"/>
      <c r="Q49" s="36"/>
      <c r="R49" s="36"/>
    </row>
    <row r="50" spans="1:18" ht="28.05" customHeight="1">
      <c r="A50" s="15">
        <v>46631</v>
      </c>
      <c r="B50" s="22">
        <v>3</v>
      </c>
      <c r="C50" s="22" t="s">
        <v>150</v>
      </c>
      <c r="D50" s="23">
        <f>물량스냅샷!F50</f>
        <v>3090</v>
      </c>
      <c r="E50" s="23">
        <f>물량스냅샷!F110</f>
        <v>3059</v>
      </c>
      <c r="F50" s="23">
        <f>물량스냅샷!F170</f>
        <v>3059</v>
      </c>
      <c r="G50" s="23">
        <f>단위원가!F50</f>
        <v>150000</v>
      </c>
      <c r="H50" s="23">
        <f>단위원가!J50</f>
        <v>132000</v>
      </c>
      <c r="I50" s="23">
        <f>단위원가!K50</f>
        <v>18000</v>
      </c>
      <c r="J50" s="25">
        <f t="shared" si="8"/>
        <v>463500000</v>
      </c>
      <c r="K50" s="25">
        <f t="shared" si="9"/>
        <v>458850000</v>
      </c>
      <c r="L50" s="25">
        <f t="shared" si="10"/>
        <v>458850000</v>
      </c>
      <c r="M50" s="25">
        <f t="shared" si="11"/>
        <v>55620000</v>
      </c>
      <c r="N50" s="25">
        <f t="shared" si="12"/>
        <v>55062000</v>
      </c>
      <c r="O50" s="25">
        <f t="shared" si="13"/>
        <v>55062000</v>
      </c>
      <c r="P50" s="35"/>
      <c r="Q50" s="35"/>
      <c r="R50" s="35"/>
    </row>
    <row r="51" spans="1:18" ht="28.05" customHeight="1">
      <c r="A51" s="16">
        <v>46661</v>
      </c>
      <c r="B51" s="29">
        <v>4</v>
      </c>
      <c r="C51" s="29" t="s">
        <v>146</v>
      </c>
      <c r="D51" s="30">
        <f>물량스냅샷!F51</f>
        <v>4080</v>
      </c>
      <c r="E51" s="30">
        <f>물량스냅샷!F111</f>
        <v>3876</v>
      </c>
      <c r="F51" s="30">
        <f>물량스냅샷!F171</f>
        <v>3876</v>
      </c>
      <c r="G51" s="30">
        <f>단위원가!F51</f>
        <v>300000</v>
      </c>
      <c r="H51" s="30">
        <f>단위원가!J51</f>
        <v>270000</v>
      </c>
      <c r="I51" s="30">
        <f>단위원가!K51</f>
        <v>30000</v>
      </c>
      <c r="J51" s="32">
        <f t="shared" si="8"/>
        <v>1224000000</v>
      </c>
      <c r="K51" s="32">
        <f t="shared" si="9"/>
        <v>1162800000</v>
      </c>
      <c r="L51" s="32">
        <f t="shared" si="10"/>
        <v>1162800000</v>
      </c>
      <c r="M51" s="32">
        <f t="shared" si="11"/>
        <v>122400000</v>
      </c>
      <c r="N51" s="32">
        <f t="shared" si="12"/>
        <v>116280000</v>
      </c>
      <c r="O51" s="32">
        <f t="shared" si="13"/>
        <v>116280000</v>
      </c>
      <c r="P51" s="36"/>
      <c r="Q51" s="36"/>
      <c r="R51" s="36"/>
    </row>
    <row r="52" spans="1:18" ht="28.05" customHeight="1">
      <c r="A52" s="15">
        <v>46661</v>
      </c>
      <c r="B52" s="22">
        <v>4</v>
      </c>
      <c r="C52" s="22" t="s">
        <v>147</v>
      </c>
      <c r="D52" s="23">
        <f>물량스냅샷!F52</f>
        <v>10200</v>
      </c>
      <c r="E52" s="23">
        <f>물량스냅샷!F112</f>
        <v>9690</v>
      </c>
      <c r="F52" s="23">
        <f>물량스냅샷!F172</f>
        <v>9690</v>
      </c>
      <c r="G52" s="23">
        <f>단위원가!F52</f>
        <v>180000</v>
      </c>
      <c r="H52" s="23">
        <f>단위원가!J52</f>
        <v>160000</v>
      </c>
      <c r="I52" s="23">
        <f>단위원가!K52</f>
        <v>20000</v>
      </c>
      <c r="J52" s="25">
        <f t="shared" si="8"/>
        <v>1836000000</v>
      </c>
      <c r="K52" s="25">
        <f t="shared" si="9"/>
        <v>1744200000</v>
      </c>
      <c r="L52" s="25">
        <f t="shared" si="10"/>
        <v>1744200000</v>
      </c>
      <c r="M52" s="25">
        <f t="shared" si="11"/>
        <v>204000000</v>
      </c>
      <c r="N52" s="25">
        <f t="shared" si="12"/>
        <v>193800000</v>
      </c>
      <c r="O52" s="25">
        <f t="shared" si="13"/>
        <v>193800000</v>
      </c>
      <c r="P52" s="35"/>
      <c r="Q52" s="35"/>
      <c r="R52" s="35"/>
    </row>
    <row r="53" spans="1:18" ht="28.05" customHeight="1">
      <c r="A53" s="16">
        <v>46661</v>
      </c>
      <c r="B53" s="29">
        <v>4</v>
      </c>
      <c r="C53" s="29" t="s">
        <v>148</v>
      </c>
      <c r="D53" s="30">
        <f>물량스냅샷!F53</f>
        <v>6120</v>
      </c>
      <c r="E53" s="30">
        <f>물량스냅샷!F113</f>
        <v>6059</v>
      </c>
      <c r="F53" s="30">
        <f>물량스냅샷!F173</f>
        <v>6059</v>
      </c>
      <c r="G53" s="30">
        <f>단위원가!F53</f>
        <v>230000</v>
      </c>
      <c r="H53" s="30">
        <f>단위원가!J53</f>
        <v>202000</v>
      </c>
      <c r="I53" s="30">
        <f>단위원가!K53</f>
        <v>28000</v>
      </c>
      <c r="J53" s="32">
        <f t="shared" si="8"/>
        <v>1407600000</v>
      </c>
      <c r="K53" s="32">
        <f t="shared" si="9"/>
        <v>1393570000</v>
      </c>
      <c r="L53" s="32">
        <f t="shared" si="10"/>
        <v>1393570000</v>
      </c>
      <c r="M53" s="32">
        <f t="shared" si="11"/>
        <v>171360000</v>
      </c>
      <c r="N53" s="32">
        <f t="shared" si="12"/>
        <v>169652000</v>
      </c>
      <c r="O53" s="32">
        <f t="shared" si="13"/>
        <v>169652000</v>
      </c>
      <c r="P53" s="36"/>
      <c r="Q53" s="36"/>
      <c r="R53" s="36"/>
    </row>
    <row r="54" spans="1:18" ht="28.05" customHeight="1">
      <c r="A54" s="15">
        <v>46661</v>
      </c>
      <c r="B54" s="22">
        <v>4</v>
      </c>
      <c r="C54" s="22" t="s">
        <v>149</v>
      </c>
      <c r="D54" s="23">
        <f>물량스냅샷!F54</f>
        <v>5100</v>
      </c>
      <c r="E54" s="23">
        <f>물량스냅샷!F114</f>
        <v>5151</v>
      </c>
      <c r="F54" s="23">
        <f>물량스냅샷!F174</f>
        <v>5151</v>
      </c>
      <c r="G54" s="23">
        <f>단위원가!F54</f>
        <v>210000</v>
      </c>
      <c r="H54" s="23">
        <f>단위원가!J54</f>
        <v>185000</v>
      </c>
      <c r="I54" s="23">
        <f>단위원가!K54</f>
        <v>25000</v>
      </c>
      <c r="J54" s="25">
        <f t="shared" si="8"/>
        <v>1071000000</v>
      </c>
      <c r="K54" s="25">
        <f t="shared" si="9"/>
        <v>1081710000</v>
      </c>
      <c r="L54" s="25">
        <f t="shared" si="10"/>
        <v>1081710000</v>
      </c>
      <c r="M54" s="25">
        <f t="shared" si="11"/>
        <v>127500000</v>
      </c>
      <c r="N54" s="25">
        <f t="shared" si="12"/>
        <v>128775000</v>
      </c>
      <c r="O54" s="25">
        <f t="shared" si="13"/>
        <v>128775000</v>
      </c>
      <c r="P54" s="35"/>
      <c r="Q54" s="35"/>
      <c r="R54" s="35"/>
    </row>
    <row r="55" spans="1:18" ht="28.05" customHeight="1">
      <c r="A55" s="16">
        <v>46661</v>
      </c>
      <c r="B55" s="29">
        <v>4</v>
      </c>
      <c r="C55" s="29" t="s">
        <v>150</v>
      </c>
      <c r="D55" s="30">
        <f>물량스냅샷!F55</f>
        <v>3060</v>
      </c>
      <c r="E55" s="30">
        <f>물량스냅샷!F115</f>
        <v>3029</v>
      </c>
      <c r="F55" s="30">
        <f>물량스냅샷!F175</f>
        <v>3029</v>
      </c>
      <c r="G55" s="30">
        <f>단위원가!F55</f>
        <v>150000</v>
      </c>
      <c r="H55" s="30">
        <f>단위원가!J55</f>
        <v>132000</v>
      </c>
      <c r="I55" s="30">
        <f>단위원가!K55</f>
        <v>18000</v>
      </c>
      <c r="J55" s="32">
        <f t="shared" si="8"/>
        <v>459000000</v>
      </c>
      <c r="K55" s="32">
        <f t="shared" si="9"/>
        <v>454350000</v>
      </c>
      <c r="L55" s="32">
        <f t="shared" si="10"/>
        <v>454350000</v>
      </c>
      <c r="M55" s="32">
        <f t="shared" si="11"/>
        <v>55080000</v>
      </c>
      <c r="N55" s="32">
        <f t="shared" si="12"/>
        <v>54522000</v>
      </c>
      <c r="O55" s="32">
        <f t="shared" si="13"/>
        <v>54522000</v>
      </c>
      <c r="P55" s="36"/>
      <c r="Q55" s="36"/>
      <c r="R55" s="36"/>
    </row>
    <row r="56" spans="1:18" ht="28.05" customHeight="1">
      <c r="A56" s="15">
        <v>46692</v>
      </c>
      <c r="B56" s="22">
        <v>4</v>
      </c>
      <c r="C56" s="22" t="s">
        <v>146</v>
      </c>
      <c r="D56" s="23">
        <f>물량스냅샷!F56</f>
        <v>4000</v>
      </c>
      <c r="E56" s="23">
        <f>물량스냅샷!F116</f>
        <v>3800</v>
      </c>
      <c r="F56" s="23">
        <f>물량스냅샷!F176</f>
        <v>3800</v>
      </c>
      <c r="G56" s="23">
        <f>단위원가!F56</f>
        <v>300000</v>
      </c>
      <c r="H56" s="23">
        <f>단위원가!J56</f>
        <v>270000</v>
      </c>
      <c r="I56" s="23">
        <f>단위원가!K56</f>
        <v>30000</v>
      </c>
      <c r="J56" s="25">
        <f t="shared" si="8"/>
        <v>1200000000</v>
      </c>
      <c r="K56" s="25">
        <f t="shared" si="9"/>
        <v>1140000000</v>
      </c>
      <c r="L56" s="25">
        <f t="shared" si="10"/>
        <v>1140000000</v>
      </c>
      <c r="M56" s="25">
        <f t="shared" si="11"/>
        <v>120000000</v>
      </c>
      <c r="N56" s="25">
        <f t="shared" si="12"/>
        <v>114000000</v>
      </c>
      <c r="O56" s="25">
        <f t="shared" si="13"/>
        <v>114000000</v>
      </c>
      <c r="P56" s="35"/>
      <c r="Q56" s="35"/>
      <c r="R56" s="35"/>
    </row>
    <row r="57" spans="1:18" ht="28.05" customHeight="1">
      <c r="A57" s="16">
        <v>46692</v>
      </c>
      <c r="B57" s="29">
        <v>4</v>
      </c>
      <c r="C57" s="29" t="s">
        <v>147</v>
      </c>
      <c r="D57" s="30">
        <f>물량스냅샷!F57</f>
        <v>10000</v>
      </c>
      <c r="E57" s="30">
        <f>물량스냅샷!F117</f>
        <v>9500</v>
      </c>
      <c r="F57" s="30">
        <f>물량스냅샷!F177</f>
        <v>9500</v>
      </c>
      <c r="G57" s="30">
        <f>단위원가!F57</f>
        <v>180000</v>
      </c>
      <c r="H57" s="30">
        <f>단위원가!J57</f>
        <v>160000</v>
      </c>
      <c r="I57" s="30">
        <f>단위원가!K57</f>
        <v>20000</v>
      </c>
      <c r="J57" s="32">
        <f t="shared" si="8"/>
        <v>1800000000</v>
      </c>
      <c r="K57" s="32">
        <f t="shared" si="9"/>
        <v>1710000000</v>
      </c>
      <c r="L57" s="32">
        <f t="shared" si="10"/>
        <v>1710000000</v>
      </c>
      <c r="M57" s="32">
        <f t="shared" si="11"/>
        <v>200000000</v>
      </c>
      <c r="N57" s="32">
        <f t="shared" si="12"/>
        <v>190000000</v>
      </c>
      <c r="O57" s="32">
        <f t="shared" si="13"/>
        <v>190000000</v>
      </c>
      <c r="P57" s="36"/>
      <c r="Q57" s="36"/>
      <c r="R57" s="36"/>
    </row>
    <row r="58" spans="1:18" ht="28.05" customHeight="1">
      <c r="A58" s="15">
        <v>46692</v>
      </c>
      <c r="B58" s="22">
        <v>4</v>
      </c>
      <c r="C58" s="22" t="s">
        <v>148</v>
      </c>
      <c r="D58" s="23">
        <f>물량스냅샷!F58</f>
        <v>6000</v>
      </c>
      <c r="E58" s="23">
        <f>물량스냅샷!F118</f>
        <v>5940</v>
      </c>
      <c r="F58" s="23">
        <f>물량스냅샷!F178</f>
        <v>5940</v>
      </c>
      <c r="G58" s="23">
        <f>단위원가!F58</f>
        <v>230000</v>
      </c>
      <c r="H58" s="23">
        <f>단위원가!J58</f>
        <v>202000</v>
      </c>
      <c r="I58" s="23">
        <f>단위원가!K58</f>
        <v>28000</v>
      </c>
      <c r="J58" s="25">
        <f t="shared" si="8"/>
        <v>1380000000</v>
      </c>
      <c r="K58" s="25">
        <f t="shared" si="9"/>
        <v>1366200000</v>
      </c>
      <c r="L58" s="25">
        <f t="shared" si="10"/>
        <v>1366200000</v>
      </c>
      <c r="M58" s="25">
        <f t="shared" si="11"/>
        <v>168000000</v>
      </c>
      <c r="N58" s="25">
        <f t="shared" si="12"/>
        <v>166320000</v>
      </c>
      <c r="O58" s="25">
        <f t="shared" si="13"/>
        <v>166320000</v>
      </c>
      <c r="P58" s="35"/>
      <c r="Q58" s="35"/>
      <c r="R58" s="35"/>
    </row>
    <row r="59" spans="1:18" ht="28.05" customHeight="1">
      <c r="A59" s="16">
        <v>46692</v>
      </c>
      <c r="B59" s="29">
        <v>4</v>
      </c>
      <c r="C59" s="29" t="s">
        <v>149</v>
      </c>
      <c r="D59" s="30">
        <f>물량스냅샷!F59</f>
        <v>5000</v>
      </c>
      <c r="E59" s="30">
        <f>물량스냅샷!F119</f>
        <v>5050</v>
      </c>
      <c r="F59" s="30">
        <f>물량스냅샷!F179</f>
        <v>5050</v>
      </c>
      <c r="G59" s="30">
        <f>단위원가!F59</f>
        <v>210000</v>
      </c>
      <c r="H59" s="30">
        <f>단위원가!J59</f>
        <v>185000</v>
      </c>
      <c r="I59" s="30">
        <f>단위원가!K59</f>
        <v>25000</v>
      </c>
      <c r="J59" s="32">
        <f t="shared" si="8"/>
        <v>1050000000</v>
      </c>
      <c r="K59" s="32">
        <f t="shared" si="9"/>
        <v>1060500000</v>
      </c>
      <c r="L59" s="32">
        <f t="shared" si="10"/>
        <v>1060500000</v>
      </c>
      <c r="M59" s="32">
        <f t="shared" si="11"/>
        <v>125000000</v>
      </c>
      <c r="N59" s="32">
        <f t="shared" si="12"/>
        <v>126250000</v>
      </c>
      <c r="O59" s="32">
        <f t="shared" si="13"/>
        <v>126250000</v>
      </c>
      <c r="P59" s="36"/>
      <c r="Q59" s="36"/>
      <c r="R59" s="36"/>
    </row>
    <row r="60" spans="1:18" ht="28.05" customHeight="1">
      <c r="A60" s="15">
        <v>46692</v>
      </c>
      <c r="B60" s="22">
        <v>4</v>
      </c>
      <c r="C60" s="22" t="s">
        <v>150</v>
      </c>
      <c r="D60" s="23">
        <f>물량스냅샷!F60</f>
        <v>3000</v>
      </c>
      <c r="E60" s="23">
        <f>물량스냅샷!F120</f>
        <v>2970</v>
      </c>
      <c r="F60" s="23">
        <f>물량스냅샷!F180</f>
        <v>2970</v>
      </c>
      <c r="G60" s="23">
        <f>단위원가!F60</f>
        <v>150000</v>
      </c>
      <c r="H60" s="23">
        <f>단위원가!J60</f>
        <v>132000</v>
      </c>
      <c r="I60" s="23">
        <f>단위원가!K60</f>
        <v>18000</v>
      </c>
      <c r="J60" s="25">
        <f t="shared" si="8"/>
        <v>450000000</v>
      </c>
      <c r="K60" s="25">
        <f t="shared" si="9"/>
        <v>445500000</v>
      </c>
      <c r="L60" s="25">
        <f t="shared" si="10"/>
        <v>445500000</v>
      </c>
      <c r="M60" s="25">
        <f t="shared" si="11"/>
        <v>54000000</v>
      </c>
      <c r="N60" s="25">
        <f t="shared" si="12"/>
        <v>53460000</v>
      </c>
      <c r="O60" s="25">
        <f t="shared" si="13"/>
        <v>53460000</v>
      </c>
      <c r="P60" s="35"/>
      <c r="Q60" s="35"/>
      <c r="R60" s="35"/>
    </row>
    <row r="61" spans="1:18" ht="28.05" customHeight="1">
      <c r="A61" s="16">
        <v>46722</v>
      </c>
      <c r="B61" s="29">
        <v>4</v>
      </c>
      <c r="C61" s="29" t="s">
        <v>146</v>
      </c>
      <c r="D61" s="30">
        <f>물량스냅샷!F61</f>
        <v>3800</v>
      </c>
      <c r="E61" s="30">
        <f>물량스냅샷!F121</f>
        <v>3610</v>
      </c>
      <c r="F61" s="30">
        <f>물량스냅샷!F181</f>
        <v>3610</v>
      </c>
      <c r="G61" s="30">
        <f>단위원가!F61</f>
        <v>300000</v>
      </c>
      <c r="H61" s="30">
        <f>단위원가!J61</f>
        <v>270000</v>
      </c>
      <c r="I61" s="30">
        <f>단위원가!K61</f>
        <v>30000</v>
      </c>
      <c r="J61" s="32">
        <f t="shared" si="8"/>
        <v>1140000000</v>
      </c>
      <c r="K61" s="32">
        <f t="shared" si="9"/>
        <v>1083000000</v>
      </c>
      <c r="L61" s="32">
        <f t="shared" si="10"/>
        <v>1083000000</v>
      </c>
      <c r="M61" s="32">
        <f t="shared" si="11"/>
        <v>114000000</v>
      </c>
      <c r="N61" s="32">
        <f t="shared" si="12"/>
        <v>108300000</v>
      </c>
      <c r="O61" s="32">
        <f t="shared" si="13"/>
        <v>108300000</v>
      </c>
      <c r="P61" s="36"/>
      <c r="Q61" s="36"/>
      <c r="R61" s="36"/>
    </row>
    <row r="62" spans="1:18" ht="28.05" customHeight="1">
      <c r="A62" s="15">
        <v>46722</v>
      </c>
      <c r="B62" s="22">
        <v>4</v>
      </c>
      <c r="C62" s="22" t="s">
        <v>147</v>
      </c>
      <c r="D62" s="23">
        <f>물량스냅샷!F62</f>
        <v>9500</v>
      </c>
      <c r="E62" s="23">
        <f>물량스냅샷!F122</f>
        <v>9025</v>
      </c>
      <c r="F62" s="23">
        <f>물량스냅샷!F182</f>
        <v>9025</v>
      </c>
      <c r="G62" s="23">
        <f>단위원가!F62</f>
        <v>180000</v>
      </c>
      <c r="H62" s="23">
        <f>단위원가!J62</f>
        <v>160000</v>
      </c>
      <c r="I62" s="23">
        <f>단위원가!K62</f>
        <v>20000</v>
      </c>
      <c r="J62" s="25">
        <f t="shared" si="8"/>
        <v>1710000000</v>
      </c>
      <c r="K62" s="25">
        <f t="shared" si="9"/>
        <v>1624500000</v>
      </c>
      <c r="L62" s="25">
        <f t="shared" si="10"/>
        <v>1624500000</v>
      </c>
      <c r="M62" s="25">
        <f t="shared" si="11"/>
        <v>190000000</v>
      </c>
      <c r="N62" s="25">
        <f t="shared" si="12"/>
        <v>180500000</v>
      </c>
      <c r="O62" s="25">
        <f t="shared" si="13"/>
        <v>180500000</v>
      </c>
      <c r="P62" s="35"/>
      <c r="Q62" s="35"/>
      <c r="R62" s="35"/>
    </row>
    <row r="63" spans="1:18" ht="28.05" customHeight="1">
      <c r="A63" s="16">
        <v>46722</v>
      </c>
      <c r="B63" s="29">
        <v>4</v>
      </c>
      <c r="C63" s="29" t="s">
        <v>148</v>
      </c>
      <c r="D63" s="30">
        <f>물량스냅샷!F63</f>
        <v>5700</v>
      </c>
      <c r="E63" s="30">
        <f>물량스냅샷!F123</f>
        <v>5643</v>
      </c>
      <c r="F63" s="30">
        <f>물량스냅샷!F183</f>
        <v>5643</v>
      </c>
      <c r="G63" s="30">
        <f>단위원가!F63</f>
        <v>230000</v>
      </c>
      <c r="H63" s="30">
        <f>단위원가!J63</f>
        <v>202000</v>
      </c>
      <c r="I63" s="30">
        <f>단위원가!K63</f>
        <v>28000</v>
      </c>
      <c r="J63" s="32">
        <f t="shared" si="8"/>
        <v>1311000000</v>
      </c>
      <c r="K63" s="32">
        <f t="shared" si="9"/>
        <v>1297890000</v>
      </c>
      <c r="L63" s="32">
        <f t="shared" si="10"/>
        <v>1297890000</v>
      </c>
      <c r="M63" s="32">
        <f t="shared" si="11"/>
        <v>159600000</v>
      </c>
      <c r="N63" s="32">
        <f t="shared" si="12"/>
        <v>158004000</v>
      </c>
      <c r="O63" s="32">
        <f t="shared" si="13"/>
        <v>158004000</v>
      </c>
      <c r="P63" s="36"/>
      <c r="Q63" s="36"/>
      <c r="R63" s="36"/>
    </row>
    <row r="64" spans="1:18" ht="28.05" customHeight="1">
      <c r="A64" s="15">
        <v>46722</v>
      </c>
      <c r="B64" s="22">
        <v>4</v>
      </c>
      <c r="C64" s="22" t="s">
        <v>149</v>
      </c>
      <c r="D64" s="23">
        <f>물량스냅샷!F64</f>
        <v>4750</v>
      </c>
      <c r="E64" s="23">
        <f>물량스냅샷!F124</f>
        <v>4798</v>
      </c>
      <c r="F64" s="23">
        <f>물량스냅샷!F184</f>
        <v>4798</v>
      </c>
      <c r="G64" s="23">
        <f>단위원가!F64</f>
        <v>210000</v>
      </c>
      <c r="H64" s="23">
        <f>단위원가!J64</f>
        <v>185000</v>
      </c>
      <c r="I64" s="23">
        <f>단위원가!K64</f>
        <v>25000</v>
      </c>
      <c r="J64" s="25">
        <f t="shared" si="8"/>
        <v>997500000</v>
      </c>
      <c r="K64" s="25">
        <f t="shared" si="9"/>
        <v>1007580000</v>
      </c>
      <c r="L64" s="25">
        <f t="shared" si="10"/>
        <v>1007580000</v>
      </c>
      <c r="M64" s="25">
        <f t="shared" si="11"/>
        <v>118750000</v>
      </c>
      <c r="N64" s="25">
        <f t="shared" si="12"/>
        <v>119950000</v>
      </c>
      <c r="O64" s="25">
        <f t="shared" si="13"/>
        <v>119950000</v>
      </c>
      <c r="P64" s="35"/>
      <c r="Q64" s="35"/>
      <c r="R64" s="35"/>
    </row>
    <row r="65" spans="1:18" ht="28.05" customHeight="1">
      <c r="A65" s="16">
        <v>46722</v>
      </c>
      <c r="B65" s="29">
        <v>4</v>
      </c>
      <c r="C65" s="29" t="s">
        <v>150</v>
      </c>
      <c r="D65" s="30">
        <f>물량스냅샷!F65</f>
        <v>2850</v>
      </c>
      <c r="E65" s="30">
        <f>물량스냅샷!F125</f>
        <v>2822</v>
      </c>
      <c r="F65" s="30">
        <f>물량스냅샷!F185</f>
        <v>2822</v>
      </c>
      <c r="G65" s="30">
        <f>단위원가!F65</f>
        <v>150000</v>
      </c>
      <c r="H65" s="30">
        <f>단위원가!J65</f>
        <v>132000</v>
      </c>
      <c r="I65" s="30">
        <f>단위원가!K65</f>
        <v>18000</v>
      </c>
      <c r="J65" s="32">
        <f t="shared" si="8"/>
        <v>427500000</v>
      </c>
      <c r="K65" s="32">
        <f t="shared" si="9"/>
        <v>423300000</v>
      </c>
      <c r="L65" s="32">
        <f t="shared" si="10"/>
        <v>423300000</v>
      </c>
      <c r="M65" s="32">
        <f t="shared" si="11"/>
        <v>51300000</v>
      </c>
      <c r="N65" s="32">
        <f t="shared" si="12"/>
        <v>50796000</v>
      </c>
      <c r="O65" s="32">
        <f t="shared" si="13"/>
        <v>50796000</v>
      </c>
      <c r="P65" s="36"/>
      <c r="Q65" s="36"/>
      <c r="R65" s="36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I7" sqref="I7"/>
    </sheetView>
  </sheetViews>
  <sheetFormatPr defaultRowHeight="13.8"/>
  <cols>
    <col min="1" max="1" width="9.796875" customWidth="1"/>
    <col min="2" max="2" width="14.69921875" customWidth="1"/>
    <col min="3" max="3" width="16.296875" customWidth="1"/>
    <col min="4" max="4" width="9.59765625" customWidth="1"/>
    <col min="5" max="5" width="13.8984375" customWidth="1"/>
    <col min="6" max="6" width="14.59765625" customWidth="1"/>
    <col min="7" max="7" width="12.796875" customWidth="1"/>
    <col min="8" max="8" width="12.19921875" customWidth="1"/>
    <col min="9" max="9" width="14" customWidth="1"/>
    <col min="10" max="10" width="13" customWidth="1"/>
    <col min="11" max="11" width="12.09765625" customWidth="1"/>
    <col min="12" max="12" width="15.597656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1.95" customHeight="1">
      <c r="A2" s="2" t="s">
        <v>169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" t="s">
        <v>170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7.950000000000003" customHeight="1">
      <c r="A5" s="20" t="s">
        <v>133</v>
      </c>
      <c r="B5" s="20" t="s">
        <v>171</v>
      </c>
      <c r="C5" s="20" t="s">
        <v>172</v>
      </c>
      <c r="D5" s="20" t="s">
        <v>173</v>
      </c>
      <c r="E5" s="20" t="s">
        <v>174</v>
      </c>
      <c r="F5" s="20" t="s">
        <v>175</v>
      </c>
      <c r="G5" s="20" t="s">
        <v>176</v>
      </c>
      <c r="H5" s="20" t="s">
        <v>177</v>
      </c>
      <c r="I5" s="20" t="s">
        <v>178</v>
      </c>
      <c r="J5" s="20" t="s">
        <v>179</v>
      </c>
      <c r="K5" s="20" t="s">
        <v>180</v>
      </c>
      <c r="L5" s="20" t="s">
        <v>181</v>
      </c>
    </row>
    <row r="6" spans="1:12" ht="28.05" customHeight="1">
      <c r="A6" s="6" t="s">
        <v>146</v>
      </c>
      <c r="B6" s="22" t="s">
        <v>182</v>
      </c>
      <c r="C6" s="22" t="s">
        <v>183</v>
      </c>
      <c r="D6" s="22" t="s">
        <v>184</v>
      </c>
      <c r="E6" s="7">
        <v>4000</v>
      </c>
      <c r="F6" s="7">
        <v>300000</v>
      </c>
      <c r="G6" s="7">
        <v>175000</v>
      </c>
      <c r="H6" s="7">
        <v>75000</v>
      </c>
      <c r="I6" s="7">
        <v>20000</v>
      </c>
      <c r="J6" s="8">
        <v>0.95</v>
      </c>
      <c r="K6" s="11">
        <f>SUM(G6:I6)</f>
        <v>270000</v>
      </c>
      <c r="L6" s="11">
        <f>F6-K6</f>
        <v>30000</v>
      </c>
    </row>
    <row r="7" spans="1:12" ht="28.05" customHeight="1">
      <c r="A7" s="5" t="s">
        <v>147</v>
      </c>
      <c r="B7" s="29" t="s">
        <v>185</v>
      </c>
      <c r="C7" s="29" t="s">
        <v>183</v>
      </c>
      <c r="D7" s="29" t="s">
        <v>184</v>
      </c>
      <c r="E7" s="7">
        <v>10000</v>
      </c>
      <c r="F7" s="7">
        <v>180000</v>
      </c>
      <c r="G7" s="7">
        <v>55000</v>
      </c>
      <c r="H7" s="7">
        <v>95000</v>
      </c>
      <c r="I7" s="7">
        <v>10000</v>
      </c>
      <c r="J7" s="8">
        <v>0.95</v>
      </c>
      <c r="K7" s="12">
        <f>SUM(G7:I7)</f>
        <v>160000</v>
      </c>
      <c r="L7" s="12">
        <f>F7-K7</f>
        <v>20000</v>
      </c>
    </row>
    <row r="8" spans="1:12" ht="28.05" customHeight="1">
      <c r="A8" s="6" t="s">
        <v>148</v>
      </c>
      <c r="B8" s="22" t="s">
        <v>186</v>
      </c>
      <c r="C8" s="22" t="s">
        <v>183</v>
      </c>
      <c r="D8" s="22" t="s">
        <v>184</v>
      </c>
      <c r="E8" s="7">
        <v>6000</v>
      </c>
      <c r="F8" s="7">
        <v>230000</v>
      </c>
      <c r="G8" s="7">
        <v>125000</v>
      </c>
      <c r="H8" s="7">
        <v>60000</v>
      </c>
      <c r="I8" s="7">
        <v>17000</v>
      </c>
      <c r="J8" s="8">
        <v>0.99</v>
      </c>
      <c r="K8" s="11">
        <f>SUM(G8:I8)</f>
        <v>202000</v>
      </c>
      <c r="L8" s="11">
        <f>F8-K8</f>
        <v>28000</v>
      </c>
    </row>
    <row r="9" spans="1:12" ht="28.05" customHeight="1">
      <c r="A9" s="5" t="s">
        <v>149</v>
      </c>
      <c r="B9" s="29" t="s">
        <v>187</v>
      </c>
      <c r="C9" s="29" t="s">
        <v>183</v>
      </c>
      <c r="D9" s="29" t="s">
        <v>184</v>
      </c>
      <c r="E9" s="7">
        <v>5000</v>
      </c>
      <c r="F9" s="7">
        <v>210000</v>
      </c>
      <c r="G9" s="7">
        <v>105000</v>
      </c>
      <c r="H9" s="7">
        <v>65000</v>
      </c>
      <c r="I9" s="7">
        <v>15000</v>
      </c>
      <c r="J9" s="8">
        <v>1.01</v>
      </c>
      <c r="K9" s="12">
        <f>SUM(G9:I9)</f>
        <v>185000</v>
      </c>
      <c r="L9" s="12">
        <f>F9-K9</f>
        <v>25000</v>
      </c>
    </row>
    <row r="10" spans="1:12" ht="28.05" customHeight="1">
      <c r="A10" s="6" t="s">
        <v>150</v>
      </c>
      <c r="B10" s="22" t="s">
        <v>188</v>
      </c>
      <c r="C10" s="22" t="s">
        <v>183</v>
      </c>
      <c r="D10" s="22" t="s">
        <v>184</v>
      </c>
      <c r="E10" s="7">
        <v>3000</v>
      </c>
      <c r="F10" s="7">
        <v>150000</v>
      </c>
      <c r="G10" s="7">
        <v>70000</v>
      </c>
      <c r="H10" s="7">
        <v>50000</v>
      </c>
      <c r="I10" s="7">
        <v>12000</v>
      </c>
      <c r="J10" s="8">
        <v>0.99</v>
      </c>
      <c r="K10" s="11">
        <f>SUM(G10:I10)</f>
        <v>132000</v>
      </c>
      <c r="L10" s="11">
        <f>F10-K10</f>
        <v>18000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5" sqref="A5"/>
    </sheetView>
  </sheetViews>
  <sheetFormatPr defaultRowHeight="13.8"/>
  <cols>
    <col min="1" max="1" width="18" customWidth="1"/>
    <col min="2" max="2" width="17.296875" customWidth="1"/>
    <col min="3" max="3" width="26.5" customWidth="1"/>
    <col min="4" max="4" width="14.8984375" customWidth="1"/>
    <col min="5" max="5" width="14.19921875" customWidth="1"/>
    <col min="6" max="6" width="12.296875" customWidth="1"/>
    <col min="7" max="7" width="14.796875" customWidth="1"/>
    <col min="8" max="8" width="17.796875" customWidth="1"/>
    <col min="9" max="9" width="50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31.95" customHeight="1">
      <c r="A2" s="2" t="s">
        <v>189</v>
      </c>
      <c r="B2" s="1"/>
      <c r="C2" s="1"/>
      <c r="D2" s="1"/>
      <c r="E2" s="1"/>
      <c r="F2" s="1"/>
      <c r="G2" s="1"/>
      <c r="H2" s="1"/>
      <c r="I2" s="1"/>
    </row>
    <row r="3" spans="1:9">
      <c r="A3" s="3" t="s">
        <v>190</v>
      </c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 ht="37.950000000000003" customHeight="1">
      <c r="A5" s="4" t="s">
        <v>191</v>
      </c>
      <c r="B5" s="4" t="s">
        <v>192</v>
      </c>
      <c r="C5" s="4" t="s">
        <v>193</v>
      </c>
      <c r="D5" s="4" t="s">
        <v>194</v>
      </c>
      <c r="E5" s="4" t="s">
        <v>195</v>
      </c>
      <c r="F5" s="4" t="s">
        <v>196</v>
      </c>
      <c r="G5" s="4" t="s">
        <v>197</v>
      </c>
      <c r="H5" s="4" t="s">
        <v>198</v>
      </c>
      <c r="I5" s="4" t="s">
        <v>199</v>
      </c>
    </row>
    <row r="6" spans="1:9" ht="37.950000000000003" customHeight="1">
      <c r="A6" s="6" t="s">
        <v>200</v>
      </c>
      <c r="B6" s="6" t="s">
        <v>134</v>
      </c>
      <c r="C6" s="6" t="s">
        <v>201</v>
      </c>
      <c r="D6" s="6" t="s">
        <v>202</v>
      </c>
      <c r="E6" s="6" t="s">
        <v>203</v>
      </c>
      <c r="F6" s="6" t="s">
        <v>204</v>
      </c>
      <c r="G6" s="6" t="s">
        <v>204</v>
      </c>
      <c r="H6" s="6" t="s">
        <v>205</v>
      </c>
      <c r="I6" s="6" t="s">
        <v>206</v>
      </c>
    </row>
    <row r="7" spans="1:9" ht="37.950000000000003" customHeight="1">
      <c r="A7" s="5" t="s">
        <v>207</v>
      </c>
      <c r="B7" s="5" t="s">
        <v>208</v>
      </c>
      <c r="C7" s="5" t="s">
        <v>209</v>
      </c>
      <c r="D7" s="5" t="s">
        <v>210</v>
      </c>
      <c r="E7" s="5" t="s">
        <v>211</v>
      </c>
      <c r="F7" s="5" t="s">
        <v>212</v>
      </c>
      <c r="G7" s="5" t="s">
        <v>204</v>
      </c>
      <c r="H7" s="5" t="s">
        <v>213</v>
      </c>
      <c r="I7" s="5" t="s">
        <v>214</v>
      </c>
    </row>
    <row r="8" spans="1:9" ht="37.950000000000003" customHeight="1">
      <c r="A8" s="6" t="s">
        <v>215</v>
      </c>
      <c r="B8" s="6" t="s">
        <v>216</v>
      </c>
      <c r="C8" s="6" t="s">
        <v>217</v>
      </c>
      <c r="D8" s="6" t="s">
        <v>202</v>
      </c>
      <c r="E8" s="6" t="s">
        <v>203</v>
      </c>
      <c r="F8" s="6" t="s">
        <v>212</v>
      </c>
      <c r="G8" s="6" t="s">
        <v>218</v>
      </c>
      <c r="H8" s="6" t="s">
        <v>219</v>
      </c>
      <c r="I8" s="6" t="s">
        <v>220</v>
      </c>
    </row>
    <row r="9" spans="1:9" ht="37.950000000000003" customHeight="1">
      <c r="A9" s="5" t="s">
        <v>221</v>
      </c>
      <c r="B9" s="5" t="s">
        <v>208</v>
      </c>
      <c r="C9" s="5" t="s">
        <v>222</v>
      </c>
      <c r="D9" s="5" t="s">
        <v>210</v>
      </c>
      <c r="E9" s="5" t="s">
        <v>223</v>
      </c>
      <c r="F9" s="5" t="s">
        <v>224</v>
      </c>
      <c r="G9" s="5" t="s">
        <v>204</v>
      </c>
      <c r="H9" s="5" t="s">
        <v>213</v>
      </c>
      <c r="I9" s="5" t="s">
        <v>225</v>
      </c>
    </row>
    <row r="10" spans="1:9" ht="37.950000000000003" customHeight="1">
      <c r="A10" s="6" t="s">
        <v>226</v>
      </c>
      <c r="B10" s="6" t="s">
        <v>216</v>
      </c>
      <c r="C10" s="6" t="s">
        <v>227</v>
      </c>
      <c r="D10" s="6" t="s">
        <v>202</v>
      </c>
      <c r="E10" s="6" t="s">
        <v>228</v>
      </c>
      <c r="F10" s="6" t="s">
        <v>224</v>
      </c>
      <c r="G10" s="6" t="s">
        <v>218</v>
      </c>
      <c r="H10" s="6" t="s">
        <v>229</v>
      </c>
      <c r="I10" s="6" t="s">
        <v>230</v>
      </c>
    </row>
    <row r="11" spans="1:9" ht="37.950000000000003" customHeight="1">
      <c r="A11" s="5" t="s">
        <v>231</v>
      </c>
      <c r="B11" s="5" t="s">
        <v>232</v>
      </c>
      <c r="C11" s="5" t="s">
        <v>233</v>
      </c>
      <c r="D11" s="5" t="s">
        <v>202</v>
      </c>
      <c r="E11" s="5" t="s">
        <v>203</v>
      </c>
      <c r="F11" s="5" t="s">
        <v>234</v>
      </c>
      <c r="G11" s="5" t="s">
        <v>204</v>
      </c>
      <c r="H11" s="5" t="s">
        <v>235</v>
      </c>
      <c r="I11" s="5" t="s">
        <v>236</v>
      </c>
    </row>
    <row r="12" spans="1:9" ht="37.950000000000003" customHeight="1">
      <c r="A12" s="6" t="s">
        <v>237</v>
      </c>
      <c r="B12" s="6" t="s">
        <v>238</v>
      </c>
      <c r="C12" s="6" t="s">
        <v>233</v>
      </c>
      <c r="D12" s="6" t="s">
        <v>202</v>
      </c>
      <c r="E12" s="6" t="s">
        <v>239</v>
      </c>
      <c r="F12" s="6" t="s">
        <v>240</v>
      </c>
      <c r="G12" s="6" t="s">
        <v>204</v>
      </c>
      <c r="H12" s="6" t="s">
        <v>241</v>
      </c>
      <c r="I12" s="6" t="s">
        <v>242</v>
      </c>
    </row>
    <row r="15" spans="1:9">
      <c r="A15" t="s">
        <v>243</v>
      </c>
      <c r="B15" t="s">
        <v>244</v>
      </c>
    </row>
    <row r="16" spans="1:9">
      <c r="A16" t="s">
        <v>245</v>
      </c>
      <c r="B16" s="13">
        <v>0.03</v>
      </c>
    </row>
    <row r="17" spans="1:2">
      <c r="A17" t="s">
        <v>246</v>
      </c>
      <c r="B17" s="13">
        <v>0.05</v>
      </c>
    </row>
    <row r="18" spans="1:2">
      <c r="A18" t="s">
        <v>247</v>
      </c>
      <c r="B18" s="14">
        <v>5000000</v>
      </c>
    </row>
    <row r="19" spans="1:2">
      <c r="A19" t="s">
        <v>248</v>
      </c>
      <c r="B19" s="14">
        <v>10000000</v>
      </c>
    </row>
    <row r="20" spans="1:2">
      <c r="A20" t="s">
        <v>249</v>
      </c>
      <c r="B20" s="13">
        <v>0.05</v>
      </c>
    </row>
    <row r="21" spans="1:2">
      <c r="A21" t="s">
        <v>250</v>
      </c>
      <c r="B21" s="13">
        <v>0.1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G16" sqref="G16"/>
    </sheetView>
  </sheetViews>
  <sheetFormatPr defaultRowHeight="13.8"/>
  <cols>
    <col min="1" max="1" width="11.19921875" customWidth="1"/>
    <col min="2" max="2" width="22" customWidth="1"/>
    <col min="3" max="3" width="14.69921875" customWidth="1"/>
    <col min="4" max="5" width="12.09765625" customWidth="1"/>
    <col min="6" max="6" width="15.8984375" customWidth="1"/>
    <col min="7" max="7" width="9.3984375" customWidth="1"/>
    <col min="8" max="8" width="11.19921875" customWidth="1"/>
    <col min="9" max="9" width="13.59765625" customWidth="1"/>
    <col min="10" max="10" width="19.19921875" customWidth="1"/>
    <col min="11" max="11" width="16.3984375" customWidth="1"/>
    <col min="12" max="12" width="20.597656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1.95" customHeight="1">
      <c r="A2" s="2" t="s">
        <v>251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" t="s">
        <v>252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7.950000000000003" customHeight="1">
      <c r="A5" s="20" t="s">
        <v>196</v>
      </c>
      <c r="B5" s="20" t="s">
        <v>253</v>
      </c>
      <c r="C5" s="20" t="s">
        <v>172</v>
      </c>
      <c r="D5" s="20" t="s">
        <v>173</v>
      </c>
      <c r="E5" s="20" t="s">
        <v>133</v>
      </c>
      <c r="F5" s="20" t="s">
        <v>132</v>
      </c>
      <c r="G5" s="20" t="s">
        <v>254</v>
      </c>
      <c r="H5" s="20" t="s">
        <v>255</v>
      </c>
      <c r="I5" s="20" t="s">
        <v>256</v>
      </c>
      <c r="J5" s="20" t="s">
        <v>257</v>
      </c>
      <c r="K5" s="20" t="s">
        <v>258</v>
      </c>
      <c r="L5" s="20" t="s">
        <v>259</v>
      </c>
    </row>
    <row r="6" spans="1:12" ht="28.05" customHeight="1">
      <c r="A6" s="22" t="s">
        <v>212</v>
      </c>
      <c r="B6" s="22" t="s">
        <v>207</v>
      </c>
      <c r="C6" s="22" t="s">
        <v>183</v>
      </c>
      <c r="D6" s="22" t="s">
        <v>184</v>
      </c>
      <c r="E6" s="22" t="s">
        <v>146</v>
      </c>
      <c r="F6" s="21">
        <v>46569</v>
      </c>
      <c r="G6" s="35">
        <v>3800</v>
      </c>
      <c r="H6" s="22" t="s">
        <v>260</v>
      </c>
      <c r="I6" s="22" t="s">
        <v>261</v>
      </c>
      <c r="J6" s="22" t="s">
        <v>262</v>
      </c>
      <c r="K6" s="22" t="s">
        <v>263</v>
      </c>
      <c r="L6" s="22" t="s">
        <v>264</v>
      </c>
    </row>
    <row r="7" spans="1:12" ht="28.05" customHeight="1">
      <c r="A7" s="29" t="s">
        <v>212</v>
      </c>
      <c r="B7" s="29" t="s">
        <v>207</v>
      </c>
      <c r="C7" s="29" t="s">
        <v>183</v>
      </c>
      <c r="D7" s="29" t="s">
        <v>184</v>
      </c>
      <c r="E7" s="29" t="s">
        <v>147</v>
      </c>
      <c r="F7" s="28">
        <v>46569</v>
      </c>
      <c r="G7" s="37">
        <v>9500</v>
      </c>
      <c r="H7" s="29" t="s">
        <v>260</v>
      </c>
      <c r="I7" s="29" t="s">
        <v>261</v>
      </c>
      <c r="J7" s="29" t="s">
        <v>262</v>
      </c>
      <c r="K7" s="29" t="s">
        <v>263</v>
      </c>
      <c r="L7" s="29" t="s">
        <v>264</v>
      </c>
    </row>
    <row r="8" spans="1:12" ht="28.05" customHeight="1">
      <c r="A8" s="22" t="s">
        <v>212</v>
      </c>
      <c r="B8" s="22" t="s">
        <v>207</v>
      </c>
      <c r="C8" s="22" t="s">
        <v>183</v>
      </c>
      <c r="D8" s="22" t="s">
        <v>184</v>
      </c>
      <c r="E8" s="22" t="s">
        <v>148</v>
      </c>
      <c r="F8" s="21">
        <v>46569</v>
      </c>
      <c r="G8" s="35">
        <v>5940</v>
      </c>
      <c r="H8" s="22" t="s">
        <v>260</v>
      </c>
      <c r="I8" s="22" t="s">
        <v>261</v>
      </c>
      <c r="J8" s="22" t="s">
        <v>262</v>
      </c>
      <c r="K8" s="22" t="s">
        <v>263</v>
      </c>
      <c r="L8" s="22" t="s">
        <v>264</v>
      </c>
    </row>
    <row r="9" spans="1:12" ht="28.05" customHeight="1">
      <c r="A9" s="29" t="s">
        <v>212</v>
      </c>
      <c r="B9" s="29" t="s">
        <v>207</v>
      </c>
      <c r="C9" s="29" t="s">
        <v>183</v>
      </c>
      <c r="D9" s="29" t="s">
        <v>184</v>
      </c>
      <c r="E9" s="29" t="s">
        <v>149</v>
      </c>
      <c r="F9" s="28">
        <v>46569</v>
      </c>
      <c r="G9" s="36">
        <v>5050</v>
      </c>
      <c r="H9" s="29" t="s">
        <v>260</v>
      </c>
      <c r="I9" s="29" t="s">
        <v>261</v>
      </c>
      <c r="J9" s="29" t="s">
        <v>262</v>
      </c>
      <c r="K9" s="29" t="s">
        <v>263</v>
      </c>
      <c r="L9" s="29" t="s">
        <v>264</v>
      </c>
    </row>
    <row r="10" spans="1:12" ht="28.05" customHeight="1">
      <c r="A10" s="22" t="s">
        <v>212</v>
      </c>
      <c r="B10" s="22" t="s">
        <v>207</v>
      </c>
      <c r="C10" s="22" t="s">
        <v>183</v>
      </c>
      <c r="D10" s="22" t="s">
        <v>184</v>
      </c>
      <c r="E10" s="22" t="s">
        <v>150</v>
      </c>
      <c r="F10" s="21">
        <v>46569</v>
      </c>
      <c r="G10" s="35">
        <v>2970</v>
      </c>
      <c r="H10" s="22" t="s">
        <v>260</v>
      </c>
      <c r="I10" s="22" t="s">
        <v>261</v>
      </c>
      <c r="J10" s="22" t="s">
        <v>262</v>
      </c>
      <c r="K10" s="22" t="s">
        <v>263</v>
      </c>
      <c r="L10" s="22" t="s">
        <v>264</v>
      </c>
    </row>
    <row r="11" spans="1:12" ht="28.05" customHeight="1">
      <c r="A11" s="29" t="s">
        <v>212</v>
      </c>
      <c r="B11" s="29" t="s">
        <v>207</v>
      </c>
      <c r="C11" s="29" t="s">
        <v>183</v>
      </c>
      <c r="D11" s="29" t="s">
        <v>184</v>
      </c>
      <c r="E11" s="29" t="s">
        <v>146</v>
      </c>
      <c r="F11" s="28">
        <v>46600</v>
      </c>
      <c r="G11" s="36">
        <v>3496</v>
      </c>
      <c r="H11" s="29" t="s">
        <v>260</v>
      </c>
      <c r="I11" s="29" t="s">
        <v>261</v>
      </c>
      <c r="J11" s="29" t="s">
        <v>262</v>
      </c>
      <c r="K11" s="29" t="s">
        <v>263</v>
      </c>
      <c r="L11" s="29" t="s">
        <v>264</v>
      </c>
    </row>
    <row r="12" spans="1:12" ht="28.05" customHeight="1">
      <c r="A12" s="22" t="s">
        <v>212</v>
      </c>
      <c r="B12" s="22" t="s">
        <v>207</v>
      </c>
      <c r="C12" s="22" t="s">
        <v>183</v>
      </c>
      <c r="D12" s="22" t="s">
        <v>184</v>
      </c>
      <c r="E12" s="22" t="s">
        <v>147</v>
      </c>
      <c r="F12" s="21">
        <v>46600</v>
      </c>
      <c r="G12" s="37">
        <v>8740</v>
      </c>
      <c r="H12" s="22" t="s">
        <v>260</v>
      </c>
      <c r="I12" s="22" t="s">
        <v>261</v>
      </c>
      <c r="J12" s="22" t="s">
        <v>262</v>
      </c>
      <c r="K12" s="22" t="s">
        <v>263</v>
      </c>
      <c r="L12" s="22" t="s">
        <v>264</v>
      </c>
    </row>
    <row r="13" spans="1:12" ht="28.05" customHeight="1">
      <c r="A13" s="29" t="s">
        <v>212</v>
      </c>
      <c r="B13" s="29" t="s">
        <v>207</v>
      </c>
      <c r="C13" s="29" t="s">
        <v>183</v>
      </c>
      <c r="D13" s="29" t="s">
        <v>184</v>
      </c>
      <c r="E13" s="29" t="s">
        <v>148</v>
      </c>
      <c r="F13" s="28">
        <v>46600</v>
      </c>
      <c r="G13" s="36">
        <v>5465</v>
      </c>
      <c r="H13" s="29" t="s">
        <v>260</v>
      </c>
      <c r="I13" s="29" t="s">
        <v>261</v>
      </c>
      <c r="J13" s="29" t="s">
        <v>262</v>
      </c>
      <c r="K13" s="29" t="s">
        <v>263</v>
      </c>
      <c r="L13" s="29" t="s">
        <v>264</v>
      </c>
    </row>
    <row r="14" spans="1:12" ht="28.05" customHeight="1">
      <c r="A14" s="22" t="s">
        <v>212</v>
      </c>
      <c r="B14" s="22" t="s">
        <v>207</v>
      </c>
      <c r="C14" s="22" t="s">
        <v>183</v>
      </c>
      <c r="D14" s="22" t="s">
        <v>184</v>
      </c>
      <c r="E14" s="22" t="s">
        <v>149</v>
      </c>
      <c r="F14" s="21">
        <v>46600</v>
      </c>
      <c r="G14" s="35">
        <v>4646</v>
      </c>
      <c r="H14" s="22" t="s">
        <v>260</v>
      </c>
      <c r="I14" s="22" t="s">
        <v>261</v>
      </c>
      <c r="J14" s="22" t="s">
        <v>262</v>
      </c>
      <c r="K14" s="22" t="s">
        <v>263</v>
      </c>
      <c r="L14" s="22" t="s">
        <v>264</v>
      </c>
    </row>
    <row r="15" spans="1:12" ht="28.05" customHeight="1">
      <c r="A15" s="29" t="s">
        <v>212</v>
      </c>
      <c r="B15" s="29" t="s">
        <v>207</v>
      </c>
      <c r="C15" s="29" t="s">
        <v>183</v>
      </c>
      <c r="D15" s="29" t="s">
        <v>184</v>
      </c>
      <c r="E15" s="29" t="s">
        <v>150</v>
      </c>
      <c r="F15" s="28">
        <v>46600</v>
      </c>
      <c r="G15" s="36">
        <v>2732</v>
      </c>
      <c r="H15" s="29" t="s">
        <v>260</v>
      </c>
      <c r="I15" s="29" t="s">
        <v>261</v>
      </c>
      <c r="J15" s="29" t="s">
        <v>262</v>
      </c>
      <c r="K15" s="29" t="s">
        <v>263</v>
      </c>
      <c r="L15" s="29" t="s">
        <v>264</v>
      </c>
    </row>
    <row r="16" spans="1:12" ht="28.05" customHeight="1">
      <c r="A16" s="22" t="s">
        <v>212</v>
      </c>
      <c r="B16" s="22" t="s">
        <v>207</v>
      </c>
      <c r="C16" s="22" t="s">
        <v>183</v>
      </c>
      <c r="D16" s="22" t="s">
        <v>184</v>
      </c>
      <c r="E16" s="22" t="s">
        <v>146</v>
      </c>
      <c r="F16" s="21">
        <v>46631</v>
      </c>
      <c r="G16" s="35">
        <v>3914</v>
      </c>
      <c r="H16" s="22" t="s">
        <v>260</v>
      </c>
      <c r="I16" s="22" t="s">
        <v>261</v>
      </c>
      <c r="J16" s="22" t="s">
        <v>262</v>
      </c>
      <c r="K16" s="22" t="s">
        <v>263</v>
      </c>
      <c r="L16" s="22" t="s">
        <v>264</v>
      </c>
    </row>
    <row r="17" spans="1:12" ht="28.05" customHeight="1">
      <c r="A17" s="29" t="s">
        <v>212</v>
      </c>
      <c r="B17" s="29" t="s">
        <v>207</v>
      </c>
      <c r="C17" s="29" t="s">
        <v>183</v>
      </c>
      <c r="D17" s="29" t="s">
        <v>184</v>
      </c>
      <c r="E17" s="29" t="s">
        <v>147</v>
      </c>
      <c r="F17" s="28">
        <v>46631</v>
      </c>
      <c r="G17" s="37">
        <v>9785</v>
      </c>
      <c r="H17" s="29" t="s">
        <v>260</v>
      </c>
      <c r="I17" s="29" t="s">
        <v>261</v>
      </c>
      <c r="J17" s="29" t="s">
        <v>262</v>
      </c>
      <c r="K17" s="29" t="s">
        <v>263</v>
      </c>
      <c r="L17" s="29" t="s">
        <v>264</v>
      </c>
    </row>
    <row r="18" spans="1:12" ht="28.05" customHeight="1">
      <c r="A18" s="22" t="s">
        <v>212</v>
      </c>
      <c r="B18" s="22" t="s">
        <v>207</v>
      </c>
      <c r="C18" s="22" t="s">
        <v>183</v>
      </c>
      <c r="D18" s="22" t="s">
        <v>184</v>
      </c>
      <c r="E18" s="22" t="s">
        <v>148</v>
      </c>
      <c r="F18" s="21">
        <v>46631</v>
      </c>
      <c r="G18" s="35">
        <v>6118</v>
      </c>
      <c r="H18" s="22" t="s">
        <v>260</v>
      </c>
      <c r="I18" s="22" t="s">
        <v>261</v>
      </c>
      <c r="J18" s="22" t="s">
        <v>262</v>
      </c>
      <c r="K18" s="22" t="s">
        <v>263</v>
      </c>
      <c r="L18" s="22" t="s">
        <v>264</v>
      </c>
    </row>
    <row r="19" spans="1:12" ht="28.05" customHeight="1">
      <c r="A19" s="29" t="s">
        <v>212</v>
      </c>
      <c r="B19" s="29" t="s">
        <v>207</v>
      </c>
      <c r="C19" s="29" t="s">
        <v>183</v>
      </c>
      <c r="D19" s="29" t="s">
        <v>184</v>
      </c>
      <c r="E19" s="29" t="s">
        <v>149</v>
      </c>
      <c r="F19" s="28">
        <v>46631</v>
      </c>
      <c r="G19" s="36">
        <v>5202</v>
      </c>
      <c r="H19" s="29" t="s">
        <v>260</v>
      </c>
      <c r="I19" s="29" t="s">
        <v>261</v>
      </c>
      <c r="J19" s="29" t="s">
        <v>262</v>
      </c>
      <c r="K19" s="29" t="s">
        <v>263</v>
      </c>
      <c r="L19" s="29" t="s">
        <v>264</v>
      </c>
    </row>
    <row r="20" spans="1:12" ht="28.05" customHeight="1">
      <c r="A20" s="22" t="s">
        <v>212</v>
      </c>
      <c r="B20" s="22" t="s">
        <v>207</v>
      </c>
      <c r="C20" s="22" t="s">
        <v>183</v>
      </c>
      <c r="D20" s="22" t="s">
        <v>184</v>
      </c>
      <c r="E20" s="22" t="s">
        <v>150</v>
      </c>
      <c r="F20" s="21">
        <v>46631</v>
      </c>
      <c r="G20" s="35">
        <v>3059</v>
      </c>
      <c r="H20" s="22" t="s">
        <v>260</v>
      </c>
      <c r="I20" s="22" t="s">
        <v>261</v>
      </c>
      <c r="J20" s="22" t="s">
        <v>262</v>
      </c>
      <c r="K20" s="22" t="s">
        <v>263</v>
      </c>
      <c r="L20" s="22" t="s">
        <v>264</v>
      </c>
    </row>
    <row r="21" spans="1:12" ht="28.05" customHeight="1">
      <c r="A21" s="29" t="s">
        <v>224</v>
      </c>
      <c r="B21" s="29" t="s">
        <v>221</v>
      </c>
      <c r="C21" s="29" t="s">
        <v>183</v>
      </c>
      <c r="D21" s="29" t="s">
        <v>184</v>
      </c>
      <c r="E21" s="29" t="s">
        <v>146</v>
      </c>
      <c r="F21" s="28">
        <v>46569</v>
      </c>
      <c r="G21" s="36">
        <v>3800</v>
      </c>
      <c r="H21" s="29" t="s">
        <v>260</v>
      </c>
      <c r="I21" s="29" t="s">
        <v>261</v>
      </c>
      <c r="J21" s="29" t="s">
        <v>262</v>
      </c>
      <c r="K21" s="29" t="s">
        <v>263</v>
      </c>
      <c r="L21" s="29" t="s">
        <v>264</v>
      </c>
    </row>
    <row r="22" spans="1:12" ht="28.05" customHeight="1">
      <c r="A22" s="22" t="s">
        <v>224</v>
      </c>
      <c r="B22" s="22" t="s">
        <v>221</v>
      </c>
      <c r="C22" s="22" t="s">
        <v>183</v>
      </c>
      <c r="D22" s="22" t="s">
        <v>184</v>
      </c>
      <c r="E22" s="22" t="s">
        <v>147</v>
      </c>
      <c r="F22" s="21">
        <v>46569</v>
      </c>
      <c r="G22" s="37">
        <v>8800</v>
      </c>
      <c r="H22" s="22" t="s">
        <v>260</v>
      </c>
      <c r="I22" s="22" t="s">
        <v>261</v>
      </c>
      <c r="J22" s="22" t="s">
        <v>262</v>
      </c>
      <c r="K22" s="22" t="s">
        <v>263</v>
      </c>
      <c r="L22" s="22" t="s">
        <v>264</v>
      </c>
    </row>
    <row r="23" spans="1:12" ht="28.05" customHeight="1">
      <c r="A23" s="29" t="s">
        <v>224</v>
      </c>
      <c r="B23" s="29" t="s">
        <v>221</v>
      </c>
      <c r="C23" s="29" t="s">
        <v>183</v>
      </c>
      <c r="D23" s="29" t="s">
        <v>184</v>
      </c>
      <c r="E23" s="29" t="s">
        <v>148</v>
      </c>
      <c r="F23" s="28">
        <v>46569</v>
      </c>
      <c r="G23" s="36">
        <v>5940</v>
      </c>
      <c r="H23" s="29" t="s">
        <v>260</v>
      </c>
      <c r="I23" s="29" t="s">
        <v>261</v>
      </c>
      <c r="J23" s="29" t="s">
        <v>262</v>
      </c>
      <c r="K23" s="29" t="s">
        <v>263</v>
      </c>
      <c r="L23" s="29" t="s">
        <v>264</v>
      </c>
    </row>
    <row r="24" spans="1:12" ht="28.05" customHeight="1">
      <c r="A24" s="22" t="s">
        <v>224</v>
      </c>
      <c r="B24" s="22" t="s">
        <v>221</v>
      </c>
      <c r="C24" s="22" t="s">
        <v>183</v>
      </c>
      <c r="D24" s="22" t="s">
        <v>184</v>
      </c>
      <c r="E24" s="22" t="s">
        <v>149</v>
      </c>
      <c r="F24" s="21">
        <v>46569</v>
      </c>
      <c r="G24" s="35">
        <v>5050</v>
      </c>
      <c r="H24" s="22" t="s">
        <v>260</v>
      </c>
      <c r="I24" s="22" t="s">
        <v>261</v>
      </c>
      <c r="J24" s="22" t="s">
        <v>262</v>
      </c>
      <c r="K24" s="22" t="s">
        <v>263</v>
      </c>
      <c r="L24" s="22" t="s">
        <v>264</v>
      </c>
    </row>
    <row r="25" spans="1:12" ht="28.05" customHeight="1">
      <c r="A25" s="29" t="s">
        <v>224</v>
      </c>
      <c r="B25" s="29" t="s">
        <v>221</v>
      </c>
      <c r="C25" s="29" t="s">
        <v>183</v>
      </c>
      <c r="D25" s="29" t="s">
        <v>184</v>
      </c>
      <c r="E25" s="29" t="s">
        <v>150</v>
      </c>
      <c r="F25" s="28">
        <v>46569</v>
      </c>
      <c r="G25" s="36">
        <v>2970</v>
      </c>
      <c r="H25" s="29" t="s">
        <v>260</v>
      </c>
      <c r="I25" s="29" t="s">
        <v>261</v>
      </c>
      <c r="J25" s="29" t="s">
        <v>262</v>
      </c>
      <c r="K25" s="29" t="s">
        <v>263</v>
      </c>
      <c r="L25" s="29" t="s">
        <v>264</v>
      </c>
    </row>
    <row r="26" spans="1:12" ht="28.05" customHeight="1">
      <c r="A26" s="22" t="s">
        <v>224</v>
      </c>
      <c r="B26" s="22" t="s">
        <v>221</v>
      </c>
      <c r="C26" s="22" t="s">
        <v>183</v>
      </c>
      <c r="D26" s="22" t="s">
        <v>184</v>
      </c>
      <c r="E26" s="22" t="s">
        <v>146</v>
      </c>
      <c r="F26" s="21">
        <v>46600</v>
      </c>
      <c r="G26" s="35">
        <v>3496</v>
      </c>
      <c r="H26" s="22" t="s">
        <v>260</v>
      </c>
      <c r="I26" s="22" t="s">
        <v>261</v>
      </c>
      <c r="J26" s="22" t="s">
        <v>262</v>
      </c>
      <c r="K26" s="22" t="s">
        <v>263</v>
      </c>
      <c r="L26" s="22" t="s">
        <v>264</v>
      </c>
    </row>
    <row r="27" spans="1:12" ht="28.05" customHeight="1">
      <c r="A27" s="29" t="s">
        <v>224</v>
      </c>
      <c r="B27" s="29" t="s">
        <v>221</v>
      </c>
      <c r="C27" s="29" t="s">
        <v>183</v>
      </c>
      <c r="D27" s="29" t="s">
        <v>184</v>
      </c>
      <c r="E27" s="29" t="s">
        <v>147</v>
      </c>
      <c r="F27" s="28">
        <v>46600</v>
      </c>
      <c r="G27" s="37">
        <v>8740</v>
      </c>
      <c r="H27" s="29" t="s">
        <v>260</v>
      </c>
      <c r="I27" s="29" t="s">
        <v>261</v>
      </c>
      <c r="J27" s="29" t="s">
        <v>262</v>
      </c>
      <c r="K27" s="29" t="s">
        <v>263</v>
      </c>
      <c r="L27" s="29" t="s">
        <v>264</v>
      </c>
    </row>
    <row r="28" spans="1:12" ht="28.05" customHeight="1">
      <c r="A28" s="22" t="s">
        <v>224</v>
      </c>
      <c r="B28" s="22" t="s">
        <v>221</v>
      </c>
      <c r="C28" s="22" t="s">
        <v>183</v>
      </c>
      <c r="D28" s="22" t="s">
        <v>184</v>
      </c>
      <c r="E28" s="22" t="s">
        <v>148</v>
      </c>
      <c r="F28" s="21">
        <v>46600</v>
      </c>
      <c r="G28" s="35">
        <v>5465</v>
      </c>
      <c r="H28" s="22" t="s">
        <v>260</v>
      </c>
      <c r="I28" s="22" t="s">
        <v>261</v>
      </c>
      <c r="J28" s="22" t="s">
        <v>262</v>
      </c>
      <c r="K28" s="22" t="s">
        <v>263</v>
      </c>
      <c r="L28" s="22" t="s">
        <v>264</v>
      </c>
    </row>
    <row r="29" spans="1:12" ht="28.05" customHeight="1">
      <c r="A29" s="29" t="s">
        <v>224</v>
      </c>
      <c r="B29" s="29" t="s">
        <v>221</v>
      </c>
      <c r="C29" s="29" t="s">
        <v>183</v>
      </c>
      <c r="D29" s="29" t="s">
        <v>184</v>
      </c>
      <c r="E29" s="29" t="s">
        <v>149</v>
      </c>
      <c r="F29" s="28">
        <v>46600</v>
      </c>
      <c r="G29" s="36">
        <v>4646</v>
      </c>
      <c r="H29" s="29" t="s">
        <v>260</v>
      </c>
      <c r="I29" s="29" t="s">
        <v>261</v>
      </c>
      <c r="J29" s="29" t="s">
        <v>262</v>
      </c>
      <c r="K29" s="29" t="s">
        <v>263</v>
      </c>
      <c r="L29" s="29" t="s">
        <v>264</v>
      </c>
    </row>
    <row r="30" spans="1:12" ht="28.05" customHeight="1">
      <c r="A30" s="22" t="s">
        <v>224</v>
      </c>
      <c r="B30" s="22" t="s">
        <v>221</v>
      </c>
      <c r="C30" s="22" t="s">
        <v>183</v>
      </c>
      <c r="D30" s="22" t="s">
        <v>184</v>
      </c>
      <c r="E30" s="22" t="s">
        <v>150</v>
      </c>
      <c r="F30" s="21">
        <v>46600</v>
      </c>
      <c r="G30" s="35">
        <v>2732</v>
      </c>
      <c r="H30" s="22" t="s">
        <v>260</v>
      </c>
      <c r="I30" s="22" t="s">
        <v>261</v>
      </c>
      <c r="J30" s="22" t="s">
        <v>262</v>
      </c>
      <c r="K30" s="22" t="s">
        <v>263</v>
      </c>
      <c r="L30" s="22" t="s">
        <v>264</v>
      </c>
    </row>
    <row r="31" spans="1:12" ht="28.05" customHeight="1">
      <c r="A31" s="29" t="s">
        <v>224</v>
      </c>
      <c r="B31" s="29" t="s">
        <v>221</v>
      </c>
      <c r="C31" s="29" t="s">
        <v>183</v>
      </c>
      <c r="D31" s="29" t="s">
        <v>184</v>
      </c>
      <c r="E31" s="29" t="s">
        <v>146</v>
      </c>
      <c r="F31" s="28">
        <v>46631</v>
      </c>
      <c r="G31" s="36">
        <v>3914</v>
      </c>
      <c r="H31" s="29" t="s">
        <v>260</v>
      </c>
      <c r="I31" s="29" t="s">
        <v>261</v>
      </c>
      <c r="J31" s="29" t="s">
        <v>262</v>
      </c>
      <c r="K31" s="29" t="s">
        <v>263</v>
      </c>
      <c r="L31" s="29" t="s">
        <v>264</v>
      </c>
    </row>
    <row r="32" spans="1:12" ht="28.05" customHeight="1">
      <c r="A32" s="22" t="s">
        <v>224</v>
      </c>
      <c r="B32" s="22" t="s">
        <v>221</v>
      </c>
      <c r="C32" s="22" t="s">
        <v>183</v>
      </c>
      <c r="D32" s="22" t="s">
        <v>184</v>
      </c>
      <c r="E32" s="22" t="s">
        <v>147</v>
      </c>
      <c r="F32" s="21">
        <v>46631</v>
      </c>
      <c r="G32" s="37">
        <v>9785</v>
      </c>
      <c r="H32" s="22" t="s">
        <v>260</v>
      </c>
      <c r="I32" s="22" t="s">
        <v>261</v>
      </c>
      <c r="J32" s="22" t="s">
        <v>262</v>
      </c>
      <c r="K32" s="22" t="s">
        <v>263</v>
      </c>
      <c r="L32" s="22" t="s">
        <v>264</v>
      </c>
    </row>
    <row r="33" spans="1:12" ht="28.05" customHeight="1">
      <c r="A33" s="29" t="s">
        <v>224</v>
      </c>
      <c r="B33" s="29" t="s">
        <v>221</v>
      </c>
      <c r="C33" s="29" t="s">
        <v>183</v>
      </c>
      <c r="D33" s="29" t="s">
        <v>184</v>
      </c>
      <c r="E33" s="29" t="s">
        <v>148</v>
      </c>
      <c r="F33" s="28">
        <v>46631</v>
      </c>
      <c r="G33" s="36">
        <v>6118</v>
      </c>
      <c r="H33" s="29" t="s">
        <v>260</v>
      </c>
      <c r="I33" s="29" t="s">
        <v>261</v>
      </c>
      <c r="J33" s="29" t="s">
        <v>262</v>
      </c>
      <c r="K33" s="29" t="s">
        <v>263</v>
      </c>
      <c r="L33" s="29" t="s">
        <v>264</v>
      </c>
    </row>
    <row r="34" spans="1:12" ht="28.05" customHeight="1">
      <c r="A34" s="22" t="s">
        <v>224</v>
      </c>
      <c r="B34" s="22" t="s">
        <v>221</v>
      </c>
      <c r="C34" s="22" t="s">
        <v>183</v>
      </c>
      <c r="D34" s="22" t="s">
        <v>184</v>
      </c>
      <c r="E34" s="22" t="s">
        <v>149</v>
      </c>
      <c r="F34" s="21">
        <v>46631</v>
      </c>
      <c r="G34" s="35">
        <v>5202</v>
      </c>
      <c r="H34" s="22" t="s">
        <v>260</v>
      </c>
      <c r="I34" s="22" t="s">
        <v>261</v>
      </c>
      <c r="J34" s="22" t="s">
        <v>262</v>
      </c>
      <c r="K34" s="22" t="s">
        <v>263</v>
      </c>
      <c r="L34" s="22" t="s">
        <v>264</v>
      </c>
    </row>
    <row r="35" spans="1:12" ht="28.05" customHeight="1">
      <c r="A35" s="29" t="s">
        <v>224</v>
      </c>
      <c r="B35" s="29" t="s">
        <v>221</v>
      </c>
      <c r="C35" s="29" t="s">
        <v>183</v>
      </c>
      <c r="D35" s="29" t="s">
        <v>184</v>
      </c>
      <c r="E35" s="29" t="s">
        <v>150</v>
      </c>
      <c r="F35" s="28">
        <v>46631</v>
      </c>
      <c r="G35" s="36">
        <v>3059</v>
      </c>
      <c r="H35" s="29" t="s">
        <v>260</v>
      </c>
      <c r="I35" s="29" t="s">
        <v>261</v>
      </c>
      <c r="J35" s="29" t="s">
        <v>262</v>
      </c>
      <c r="K35" s="29" t="s">
        <v>263</v>
      </c>
      <c r="L35" s="29" t="s">
        <v>264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85"/>
  <sheetViews>
    <sheetView showGridLines="0" workbookViewId="0">
      <pane xSplit="1" ySplit="5" topLeftCell="B22" activePane="bottomRight" state="frozen"/>
      <selection pane="topRight"/>
      <selection pane="bottomLeft"/>
      <selection pane="bottomRight" activeCell="F182" sqref="F182"/>
    </sheetView>
  </sheetViews>
  <sheetFormatPr defaultRowHeight="13.8"/>
  <cols>
    <col min="1" max="2" width="18" customWidth="1"/>
    <col min="3" max="3" width="15" customWidth="1"/>
    <col min="4" max="4" width="17" customWidth="1"/>
    <col min="5" max="6" width="18" customWidth="1"/>
    <col min="7" max="7" width="30" customWidth="1"/>
    <col min="8" max="8" width="26" customWidth="1"/>
    <col min="9" max="9" width="25" customWidth="1"/>
    <col min="10" max="10" width="24" customWidth="1"/>
    <col min="11" max="11" width="2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1.95" customHeight="1">
      <c r="A2" s="2" t="s">
        <v>265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3" t="s">
        <v>266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7.950000000000003" customHeight="1">
      <c r="A5" s="4" t="s">
        <v>191</v>
      </c>
      <c r="B5" s="4" t="s">
        <v>172</v>
      </c>
      <c r="C5" s="4" t="s">
        <v>173</v>
      </c>
      <c r="D5" s="4" t="s">
        <v>133</v>
      </c>
      <c r="E5" s="4" t="s">
        <v>132</v>
      </c>
      <c r="F5" s="4" t="s">
        <v>254</v>
      </c>
      <c r="G5" s="4" t="s">
        <v>267</v>
      </c>
      <c r="H5" s="4" t="s">
        <v>268</v>
      </c>
      <c r="I5" s="4" t="s">
        <v>259</v>
      </c>
      <c r="J5" s="4" t="s">
        <v>269</v>
      </c>
      <c r="K5" s="4" t="s">
        <v>256</v>
      </c>
    </row>
    <row r="6" spans="1:11" ht="28.05" customHeight="1">
      <c r="A6" s="6" t="s">
        <v>200</v>
      </c>
      <c r="B6" s="6" t="s">
        <v>183</v>
      </c>
      <c r="C6" s="6" t="s">
        <v>184</v>
      </c>
      <c r="D6" s="6" t="s">
        <v>146</v>
      </c>
      <c r="E6" s="15">
        <v>46388</v>
      </c>
      <c r="F6" s="7">
        <v>4080</v>
      </c>
      <c r="G6" s="6" t="s">
        <v>270</v>
      </c>
      <c r="H6" s="6" t="s">
        <v>200</v>
      </c>
      <c r="I6" s="6" t="s">
        <v>271</v>
      </c>
      <c r="J6" s="6" t="s">
        <v>203</v>
      </c>
      <c r="K6" s="6" t="s">
        <v>261</v>
      </c>
    </row>
    <row r="7" spans="1:11" ht="28.05" customHeight="1">
      <c r="A7" s="5" t="s">
        <v>200</v>
      </c>
      <c r="B7" s="5" t="s">
        <v>183</v>
      </c>
      <c r="C7" s="5" t="s">
        <v>184</v>
      </c>
      <c r="D7" s="5" t="s">
        <v>147</v>
      </c>
      <c r="E7" s="16">
        <v>46388</v>
      </c>
      <c r="F7" s="38">
        <v>10200</v>
      </c>
      <c r="G7" s="5" t="s">
        <v>270</v>
      </c>
      <c r="H7" s="5" t="s">
        <v>200</v>
      </c>
      <c r="I7" s="5" t="s">
        <v>271</v>
      </c>
      <c r="J7" s="5" t="s">
        <v>203</v>
      </c>
      <c r="K7" s="5" t="s">
        <v>261</v>
      </c>
    </row>
    <row r="8" spans="1:11" ht="28.05" customHeight="1">
      <c r="A8" s="6" t="s">
        <v>200</v>
      </c>
      <c r="B8" s="6" t="s">
        <v>183</v>
      </c>
      <c r="C8" s="6" t="s">
        <v>184</v>
      </c>
      <c r="D8" s="6" t="s">
        <v>148</v>
      </c>
      <c r="E8" s="15">
        <v>46388</v>
      </c>
      <c r="F8" s="7">
        <v>6120</v>
      </c>
      <c r="G8" s="6" t="s">
        <v>270</v>
      </c>
      <c r="H8" s="6" t="s">
        <v>200</v>
      </c>
      <c r="I8" s="6" t="s">
        <v>271</v>
      </c>
      <c r="J8" s="6" t="s">
        <v>203</v>
      </c>
      <c r="K8" s="6" t="s">
        <v>261</v>
      </c>
    </row>
    <row r="9" spans="1:11" ht="28.05" customHeight="1">
      <c r="A9" s="5" t="s">
        <v>200</v>
      </c>
      <c r="B9" s="5" t="s">
        <v>183</v>
      </c>
      <c r="C9" s="5" t="s">
        <v>184</v>
      </c>
      <c r="D9" s="5" t="s">
        <v>149</v>
      </c>
      <c r="E9" s="16">
        <v>46388</v>
      </c>
      <c r="F9" s="7">
        <v>5100</v>
      </c>
      <c r="G9" s="5" t="s">
        <v>270</v>
      </c>
      <c r="H9" s="5" t="s">
        <v>200</v>
      </c>
      <c r="I9" s="5" t="s">
        <v>271</v>
      </c>
      <c r="J9" s="5" t="s">
        <v>203</v>
      </c>
      <c r="K9" s="5" t="s">
        <v>261</v>
      </c>
    </row>
    <row r="10" spans="1:11" ht="28.05" customHeight="1">
      <c r="A10" s="6" t="s">
        <v>200</v>
      </c>
      <c r="B10" s="6" t="s">
        <v>183</v>
      </c>
      <c r="C10" s="6" t="s">
        <v>184</v>
      </c>
      <c r="D10" s="6" t="s">
        <v>150</v>
      </c>
      <c r="E10" s="15">
        <v>46388</v>
      </c>
      <c r="F10" s="7">
        <v>3060</v>
      </c>
      <c r="G10" s="6" t="s">
        <v>270</v>
      </c>
      <c r="H10" s="6" t="s">
        <v>200</v>
      </c>
      <c r="I10" s="6" t="s">
        <v>271</v>
      </c>
      <c r="J10" s="6" t="s">
        <v>203</v>
      </c>
      <c r="K10" s="6" t="s">
        <v>261</v>
      </c>
    </row>
    <row r="11" spans="1:11" ht="28.05" customHeight="1">
      <c r="A11" s="5" t="s">
        <v>200</v>
      </c>
      <c r="B11" s="5" t="s">
        <v>183</v>
      </c>
      <c r="C11" s="5" t="s">
        <v>184</v>
      </c>
      <c r="D11" s="5" t="s">
        <v>146</v>
      </c>
      <c r="E11" s="16">
        <v>46419</v>
      </c>
      <c r="F11" s="7">
        <v>3600</v>
      </c>
      <c r="G11" s="5" t="s">
        <v>270</v>
      </c>
      <c r="H11" s="5" t="s">
        <v>200</v>
      </c>
      <c r="I11" s="5" t="s">
        <v>271</v>
      </c>
      <c r="J11" s="5" t="s">
        <v>203</v>
      </c>
      <c r="K11" s="5" t="s">
        <v>261</v>
      </c>
    </row>
    <row r="12" spans="1:11" ht="28.05" customHeight="1">
      <c r="A12" s="6" t="s">
        <v>200</v>
      </c>
      <c r="B12" s="6" t="s">
        <v>183</v>
      </c>
      <c r="C12" s="6" t="s">
        <v>184</v>
      </c>
      <c r="D12" s="6" t="s">
        <v>147</v>
      </c>
      <c r="E12" s="15">
        <v>46419</v>
      </c>
      <c r="F12" s="38">
        <v>9000</v>
      </c>
      <c r="G12" s="6" t="s">
        <v>270</v>
      </c>
      <c r="H12" s="6" t="s">
        <v>200</v>
      </c>
      <c r="I12" s="6" t="s">
        <v>271</v>
      </c>
      <c r="J12" s="6" t="s">
        <v>203</v>
      </c>
      <c r="K12" s="6" t="s">
        <v>261</v>
      </c>
    </row>
    <row r="13" spans="1:11" ht="28.05" customHeight="1">
      <c r="A13" s="5" t="s">
        <v>200</v>
      </c>
      <c r="B13" s="5" t="s">
        <v>183</v>
      </c>
      <c r="C13" s="5" t="s">
        <v>184</v>
      </c>
      <c r="D13" s="5" t="s">
        <v>148</v>
      </c>
      <c r="E13" s="16">
        <v>46419</v>
      </c>
      <c r="F13" s="7">
        <v>5400</v>
      </c>
      <c r="G13" s="5" t="s">
        <v>270</v>
      </c>
      <c r="H13" s="5" t="s">
        <v>200</v>
      </c>
      <c r="I13" s="5" t="s">
        <v>271</v>
      </c>
      <c r="J13" s="5" t="s">
        <v>203</v>
      </c>
      <c r="K13" s="5" t="s">
        <v>261</v>
      </c>
    </row>
    <row r="14" spans="1:11" ht="28.05" customHeight="1">
      <c r="A14" s="6" t="s">
        <v>200</v>
      </c>
      <c r="B14" s="6" t="s">
        <v>183</v>
      </c>
      <c r="C14" s="6" t="s">
        <v>184</v>
      </c>
      <c r="D14" s="6" t="s">
        <v>149</v>
      </c>
      <c r="E14" s="15">
        <v>46419</v>
      </c>
      <c r="F14" s="7">
        <v>4500</v>
      </c>
      <c r="G14" s="6" t="s">
        <v>270</v>
      </c>
      <c r="H14" s="6" t="s">
        <v>200</v>
      </c>
      <c r="I14" s="6" t="s">
        <v>271</v>
      </c>
      <c r="J14" s="6" t="s">
        <v>203</v>
      </c>
      <c r="K14" s="6" t="s">
        <v>261</v>
      </c>
    </row>
    <row r="15" spans="1:11" ht="28.05" customHeight="1">
      <c r="A15" s="5" t="s">
        <v>200</v>
      </c>
      <c r="B15" s="5" t="s">
        <v>183</v>
      </c>
      <c r="C15" s="5" t="s">
        <v>184</v>
      </c>
      <c r="D15" s="5" t="s">
        <v>150</v>
      </c>
      <c r="E15" s="16">
        <v>46419</v>
      </c>
      <c r="F15" s="7">
        <v>2700</v>
      </c>
      <c r="G15" s="5" t="s">
        <v>270</v>
      </c>
      <c r="H15" s="5" t="s">
        <v>200</v>
      </c>
      <c r="I15" s="5" t="s">
        <v>271</v>
      </c>
      <c r="J15" s="5" t="s">
        <v>203</v>
      </c>
      <c r="K15" s="5" t="s">
        <v>261</v>
      </c>
    </row>
    <row r="16" spans="1:11" ht="28.05" customHeight="1">
      <c r="A16" s="6" t="s">
        <v>200</v>
      </c>
      <c r="B16" s="6" t="s">
        <v>183</v>
      </c>
      <c r="C16" s="6" t="s">
        <v>184</v>
      </c>
      <c r="D16" s="6" t="s">
        <v>146</v>
      </c>
      <c r="E16" s="15">
        <v>46447</v>
      </c>
      <c r="F16" s="7">
        <v>4200</v>
      </c>
      <c r="G16" s="6" t="s">
        <v>270</v>
      </c>
      <c r="H16" s="6" t="s">
        <v>200</v>
      </c>
      <c r="I16" s="6" t="s">
        <v>271</v>
      </c>
      <c r="J16" s="6" t="s">
        <v>203</v>
      </c>
      <c r="K16" s="6" t="s">
        <v>261</v>
      </c>
    </row>
    <row r="17" spans="1:11" ht="28.05" customHeight="1">
      <c r="A17" s="5" t="s">
        <v>200</v>
      </c>
      <c r="B17" s="5" t="s">
        <v>183</v>
      </c>
      <c r="C17" s="5" t="s">
        <v>184</v>
      </c>
      <c r="D17" s="5" t="s">
        <v>147</v>
      </c>
      <c r="E17" s="16">
        <v>46447</v>
      </c>
      <c r="F17" s="38">
        <v>10500</v>
      </c>
      <c r="G17" s="5" t="s">
        <v>270</v>
      </c>
      <c r="H17" s="5" t="s">
        <v>200</v>
      </c>
      <c r="I17" s="5" t="s">
        <v>271</v>
      </c>
      <c r="J17" s="5" t="s">
        <v>203</v>
      </c>
      <c r="K17" s="5" t="s">
        <v>261</v>
      </c>
    </row>
    <row r="18" spans="1:11" ht="28.05" customHeight="1">
      <c r="A18" s="6" t="s">
        <v>200</v>
      </c>
      <c r="B18" s="6" t="s">
        <v>183</v>
      </c>
      <c r="C18" s="6" t="s">
        <v>184</v>
      </c>
      <c r="D18" s="6" t="s">
        <v>148</v>
      </c>
      <c r="E18" s="15">
        <v>46447</v>
      </c>
      <c r="F18" s="7">
        <v>6300</v>
      </c>
      <c r="G18" s="6" t="s">
        <v>270</v>
      </c>
      <c r="H18" s="6" t="s">
        <v>200</v>
      </c>
      <c r="I18" s="6" t="s">
        <v>271</v>
      </c>
      <c r="J18" s="6" t="s">
        <v>203</v>
      </c>
      <c r="K18" s="6" t="s">
        <v>261</v>
      </c>
    </row>
    <row r="19" spans="1:11" ht="28.05" customHeight="1">
      <c r="A19" s="5" t="s">
        <v>200</v>
      </c>
      <c r="B19" s="5" t="s">
        <v>183</v>
      </c>
      <c r="C19" s="5" t="s">
        <v>184</v>
      </c>
      <c r="D19" s="5" t="s">
        <v>149</v>
      </c>
      <c r="E19" s="16">
        <v>46447</v>
      </c>
      <c r="F19" s="7">
        <v>5250</v>
      </c>
      <c r="G19" s="5" t="s">
        <v>270</v>
      </c>
      <c r="H19" s="5" t="s">
        <v>200</v>
      </c>
      <c r="I19" s="5" t="s">
        <v>271</v>
      </c>
      <c r="J19" s="5" t="s">
        <v>203</v>
      </c>
      <c r="K19" s="5" t="s">
        <v>261</v>
      </c>
    </row>
    <row r="20" spans="1:11" ht="28.05" customHeight="1">
      <c r="A20" s="6" t="s">
        <v>200</v>
      </c>
      <c r="B20" s="6" t="s">
        <v>183</v>
      </c>
      <c r="C20" s="6" t="s">
        <v>184</v>
      </c>
      <c r="D20" s="6" t="s">
        <v>150</v>
      </c>
      <c r="E20" s="15">
        <v>46447</v>
      </c>
      <c r="F20" s="7">
        <v>3150</v>
      </c>
      <c r="G20" s="6" t="s">
        <v>270</v>
      </c>
      <c r="H20" s="6" t="s">
        <v>200</v>
      </c>
      <c r="I20" s="6" t="s">
        <v>271</v>
      </c>
      <c r="J20" s="6" t="s">
        <v>203</v>
      </c>
      <c r="K20" s="6" t="s">
        <v>261</v>
      </c>
    </row>
    <row r="21" spans="1:11" ht="28.05" customHeight="1">
      <c r="A21" s="5" t="s">
        <v>200</v>
      </c>
      <c r="B21" s="5" t="s">
        <v>183</v>
      </c>
      <c r="C21" s="5" t="s">
        <v>184</v>
      </c>
      <c r="D21" s="5" t="s">
        <v>146</v>
      </c>
      <c r="E21" s="16">
        <v>46478</v>
      </c>
      <c r="F21" s="7">
        <v>4000</v>
      </c>
      <c r="G21" s="5" t="s">
        <v>270</v>
      </c>
      <c r="H21" s="5" t="s">
        <v>200</v>
      </c>
      <c r="I21" s="5" t="s">
        <v>271</v>
      </c>
      <c r="J21" s="5" t="s">
        <v>203</v>
      </c>
      <c r="K21" s="5" t="s">
        <v>261</v>
      </c>
    </row>
    <row r="22" spans="1:11" ht="28.05" customHeight="1">
      <c r="A22" s="6" t="s">
        <v>200</v>
      </c>
      <c r="B22" s="6" t="s">
        <v>183</v>
      </c>
      <c r="C22" s="6" t="s">
        <v>184</v>
      </c>
      <c r="D22" s="6" t="s">
        <v>147</v>
      </c>
      <c r="E22" s="15">
        <v>46478</v>
      </c>
      <c r="F22" s="7">
        <v>10000</v>
      </c>
      <c r="G22" s="6" t="s">
        <v>270</v>
      </c>
      <c r="H22" s="6" t="s">
        <v>200</v>
      </c>
      <c r="I22" s="6" t="s">
        <v>271</v>
      </c>
      <c r="J22" s="6" t="s">
        <v>203</v>
      </c>
      <c r="K22" s="6" t="s">
        <v>261</v>
      </c>
    </row>
    <row r="23" spans="1:11" ht="28.05" customHeight="1">
      <c r="A23" s="5" t="s">
        <v>200</v>
      </c>
      <c r="B23" s="5" t="s">
        <v>183</v>
      </c>
      <c r="C23" s="5" t="s">
        <v>184</v>
      </c>
      <c r="D23" s="5" t="s">
        <v>148</v>
      </c>
      <c r="E23" s="16">
        <v>46478</v>
      </c>
      <c r="F23" s="7">
        <v>6000</v>
      </c>
      <c r="G23" s="5" t="s">
        <v>270</v>
      </c>
      <c r="H23" s="5" t="s">
        <v>200</v>
      </c>
      <c r="I23" s="5" t="s">
        <v>271</v>
      </c>
      <c r="J23" s="5" t="s">
        <v>203</v>
      </c>
      <c r="K23" s="5" t="s">
        <v>261</v>
      </c>
    </row>
    <row r="24" spans="1:11" ht="28.05" customHeight="1">
      <c r="A24" s="6" t="s">
        <v>200</v>
      </c>
      <c r="B24" s="6" t="s">
        <v>183</v>
      </c>
      <c r="C24" s="6" t="s">
        <v>184</v>
      </c>
      <c r="D24" s="6" t="s">
        <v>149</v>
      </c>
      <c r="E24" s="15">
        <v>46478</v>
      </c>
      <c r="F24" s="7">
        <v>5000</v>
      </c>
      <c r="G24" s="6" t="s">
        <v>270</v>
      </c>
      <c r="H24" s="6" t="s">
        <v>200</v>
      </c>
      <c r="I24" s="6" t="s">
        <v>271</v>
      </c>
      <c r="J24" s="6" t="s">
        <v>203</v>
      </c>
      <c r="K24" s="6" t="s">
        <v>261</v>
      </c>
    </row>
    <row r="25" spans="1:11" ht="28.05" customHeight="1">
      <c r="A25" s="5" t="s">
        <v>200</v>
      </c>
      <c r="B25" s="5" t="s">
        <v>183</v>
      </c>
      <c r="C25" s="5" t="s">
        <v>184</v>
      </c>
      <c r="D25" s="5" t="s">
        <v>150</v>
      </c>
      <c r="E25" s="16">
        <v>46478</v>
      </c>
      <c r="F25" s="7">
        <v>3000</v>
      </c>
      <c r="G25" s="5" t="s">
        <v>270</v>
      </c>
      <c r="H25" s="5" t="s">
        <v>200</v>
      </c>
      <c r="I25" s="5" t="s">
        <v>271</v>
      </c>
      <c r="J25" s="5" t="s">
        <v>203</v>
      </c>
      <c r="K25" s="5" t="s">
        <v>261</v>
      </c>
    </row>
    <row r="26" spans="1:11" ht="28.05" customHeight="1">
      <c r="A26" s="6" t="s">
        <v>200</v>
      </c>
      <c r="B26" s="6" t="s">
        <v>183</v>
      </c>
      <c r="C26" s="6" t="s">
        <v>184</v>
      </c>
      <c r="D26" s="6" t="s">
        <v>146</v>
      </c>
      <c r="E26" s="15">
        <v>46508</v>
      </c>
      <c r="F26" s="7">
        <v>3920</v>
      </c>
      <c r="G26" s="6" t="s">
        <v>270</v>
      </c>
      <c r="H26" s="6" t="s">
        <v>200</v>
      </c>
      <c r="I26" s="6" t="s">
        <v>271</v>
      </c>
      <c r="J26" s="6" t="s">
        <v>203</v>
      </c>
      <c r="K26" s="6" t="s">
        <v>261</v>
      </c>
    </row>
    <row r="27" spans="1:11" ht="28.05" customHeight="1">
      <c r="A27" s="5" t="s">
        <v>200</v>
      </c>
      <c r="B27" s="5" t="s">
        <v>183</v>
      </c>
      <c r="C27" s="5" t="s">
        <v>184</v>
      </c>
      <c r="D27" s="5" t="s">
        <v>147</v>
      </c>
      <c r="E27" s="16">
        <v>46508</v>
      </c>
      <c r="F27" s="7">
        <v>9800</v>
      </c>
      <c r="G27" s="5" t="s">
        <v>270</v>
      </c>
      <c r="H27" s="5" t="s">
        <v>200</v>
      </c>
      <c r="I27" s="5" t="s">
        <v>271</v>
      </c>
      <c r="J27" s="5" t="s">
        <v>203</v>
      </c>
      <c r="K27" s="5" t="s">
        <v>261</v>
      </c>
    </row>
    <row r="28" spans="1:11" ht="28.05" customHeight="1">
      <c r="A28" s="6" t="s">
        <v>200</v>
      </c>
      <c r="B28" s="6" t="s">
        <v>183</v>
      </c>
      <c r="C28" s="6" t="s">
        <v>184</v>
      </c>
      <c r="D28" s="6" t="s">
        <v>148</v>
      </c>
      <c r="E28" s="15">
        <v>46508</v>
      </c>
      <c r="F28" s="7">
        <v>5880</v>
      </c>
      <c r="G28" s="6" t="s">
        <v>270</v>
      </c>
      <c r="H28" s="6" t="s">
        <v>200</v>
      </c>
      <c r="I28" s="6" t="s">
        <v>271</v>
      </c>
      <c r="J28" s="6" t="s">
        <v>203</v>
      </c>
      <c r="K28" s="6" t="s">
        <v>261</v>
      </c>
    </row>
    <row r="29" spans="1:11" ht="28.05" customHeight="1">
      <c r="A29" s="5" t="s">
        <v>200</v>
      </c>
      <c r="B29" s="5" t="s">
        <v>183</v>
      </c>
      <c r="C29" s="5" t="s">
        <v>184</v>
      </c>
      <c r="D29" s="5" t="s">
        <v>149</v>
      </c>
      <c r="E29" s="16">
        <v>46508</v>
      </c>
      <c r="F29" s="7">
        <v>4900</v>
      </c>
      <c r="G29" s="5" t="s">
        <v>270</v>
      </c>
      <c r="H29" s="5" t="s">
        <v>200</v>
      </c>
      <c r="I29" s="5" t="s">
        <v>271</v>
      </c>
      <c r="J29" s="5" t="s">
        <v>203</v>
      </c>
      <c r="K29" s="5" t="s">
        <v>261</v>
      </c>
    </row>
    <row r="30" spans="1:11" ht="28.05" customHeight="1">
      <c r="A30" s="6" t="s">
        <v>200</v>
      </c>
      <c r="B30" s="6" t="s">
        <v>183</v>
      </c>
      <c r="C30" s="6" t="s">
        <v>184</v>
      </c>
      <c r="D30" s="6" t="s">
        <v>150</v>
      </c>
      <c r="E30" s="15">
        <v>46508</v>
      </c>
      <c r="F30" s="7">
        <v>2940</v>
      </c>
      <c r="G30" s="6" t="s">
        <v>270</v>
      </c>
      <c r="H30" s="6" t="s">
        <v>200</v>
      </c>
      <c r="I30" s="6" t="s">
        <v>271</v>
      </c>
      <c r="J30" s="6" t="s">
        <v>203</v>
      </c>
      <c r="K30" s="6" t="s">
        <v>261</v>
      </c>
    </row>
    <row r="31" spans="1:11" ht="28.05" customHeight="1">
      <c r="A31" s="5" t="s">
        <v>200</v>
      </c>
      <c r="B31" s="5" t="s">
        <v>183</v>
      </c>
      <c r="C31" s="5" t="s">
        <v>184</v>
      </c>
      <c r="D31" s="5" t="s">
        <v>146</v>
      </c>
      <c r="E31" s="16">
        <v>46539</v>
      </c>
      <c r="F31" s="7">
        <v>4000</v>
      </c>
      <c r="G31" s="5" t="s">
        <v>270</v>
      </c>
      <c r="H31" s="5" t="s">
        <v>200</v>
      </c>
      <c r="I31" s="5" t="s">
        <v>271</v>
      </c>
      <c r="J31" s="5" t="s">
        <v>203</v>
      </c>
      <c r="K31" s="5" t="s">
        <v>261</v>
      </c>
    </row>
    <row r="32" spans="1:11" ht="28.05" customHeight="1">
      <c r="A32" s="6" t="s">
        <v>200</v>
      </c>
      <c r="B32" s="6" t="s">
        <v>183</v>
      </c>
      <c r="C32" s="6" t="s">
        <v>184</v>
      </c>
      <c r="D32" s="6" t="s">
        <v>147</v>
      </c>
      <c r="E32" s="15">
        <v>46539</v>
      </c>
      <c r="F32" s="7">
        <v>10000</v>
      </c>
      <c r="G32" s="6" t="s">
        <v>270</v>
      </c>
      <c r="H32" s="6" t="s">
        <v>200</v>
      </c>
      <c r="I32" s="6" t="s">
        <v>271</v>
      </c>
      <c r="J32" s="6" t="s">
        <v>203</v>
      </c>
      <c r="K32" s="6" t="s">
        <v>261</v>
      </c>
    </row>
    <row r="33" spans="1:11" ht="28.05" customHeight="1">
      <c r="A33" s="5" t="s">
        <v>200</v>
      </c>
      <c r="B33" s="5" t="s">
        <v>183</v>
      </c>
      <c r="C33" s="5" t="s">
        <v>184</v>
      </c>
      <c r="D33" s="5" t="s">
        <v>148</v>
      </c>
      <c r="E33" s="16">
        <v>46539</v>
      </c>
      <c r="F33" s="7">
        <v>6000</v>
      </c>
      <c r="G33" s="5" t="s">
        <v>270</v>
      </c>
      <c r="H33" s="5" t="s">
        <v>200</v>
      </c>
      <c r="I33" s="5" t="s">
        <v>271</v>
      </c>
      <c r="J33" s="5" t="s">
        <v>203</v>
      </c>
      <c r="K33" s="5" t="s">
        <v>261</v>
      </c>
    </row>
    <row r="34" spans="1:11" ht="28.05" customHeight="1">
      <c r="A34" s="6" t="s">
        <v>200</v>
      </c>
      <c r="B34" s="6" t="s">
        <v>183</v>
      </c>
      <c r="C34" s="6" t="s">
        <v>184</v>
      </c>
      <c r="D34" s="6" t="s">
        <v>149</v>
      </c>
      <c r="E34" s="15">
        <v>46539</v>
      </c>
      <c r="F34" s="7">
        <v>5000</v>
      </c>
      <c r="G34" s="6" t="s">
        <v>270</v>
      </c>
      <c r="H34" s="6" t="s">
        <v>200</v>
      </c>
      <c r="I34" s="6" t="s">
        <v>271</v>
      </c>
      <c r="J34" s="6" t="s">
        <v>203</v>
      </c>
      <c r="K34" s="6" t="s">
        <v>261</v>
      </c>
    </row>
    <row r="35" spans="1:11" ht="28.05" customHeight="1">
      <c r="A35" s="5" t="s">
        <v>200</v>
      </c>
      <c r="B35" s="5" t="s">
        <v>183</v>
      </c>
      <c r="C35" s="5" t="s">
        <v>184</v>
      </c>
      <c r="D35" s="5" t="s">
        <v>150</v>
      </c>
      <c r="E35" s="16">
        <v>46539</v>
      </c>
      <c r="F35" s="7">
        <v>3000</v>
      </c>
      <c r="G35" s="5" t="s">
        <v>270</v>
      </c>
      <c r="H35" s="5" t="s">
        <v>200</v>
      </c>
      <c r="I35" s="5" t="s">
        <v>271</v>
      </c>
      <c r="J35" s="5" t="s">
        <v>203</v>
      </c>
      <c r="K35" s="5" t="s">
        <v>261</v>
      </c>
    </row>
    <row r="36" spans="1:11" ht="28.05" customHeight="1">
      <c r="A36" s="6" t="s">
        <v>200</v>
      </c>
      <c r="B36" s="6" t="s">
        <v>183</v>
      </c>
      <c r="C36" s="6" t="s">
        <v>184</v>
      </c>
      <c r="D36" s="6" t="s">
        <v>146</v>
      </c>
      <c r="E36" s="15">
        <v>46569</v>
      </c>
      <c r="F36" s="7">
        <v>4000</v>
      </c>
      <c r="G36" s="6" t="s">
        <v>270</v>
      </c>
      <c r="H36" s="6" t="s">
        <v>200</v>
      </c>
      <c r="I36" s="6" t="s">
        <v>271</v>
      </c>
      <c r="J36" s="6" t="s">
        <v>203</v>
      </c>
      <c r="K36" s="6" t="s">
        <v>261</v>
      </c>
    </row>
    <row r="37" spans="1:11" ht="28.05" customHeight="1">
      <c r="A37" s="5" t="s">
        <v>200</v>
      </c>
      <c r="B37" s="5" t="s">
        <v>183</v>
      </c>
      <c r="C37" s="5" t="s">
        <v>184</v>
      </c>
      <c r="D37" s="5" t="s">
        <v>147</v>
      </c>
      <c r="E37" s="16">
        <v>46569</v>
      </c>
      <c r="F37" s="7">
        <v>10000</v>
      </c>
      <c r="G37" s="5" t="s">
        <v>270</v>
      </c>
      <c r="H37" s="5" t="s">
        <v>200</v>
      </c>
      <c r="I37" s="5" t="s">
        <v>271</v>
      </c>
      <c r="J37" s="5" t="s">
        <v>203</v>
      </c>
      <c r="K37" s="5" t="s">
        <v>261</v>
      </c>
    </row>
    <row r="38" spans="1:11" ht="28.05" customHeight="1">
      <c r="A38" s="6" t="s">
        <v>200</v>
      </c>
      <c r="B38" s="6" t="s">
        <v>183</v>
      </c>
      <c r="C38" s="6" t="s">
        <v>184</v>
      </c>
      <c r="D38" s="6" t="s">
        <v>148</v>
      </c>
      <c r="E38" s="15">
        <v>46569</v>
      </c>
      <c r="F38" s="7">
        <v>6000</v>
      </c>
      <c r="G38" s="6" t="s">
        <v>270</v>
      </c>
      <c r="H38" s="6" t="s">
        <v>200</v>
      </c>
      <c r="I38" s="6" t="s">
        <v>271</v>
      </c>
      <c r="J38" s="6" t="s">
        <v>203</v>
      </c>
      <c r="K38" s="6" t="s">
        <v>261</v>
      </c>
    </row>
    <row r="39" spans="1:11" ht="28.05" customHeight="1">
      <c r="A39" s="5" t="s">
        <v>200</v>
      </c>
      <c r="B39" s="5" t="s">
        <v>183</v>
      </c>
      <c r="C39" s="5" t="s">
        <v>184</v>
      </c>
      <c r="D39" s="5" t="s">
        <v>149</v>
      </c>
      <c r="E39" s="16">
        <v>46569</v>
      </c>
      <c r="F39" s="7">
        <v>5000</v>
      </c>
      <c r="G39" s="5" t="s">
        <v>270</v>
      </c>
      <c r="H39" s="5" t="s">
        <v>200</v>
      </c>
      <c r="I39" s="5" t="s">
        <v>271</v>
      </c>
      <c r="J39" s="5" t="s">
        <v>203</v>
      </c>
      <c r="K39" s="5" t="s">
        <v>261</v>
      </c>
    </row>
    <row r="40" spans="1:11" ht="28.05" customHeight="1">
      <c r="A40" s="6" t="s">
        <v>200</v>
      </c>
      <c r="B40" s="6" t="s">
        <v>183</v>
      </c>
      <c r="C40" s="6" t="s">
        <v>184</v>
      </c>
      <c r="D40" s="6" t="s">
        <v>150</v>
      </c>
      <c r="E40" s="15">
        <v>46569</v>
      </c>
      <c r="F40" s="7">
        <v>3000</v>
      </c>
      <c r="G40" s="6" t="s">
        <v>270</v>
      </c>
      <c r="H40" s="6" t="s">
        <v>200</v>
      </c>
      <c r="I40" s="6" t="s">
        <v>271</v>
      </c>
      <c r="J40" s="6" t="s">
        <v>203</v>
      </c>
      <c r="K40" s="6" t="s">
        <v>261</v>
      </c>
    </row>
    <row r="41" spans="1:11" ht="28.05" customHeight="1">
      <c r="A41" s="5" t="s">
        <v>200</v>
      </c>
      <c r="B41" s="5" t="s">
        <v>183</v>
      </c>
      <c r="C41" s="5" t="s">
        <v>184</v>
      </c>
      <c r="D41" s="5" t="s">
        <v>146</v>
      </c>
      <c r="E41" s="16">
        <v>46600</v>
      </c>
      <c r="F41" s="7">
        <v>3680</v>
      </c>
      <c r="G41" s="5" t="s">
        <v>270</v>
      </c>
      <c r="H41" s="5" t="s">
        <v>200</v>
      </c>
      <c r="I41" s="5" t="s">
        <v>271</v>
      </c>
      <c r="J41" s="5" t="s">
        <v>203</v>
      </c>
      <c r="K41" s="5" t="s">
        <v>261</v>
      </c>
    </row>
    <row r="42" spans="1:11" ht="28.05" customHeight="1">
      <c r="A42" s="6" t="s">
        <v>200</v>
      </c>
      <c r="B42" s="6" t="s">
        <v>183</v>
      </c>
      <c r="C42" s="6" t="s">
        <v>184</v>
      </c>
      <c r="D42" s="6" t="s">
        <v>147</v>
      </c>
      <c r="E42" s="15">
        <v>46600</v>
      </c>
      <c r="F42" s="7">
        <v>9200</v>
      </c>
      <c r="G42" s="6" t="s">
        <v>270</v>
      </c>
      <c r="H42" s="6" t="s">
        <v>200</v>
      </c>
      <c r="I42" s="6" t="s">
        <v>271</v>
      </c>
      <c r="J42" s="6" t="s">
        <v>203</v>
      </c>
      <c r="K42" s="6" t="s">
        <v>261</v>
      </c>
    </row>
    <row r="43" spans="1:11" ht="28.05" customHeight="1">
      <c r="A43" s="5" t="s">
        <v>200</v>
      </c>
      <c r="B43" s="5" t="s">
        <v>183</v>
      </c>
      <c r="C43" s="5" t="s">
        <v>184</v>
      </c>
      <c r="D43" s="5" t="s">
        <v>148</v>
      </c>
      <c r="E43" s="16">
        <v>46600</v>
      </c>
      <c r="F43" s="7">
        <v>5520</v>
      </c>
      <c r="G43" s="5" t="s">
        <v>270</v>
      </c>
      <c r="H43" s="5" t="s">
        <v>200</v>
      </c>
      <c r="I43" s="5" t="s">
        <v>271</v>
      </c>
      <c r="J43" s="5" t="s">
        <v>203</v>
      </c>
      <c r="K43" s="5" t="s">
        <v>261</v>
      </c>
    </row>
    <row r="44" spans="1:11" ht="28.05" customHeight="1">
      <c r="A44" s="6" t="s">
        <v>200</v>
      </c>
      <c r="B44" s="6" t="s">
        <v>183</v>
      </c>
      <c r="C44" s="6" t="s">
        <v>184</v>
      </c>
      <c r="D44" s="6" t="s">
        <v>149</v>
      </c>
      <c r="E44" s="15">
        <v>46600</v>
      </c>
      <c r="F44" s="7">
        <v>4600</v>
      </c>
      <c r="G44" s="6" t="s">
        <v>270</v>
      </c>
      <c r="H44" s="6" t="s">
        <v>200</v>
      </c>
      <c r="I44" s="6" t="s">
        <v>271</v>
      </c>
      <c r="J44" s="6" t="s">
        <v>203</v>
      </c>
      <c r="K44" s="6" t="s">
        <v>261</v>
      </c>
    </row>
    <row r="45" spans="1:11" ht="28.05" customHeight="1">
      <c r="A45" s="5" t="s">
        <v>200</v>
      </c>
      <c r="B45" s="5" t="s">
        <v>183</v>
      </c>
      <c r="C45" s="5" t="s">
        <v>184</v>
      </c>
      <c r="D45" s="5" t="s">
        <v>150</v>
      </c>
      <c r="E45" s="16">
        <v>46600</v>
      </c>
      <c r="F45" s="7">
        <v>2760</v>
      </c>
      <c r="G45" s="5" t="s">
        <v>270</v>
      </c>
      <c r="H45" s="5" t="s">
        <v>200</v>
      </c>
      <c r="I45" s="5" t="s">
        <v>271</v>
      </c>
      <c r="J45" s="5" t="s">
        <v>203</v>
      </c>
      <c r="K45" s="5" t="s">
        <v>261</v>
      </c>
    </row>
    <row r="46" spans="1:11" ht="28.05" customHeight="1">
      <c r="A46" s="6" t="s">
        <v>200</v>
      </c>
      <c r="B46" s="6" t="s">
        <v>183</v>
      </c>
      <c r="C46" s="6" t="s">
        <v>184</v>
      </c>
      <c r="D46" s="6" t="s">
        <v>146</v>
      </c>
      <c r="E46" s="15">
        <v>46631</v>
      </c>
      <c r="F46" s="7">
        <v>4120</v>
      </c>
      <c r="G46" s="6" t="s">
        <v>270</v>
      </c>
      <c r="H46" s="6" t="s">
        <v>200</v>
      </c>
      <c r="I46" s="6" t="s">
        <v>271</v>
      </c>
      <c r="J46" s="6" t="s">
        <v>203</v>
      </c>
      <c r="K46" s="6" t="s">
        <v>261</v>
      </c>
    </row>
    <row r="47" spans="1:11" ht="28.05" customHeight="1">
      <c r="A47" s="5" t="s">
        <v>200</v>
      </c>
      <c r="B47" s="5" t="s">
        <v>183</v>
      </c>
      <c r="C47" s="5" t="s">
        <v>184</v>
      </c>
      <c r="D47" s="5" t="s">
        <v>147</v>
      </c>
      <c r="E47" s="16">
        <v>46631</v>
      </c>
      <c r="F47" s="7">
        <v>10300</v>
      </c>
      <c r="G47" s="5" t="s">
        <v>270</v>
      </c>
      <c r="H47" s="5" t="s">
        <v>200</v>
      </c>
      <c r="I47" s="5" t="s">
        <v>271</v>
      </c>
      <c r="J47" s="5" t="s">
        <v>203</v>
      </c>
      <c r="K47" s="5" t="s">
        <v>261</v>
      </c>
    </row>
    <row r="48" spans="1:11" ht="28.05" customHeight="1">
      <c r="A48" s="6" t="s">
        <v>200</v>
      </c>
      <c r="B48" s="6" t="s">
        <v>183</v>
      </c>
      <c r="C48" s="6" t="s">
        <v>184</v>
      </c>
      <c r="D48" s="6" t="s">
        <v>148</v>
      </c>
      <c r="E48" s="15">
        <v>46631</v>
      </c>
      <c r="F48" s="7">
        <v>6180</v>
      </c>
      <c r="G48" s="6" t="s">
        <v>270</v>
      </c>
      <c r="H48" s="6" t="s">
        <v>200</v>
      </c>
      <c r="I48" s="6" t="s">
        <v>271</v>
      </c>
      <c r="J48" s="6" t="s">
        <v>203</v>
      </c>
      <c r="K48" s="6" t="s">
        <v>261</v>
      </c>
    </row>
    <row r="49" spans="1:11" ht="28.05" customHeight="1">
      <c r="A49" s="5" t="s">
        <v>200</v>
      </c>
      <c r="B49" s="5" t="s">
        <v>183</v>
      </c>
      <c r="C49" s="5" t="s">
        <v>184</v>
      </c>
      <c r="D49" s="5" t="s">
        <v>149</v>
      </c>
      <c r="E49" s="16">
        <v>46631</v>
      </c>
      <c r="F49" s="7">
        <v>5150</v>
      </c>
      <c r="G49" s="5" t="s">
        <v>270</v>
      </c>
      <c r="H49" s="5" t="s">
        <v>200</v>
      </c>
      <c r="I49" s="5" t="s">
        <v>271</v>
      </c>
      <c r="J49" s="5" t="s">
        <v>203</v>
      </c>
      <c r="K49" s="5" t="s">
        <v>261</v>
      </c>
    </row>
    <row r="50" spans="1:11" ht="28.05" customHeight="1">
      <c r="A50" s="6" t="s">
        <v>200</v>
      </c>
      <c r="B50" s="6" t="s">
        <v>183</v>
      </c>
      <c r="C50" s="6" t="s">
        <v>184</v>
      </c>
      <c r="D50" s="6" t="s">
        <v>150</v>
      </c>
      <c r="E50" s="15">
        <v>46631</v>
      </c>
      <c r="F50" s="7">
        <v>3090</v>
      </c>
      <c r="G50" s="6" t="s">
        <v>270</v>
      </c>
      <c r="H50" s="6" t="s">
        <v>200</v>
      </c>
      <c r="I50" s="6" t="s">
        <v>271</v>
      </c>
      <c r="J50" s="6" t="s">
        <v>203</v>
      </c>
      <c r="K50" s="6" t="s">
        <v>261</v>
      </c>
    </row>
    <row r="51" spans="1:11" ht="28.05" customHeight="1">
      <c r="A51" s="5" t="s">
        <v>200</v>
      </c>
      <c r="B51" s="5" t="s">
        <v>183</v>
      </c>
      <c r="C51" s="5" t="s">
        <v>184</v>
      </c>
      <c r="D51" s="5" t="s">
        <v>146</v>
      </c>
      <c r="E51" s="16">
        <v>46661</v>
      </c>
      <c r="F51" s="7">
        <v>4080</v>
      </c>
      <c r="G51" s="5" t="s">
        <v>270</v>
      </c>
      <c r="H51" s="5" t="s">
        <v>200</v>
      </c>
      <c r="I51" s="5" t="s">
        <v>271</v>
      </c>
      <c r="J51" s="5" t="s">
        <v>203</v>
      </c>
      <c r="K51" s="5" t="s">
        <v>261</v>
      </c>
    </row>
    <row r="52" spans="1:11" ht="28.05" customHeight="1">
      <c r="A52" s="6" t="s">
        <v>200</v>
      </c>
      <c r="B52" s="6" t="s">
        <v>183</v>
      </c>
      <c r="C52" s="6" t="s">
        <v>184</v>
      </c>
      <c r="D52" s="6" t="s">
        <v>147</v>
      </c>
      <c r="E52" s="15">
        <v>46661</v>
      </c>
      <c r="F52" s="7">
        <v>10200</v>
      </c>
      <c r="G52" s="6" t="s">
        <v>270</v>
      </c>
      <c r="H52" s="6" t="s">
        <v>200</v>
      </c>
      <c r="I52" s="6" t="s">
        <v>271</v>
      </c>
      <c r="J52" s="6" t="s">
        <v>203</v>
      </c>
      <c r="K52" s="6" t="s">
        <v>261</v>
      </c>
    </row>
    <row r="53" spans="1:11" ht="28.05" customHeight="1">
      <c r="A53" s="5" t="s">
        <v>200</v>
      </c>
      <c r="B53" s="5" t="s">
        <v>183</v>
      </c>
      <c r="C53" s="5" t="s">
        <v>184</v>
      </c>
      <c r="D53" s="5" t="s">
        <v>148</v>
      </c>
      <c r="E53" s="16">
        <v>46661</v>
      </c>
      <c r="F53" s="7">
        <v>6120</v>
      </c>
      <c r="G53" s="5" t="s">
        <v>270</v>
      </c>
      <c r="H53" s="5" t="s">
        <v>200</v>
      </c>
      <c r="I53" s="5" t="s">
        <v>271</v>
      </c>
      <c r="J53" s="5" t="s">
        <v>203</v>
      </c>
      <c r="K53" s="5" t="s">
        <v>261</v>
      </c>
    </row>
    <row r="54" spans="1:11" ht="28.05" customHeight="1">
      <c r="A54" s="6" t="s">
        <v>200</v>
      </c>
      <c r="B54" s="6" t="s">
        <v>183</v>
      </c>
      <c r="C54" s="6" t="s">
        <v>184</v>
      </c>
      <c r="D54" s="6" t="s">
        <v>149</v>
      </c>
      <c r="E54" s="15">
        <v>46661</v>
      </c>
      <c r="F54" s="7">
        <v>5100</v>
      </c>
      <c r="G54" s="6" t="s">
        <v>270</v>
      </c>
      <c r="H54" s="6" t="s">
        <v>200</v>
      </c>
      <c r="I54" s="6" t="s">
        <v>271</v>
      </c>
      <c r="J54" s="6" t="s">
        <v>203</v>
      </c>
      <c r="K54" s="6" t="s">
        <v>261</v>
      </c>
    </row>
    <row r="55" spans="1:11" ht="28.05" customHeight="1">
      <c r="A55" s="5" t="s">
        <v>200</v>
      </c>
      <c r="B55" s="5" t="s">
        <v>183</v>
      </c>
      <c r="C55" s="5" t="s">
        <v>184</v>
      </c>
      <c r="D55" s="5" t="s">
        <v>150</v>
      </c>
      <c r="E55" s="16">
        <v>46661</v>
      </c>
      <c r="F55" s="7">
        <v>3060</v>
      </c>
      <c r="G55" s="5" t="s">
        <v>270</v>
      </c>
      <c r="H55" s="5" t="s">
        <v>200</v>
      </c>
      <c r="I55" s="5" t="s">
        <v>271</v>
      </c>
      <c r="J55" s="5" t="s">
        <v>203</v>
      </c>
      <c r="K55" s="5" t="s">
        <v>261</v>
      </c>
    </row>
    <row r="56" spans="1:11" ht="28.05" customHeight="1">
      <c r="A56" s="6" t="s">
        <v>200</v>
      </c>
      <c r="B56" s="6" t="s">
        <v>183</v>
      </c>
      <c r="C56" s="6" t="s">
        <v>184</v>
      </c>
      <c r="D56" s="6" t="s">
        <v>146</v>
      </c>
      <c r="E56" s="15">
        <v>46692</v>
      </c>
      <c r="F56" s="7">
        <v>4000</v>
      </c>
      <c r="G56" s="6" t="s">
        <v>270</v>
      </c>
      <c r="H56" s="6" t="s">
        <v>200</v>
      </c>
      <c r="I56" s="6" t="s">
        <v>271</v>
      </c>
      <c r="J56" s="6" t="s">
        <v>203</v>
      </c>
      <c r="K56" s="6" t="s">
        <v>261</v>
      </c>
    </row>
    <row r="57" spans="1:11" ht="28.05" customHeight="1">
      <c r="A57" s="5" t="s">
        <v>200</v>
      </c>
      <c r="B57" s="5" t="s">
        <v>183</v>
      </c>
      <c r="C57" s="5" t="s">
        <v>184</v>
      </c>
      <c r="D57" s="5" t="s">
        <v>147</v>
      </c>
      <c r="E57" s="16">
        <v>46692</v>
      </c>
      <c r="F57" s="7">
        <v>10000</v>
      </c>
      <c r="G57" s="5" t="s">
        <v>270</v>
      </c>
      <c r="H57" s="5" t="s">
        <v>200</v>
      </c>
      <c r="I57" s="5" t="s">
        <v>271</v>
      </c>
      <c r="J57" s="5" t="s">
        <v>203</v>
      </c>
      <c r="K57" s="5" t="s">
        <v>261</v>
      </c>
    </row>
    <row r="58" spans="1:11" ht="28.05" customHeight="1">
      <c r="A58" s="6" t="s">
        <v>200</v>
      </c>
      <c r="B58" s="6" t="s">
        <v>183</v>
      </c>
      <c r="C58" s="6" t="s">
        <v>184</v>
      </c>
      <c r="D58" s="6" t="s">
        <v>148</v>
      </c>
      <c r="E58" s="15">
        <v>46692</v>
      </c>
      <c r="F58" s="7">
        <v>6000</v>
      </c>
      <c r="G58" s="6" t="s">
        <v>270</v>
      </c>
      <c r="H58" s="6" t="s">
        <v>200</v>
      </c>
      <c r="I58" s="6" t="s">
        <v>271</v>
      </c>
      <c r="J58" s="6" t="s">
        <v>203</v>
      </c>
      <c r="K58" s="6" t="s">
        <v>261</v>
      </c>
    </row>
    <row r="59" spans="1:11" ht="28.05" customHeight="1">
      <c r="A59" s="5" t="s">
        <v>200</v>
      </c>
      <c r="B59" s="5" t="s">
        <v>183</v>
      </c>
      <c r="C59" s="5" t="s">
        <v>184</v>
      </c>
      <c r="D59" s="5" t="s">
        <v>149</v>
      </c>
      <c r="E59" s="16">
        <v>46692</v>
      </c>
      <c r="F59" s="7">
        <v>5000</v>
      </c>
      <c r="G59" s="5" t="s">
        <v>270</v>
      </c>
      <c r="H59" s="5" t="s">
        <v>200</v>
      </c>
      <c r="I59" s="5" t="s">
        <v>271</v>
      </c>
      <c r="J59" s="5" t="s">
        <v>203</v>
      </c>
      <c r="K59" s="5" t="s">
        <v>261</v>
      </c>
    </row>
    <row r="60" spans="1:11" ht="28.05" customHeight="1">
      <c r="A60" s="6" t="s">
        <v>200</v>
      </c>
      <c r="B60" s="6" t="s">
        <v>183</v>
      </c>
      <c r="C60" s="6" t="s">
        <v>184</v>
      </c>
      <c r="D60" s="6" t="s">
        <v>150</v>
      </c>
      <c r="E60" s="15">
        <v>46692</v>
      </c>
      <c r="F60" s="7">
        <v>3000</v>
      </c>
      <c r="G60" s="6" t="s">
        <v>270</v>
      </c>
      <c r="H60" s="6" t="s">
        <v>200</v>
      </c>
      <c r="I60" s="6" t="s">
        <v>271</v>
      </c>
      <c r="J60" s="6" t="s">
        <v>203</v>
      </c>
      <c r="K60" s="6" t="s">
        <v>261</v>
      </c>
    </row>
    <row r="61" spans="1:11" ht="28.05" customHeight="1">
      <c r="A61" s="5" t="s">
        <v>200</v>
      </c>
      <c r="B61" s="5" t="s">
        <v>183</v>
      </c>
      <c r="C61" s="5" t="s">
        <v>184</v>
      </c>
      <c r="D61" s="5" t="s">
        <v>146</v>
      </c>
      <c r="E61" s="16">
        <v>46722</v>
      </c>
      <c r="F61" s="7">
        <v>3800</v>
      </c>
      <c r="G61" s="5" t="s">
        <v>270</v>
      </c>
      <c r="H61" s="5" t="s">
        <v>200</v>
      </c>
      <c r="I61" s="5" t="s">
        <v>271</v>
      </c>
      <c r="J61" s="5" t="s">
        <v>203</v>
      </c>
      <c r="K61" s="5" t="s">
        <v>261</v>
      </c>
    </row>
    <row r="62" spans="1:11" ht="28.05" customHeight="1">
      <c r="A62" s="6" t="s">
        <v>200</v>
      </c>
      <c r="B62" s="6" t="s">
        <v>183</v>
      </c>
      <c r="C62" s="6" t="s">
        <v>184</v>
      </c>
      <c r="D62" s="6" t="s">
        <v>147</v>
      </c>
      <c r="E62" s="15">
        <v>46722</v>
      </c>
      <c r="F62" s="7">
        <v>9500</v>
      </c>
      <c r="G62" s="6" t="s">
        <v>270</v>
      </c>
      <c r="H62" s="6" t="s">
        <v>200</v>
      </c>
      <c r="I62" s="6" t="s">
        <v>271</v>
      </c>
      <c r="J62" s="6" t="s">
        <v>203</v>
      </c>
      <c r="K62" s="6" t="s">
        <v>261</v>
      </c>
    </row>
    <row r="63" spans="1:11" ht="28.05" customHeight="1">
      <c r="A63" s="5" t="s">
        <v>200</v>
      </c>
      <c r="B63" s="5" t="s">
        <v>183</v>
      </c>
      <c r="C63" s="5" t="s">
        <v>184</v>
      </c>
      <c r="D63" s="5" t="s">
        <v>148</v>
      </c>
      <c r="E63" s="16">
        <v>46722</v>
      </c>
      <c r="F63" s="7">
        <v>5700</v>
      </c>
      <c r="G63" s="5" t="s">
        <v>270</v>
      </c>
      <c r="H63" s="5" t="s">
        <v>200</v>
      </c>
      <c r="I63" s="5" t="s">
        <v>271</v>
      </c>
      <c r="J63" s="5" t="s">
        <v>203</v>
      </c>
      <c r="K63" s="5" t="s">
        <v>261</v>
      </c>
    </row>
    <row r="64" spans="1:11" ht="28.05" customHeight="1">
      <c r="A64" s="6" t="s">
        <v>200</v>
      </c>
      <c r="B64" s="6" t="s">
        <v>183</v>
      </c>
      <c r="C64" s="6" t="s">
        <v>184</v>
      </c>
      <c r="D64" s="6" t="s">
        <v>149</v>
      </c>
      <c r="E64" s="15">
        <v>46722</v>
      </c>
      <c r="F64" s="7">
        <v>4750</v>
      </c>
      <c r="G64" s="6" t="s">
        <v>270</v>
      </c>
      <c r="H64" s="6" t="s">
        <v>200</v>
      </c>
      <c r="I64" s="6" t="s">
        <v>271</v>
      </c>
      <c r="J64" s="6" t="s">
        <v>203</v>
      </c>
      <c r="K64" s="6" t="s">
        <v>261</v>
      </c>
    </row>
    <row r="65" spans="1:11" ht="28.05" customHeight="1">
      <c r="A65" s="5" t="s">
        <v>200</v>
      </c>
      <c r="B65" s="5" t="s">
        <v>183</v>
      </c>
      <c r="C65" s="5" t="s">
        <v>184</v>
      </c>
      <c r="D65" s="5" t="s">
        <v>150</v>
      </c>
      <c r="E65" s="16">
        <v>46722</v>
      </c>
      <c r="F65" s="7">
        <v>2850</v>
      </c>
      <c r="G65" s="5" t="s">
        <v>270</v>
      </c>
      <c r="H65" s="5" t="s">
        <v>200</v>
      </c>
      <c r="I65" s="5" t="s">
        <v>271</v>
      </c>
      <c r="J65" s="5" t="s">
        <v>203</v>
      </c>
      <c r="K65" s="5" t="s">
        <v>261</v>
      </c>
    </row>
    <row r="66" spans="1:11" ht="28.05" customHeight="1">
      <c r="A66" s="6" t="s">
        <v>215</v>
      </c>
      <c r="B66" s="6" t="s">
        <v>183</v>
      </c>
      <c r="C66" s="6" t="s">
        <v>184</v>
      </c>
      <c r="D66" s="6" t="s">
        <v>146</v>
      </c>
      <c r="E66" s="15">
        <v>46388</v>
      </c>
      <c r="F66" s="7">
        <v>4080</v>
      </c>
      <c r="G66" s="6" t="s">
        <v>272</v>
      </c>
      <c r="H66" s="6" t="s">
        <v>273</v>
      </c>
      <c r="I66" s="6" t="s">
        <v>274</v>
      </c>
      <c r="J66" s="6" t="s">
        <v>203</v>
      </c>
      <c r="K66" s="6" t="s">
        <v>261</v>
      </c>
    </row>
    <row r="67" spans="1:11" ht="28.05" customHeight="1">
      <c r="A67" s="5" t="s">
        <v>215</v>
      </c>
      <c r="B67" s="5" t="s">
        <v>183</v>
      </c>
      <c r="C67" s="5" t="s">
        <v>184</v>
      </c>
      <c r="D67" s="5" t="s">
        <v>147</v>
      </c>
      <c r="E67" s="16">
        <v>46388</v>
      </c>
      <c r="F67" s="38">
        <v>10200</v>
      </c>
      <c r="G67" s="5" t="s">
        <v>272</v>
      </c>
      <c r="H67" s="5" t="s">
        <v>273</v>
      </c>
      <c r="I67" s="5" t="s">
        <v>274</v>
      </c>
      <c r="J67" s="5" t="s">
        <v>203</v>
      </c>
      <c r="K67" s="5" t="s">
        <v>261</v>
      </c>
    </row>
    <row r="68" spans="1:11" ht="28.05" customHeight="1">
      <c r="A68" s="6" t="s">
        <v>215</v>
      </c>
      <c r="B68" s="6" t="s">
        <v>183</v>
      </c>
      <c r="C68" s="6" t="s">
        <v>184</v>
      </c>
      <c r="D68" s="6" t="s">
        <v>148</v>
      </c>
      <c r="E68" s="15">
        <v>46388</v>
      </c>
      <c r="F68" s="7">
        <v>6059</v>
      </c>
      <c r="G68" s="6" t="s">
        <v>272</v>
      </c>
      <c r="H68" s="6" t="s">
        <v>273</v>
      </c>
      <c r="I68" s="6" t="s">
        <v>274</v>
      </c>
      <c r="J68" s="6" t="s">
        <v>203</v>
      </c>
      <c r="K68" s="6" t="s">
        <v>261</v>
      </c>
    </row>
    <row r="69" spans="1:11" ht="28.05" customHeight="1">
      <c r="A69" s="5" t="s">
        <v>215</v>
      </c>
      <c r="B69" s="5" t="s">
        <v>183</v>
      </c>
      <c r="C69" s="5" t="s">
        <v>184</v>
      </c>
      <c r="D69" s="5" t="s">
        <v>149</v>
      </c>
      <c r="E69" s="16">
        <v>46388</v>
      </c>
      <c r="F69" s="7">
        <v>5151</v>
      </c>
      <c r="G69" s="5" t="s">
        <v>272</v>
      </c>
      <c r="H69" s="5" t="s">
        <v>273</v>
      </c>
      <c r="I69" s="5" t="s">
        <v>274</v>
      </c>
      <c r="J69" s="5" t="s">
        <v>203</v>
      </c>
      <c r="K69" s="5" t="s">
        <v>261</v>
      </c>
    </row>
    <row r="70" spans="1:11" ht="28.05" customHeight="1">
      <c r="A70" s="6" t="s">
        <v>215</v>
      </c>
      <c r="B70" s="6" t="s">
        <v>183</v>
      </c>
      <c r="C70" s="6" t="s">
        <v>184</v>
      </c>
      <c r="D70" s="6" t="s">
        <v>150</v>
      </c>
      <c r="E70" s="15">
        <v>46388</v>
      </c>
      <c r="F70" s="7">
        <v>3029</v>
      </c>
      <c r="G70" s="6" t="s">
        <v>272</v>
      </c>
      <c r="H70" s="6" t="s">
        <v>273</v>
      </c>
      <c r="I70" s="6" t="s">
        <v>274</v>
      </c>
      <c r="J70" s="6" t="s">
        <v>203</v>
      </c>
      <c r="K70" s="6" t="s">
        <v>261</v>
      </c>
    </row>
    <row r="71" spans="1:11" ht="28.05" customHeight="1">
      <c r="A71" s="5" t="s">
        <v>215</v>
      </c>
      <c r="B71" s="5" t="s">
        <v>183</v>
      </c>
      <c r="C71" s="5" t="s">
        <v>184</v>
      </c>
      <c r="D71" s="5" t="s">
        <v>146</v>
      </c>
      <c r="E71" s="16">
        <v>46419</v>
      </c>
      <c r="F71" s="7">
        <v>3564</v>
      </c>
      <c r="G71" s="5" t="s">
        <v>272</v>
      </c>
      <c r="H71" s="5" t="s">
        <v>273</v>
      </c>
      <c r="I71" s="5" t="s">
        <v>274</v>
      </c>
      <c r="J71" s="5" t="s">
        <v>203</v>
      </c>
      <c r="K71" s="5" t="s">
        <v>261</v>
      </c>
    </row>
    <row r="72" spans="1:11" ht="28.05" customHeight="1">
      <c r="A72" s="6" t="s">
        <v>215</v>
      </c>
      <c r="B72" s="6" t="s">
        <v>183</v>
      </c>
      <c r="C72" s="6" t="s">
        <v>184</v>
      </c>
      <c r="D72" s="6" t="s">
        <v>147</v>
      </c>
      <c r="E72" s="15">
        <v>46419</v>
      </c>
      <c r="F72" s="38">
        <v>8910</v>
      </c>
      <c r="G72" s="6" t="s">
        <v>272</v>
      </c>
      <c r="H72" s="6" t="s">
        <v>273</v>
      </c>
      <c r="I72" s="6" t="s">
        <v>274</v>
      </c>
      <c r="J72" s="6" t="s">
        <v>203</v>
      </c>
      <c r="K72" s="6" t="s">
        <v>261</v>
      </c>
    </row>
    <row r="73" spans="1:11" ht="28.05" customHeight="1">
      <c r="A73" s="5" t="s">
        <v>215</v>
      </c>
      <c r="B73" s="5" t="s">
        <v>183</v>
      </c>
      <c r="C73" s="5" t="s">
        <v>184</v>
      </c>
      <c r="D73" s="5" t="s">
        <v>148</v>
      </c>
      <c r="E73" s="16">
        <v>46419</v>
      </c>
      <c r="F73" s="7">
        <v>5346</v>
      </c>
      <c r="G73" s="5" t="s">
        <v>272</v>
      </c>
      <c r="H73" s="5" t="s">
        <v>273</v>
      </c>
      <c r="I73" s="5" t="s">
        <v>274</v>
      </c>
      <c r="J73" s="5" t="s">
        <v>203</v>
      </c>
      <c r="K73" s="5" t="s">
        <v>261</v>
      </c>
    </row>
    <row r="74" spans="1:11" ht="28.05" customHeight="1">
      <c r="A74" s="6" t="s">
        <v>215</v>
      </c>
      <c r="B74" s="6" t="s">
        <v>183</v>
      </c>
      <c r="C74" s="6" t="s">
        <v>184</v>
      </c>
      <c r="D74" s="6" t="s">
        <v>149</v>
      </c>
      <c r="E74" s="15">
        <v>46419</v>
      </c>
      <c r="F74" s="7">
        <v>4545</v>
      </c>
      <c r="G74" s="6" t="s">
        <v>272</v>
      </c>
      <c r="H74" s="6" t="s">
        <v>273</v>
      </c>
      <c r="I74" s="6" t="s">
        <v>274</v>
      </c>
      <c r="J74" s="6" t="s">
        <v>203</v>
      </c>
      <c r="K74" s="6" t="s">
        <v>261</v>
      </c>
    </row>
    <row r="75" spans="1:11" ht="28.05" customHeight="1">
      <c r="A75" s="5" t="s">
        <v>215</v>
      </c>
      <c r="B75" s="5" t="s">
        <v>183</v>
      </c>
      <c r="C75" s="5" t="s">
        <v>184</v>
      </c>
      <c r="D75" s="5" t="s">
        <v>150</v>
      </c>
      <c r="E75" s="16">
        <v>46419</v>
      </c>
      <c r="F75" s="7">
        <v>2673</v>
      </c>
      <c r="G75" s="5" t="s">
        <v>272</v>
      </c>
      <c r="H75" s="5" t="s">
        <v>273</v>
      </c>
      <c r="I75" s="5" t="s">
        <v>274</v>
      </c>
      <c r="J75" s="5" t="s">
        <v>203</v>
      </c>
      <c r="K75" s="5" t="s">
        <v>261</v>
      </c>
    </row>
    <row r="76" spans="1:11" ht="28.05" customHeight="1">
      <c r="A76" s="6" t="s">
        <v>215</v>
      </c>
      <c r="B76" s="6" t="s">
        <v>183</v>
      </c>
      <c r="C76" s="6" t="s">
        <v>184</v>
      </c>
      <c r="D76" s="6" t="s">
        <v>146</v>
      </c>
      <c r="E76" s="15">
        <v>46447</v>
      </c>
      <c r="F76" s="7">
        <v>4116</v>
      </c>
      <c r="G76" s="6" t="s">
        <v>272</v>
      </c>
      <c r="H76" s="6" t="s">
        <v>273</v>
      </c>
      <c r="I76" s="6" t="s">
        <v>274</v>
      </c>
      <c r="J76" s="6" t="s">
        <v>203</v>
      </c>
      <c r="K76" s="6" t="s">
        <v>261</v>
      </c>
    </row>
    <row r="77" spans="1:11" ht="28.05" customHeight="1">
      <c r="A77" s="5" t="s">
        <v>215</v>
      </c>
      <c r="B77" s="5" t="s">
        <v>183</v>
      </c>
      <c r="C77" s="5" t="s">
        <v>184</v>
      </c>
      <c r="D77" s="5" t="s">
        <v>147</v>
      </c>
      <c r="E77" s="16">
        <v>46447</v>
      </c>
      <c r="F77" s="38">
        <v>10290</v>
      </c>
      <c r="G77" s="5" t="s">
        <v>272</v>
      </c>
      <c r="H77" s="5" t="s">
        <v>273</v>
      </c>
      <c r="I77" s="5" t="s">
        <v>274</v>
      </c>
      <c r="J77" s="5" t="s">
        <v>203</v>
      </c>
      <c r="K77" s="5" t="s">
        <v>261</v>
      </c>
    </row>
    <row r="78" spans="1:11" ht="28.05" customHeight="1">
      <c r="A78" s="6" t="s">
        <v>215</v>
      </c>
      <c r="B78" s="6" t="s">
        <v>183</v>
      </c>
      <c r="C78" s="6" t="s">
        <v>184</v>
      </c>
      <c r="D78" s="6" t="s">
        <v>148</v>
      </c>
      <c r="E78" s="15">
        <v>46447</v>
      </c>
      <c r="F78" s="7">
        <v>6237</v>
      </c>
      <c r="G78" s="6" t="s">
        <v>272</v>
      </c>
      <c r="H78" s="6" t="s">
        <v>273</v>
      </c>
      <c r="I78" s="6" t="s">
        <v>274</v>
      </c>
      <c r="J78" s="6" t="s">
        <v>203</v>
      </c>
      <c r="K78" s="6" t="s">
        <v>261</v>
      </c>
    </row>
    <row r="79" spans="1:11" ht="28.05" customHeight="1">
      <c r="A79" s="5" t="s">
        <v>215</v>
      </c>
      <c r="B79" s="5" t="s">
        <v>183</v>
      </c>
      <c r="C79" s="5" t="s">
        <v>184</v>
      </c>
      <c r="D79" s="5" t="s">
        <v>149</v>
      </c>
      <c r="E79" s="16">
        <v>46447</v>
      </c>
      <c r="F79" s="7">
        <v>5303</v>
      </c>
      <c r="G79" s="5" t="s">
        <v>272</v>
      </c>
      <c r="H79" s="5" t="s">
        <v>273</v>
      </c>
      <c r="I79" s="5" t="s">
        <v>274</v>
      </c>
      <c r="J79" s="5" t="s">
        <v>203</v>
      </c>
      <c r="K79" s="5" t="s">
        <v>261</v>
      </c>
    </row>
    <row r="80" spans="1:11" ht="28.05" customHeight="1">
      <c r="A80" s="6" t="s">
        <v>215</v>
      </c>
      <c r="B80" s="6" t="s">
        <v>183</v>
      </c>
      <c r="C80" s="6" t="s">
        <v>184</v>
      </c>
      <c r="D80" s="6" t="s">
        <v>150</v>
      </c>
      <c r="E80" s="15">
        <v>46447</v>
      </c>
      <c r="F80" s="7">
        <v>3119</v>
      </c>
      <c r="G80" s="6" t="s">
        <v>272</v>
      </c>
      <c r="H80" s="6" t="s">
        <v>273</v>
      </c>
      <c r="I80" s="6" t="s">
        <v>274</v>
      </c>
      <c r="J80" s="6" t="s">
        <v>203</v>
      </c>
      <c r="K80" s="6" t="s">
        <v>261</v>
      </c>
    </row>
    <row r="81" spans="1:11" ht="28.05" customHeight="1">
      <c r="A81" s="5" t="s">
        <v>215</v>
      </c>
      <c r="B81" s="5" t="s">
        <v>183</v>
      </c>
      <c r="C81" s="5" t="s">
        <v>184</v>
      </c>
      <c r="D81" s="5" t="s">
        <v>146</v>
      </c>
      <c r="E81" s="16">
        <v>46478</v>
      </c>
      <c r="F81" s="7">
        <v>3880</v>
      </c>
      <c r="G81" s="5" t="s">
        <v>272</v>
      </c>
      <c r="H81" s="5" t="s">
        <v>273</v>
      </c>
      <c r="I81" s="5" t="s">
        <v>274</v>
      </c>
      <c r="J81" s="5" t="s">
        <v>203</v>
      </c>
      <c r="K81" s="5" t="s">
        <v>261</v>
      </c>
    </row>
    <row r="82" spans="1:11" ht="28.05" customHeight="1">
      <c r="A82" s="6" t="s">
        <v>215</v>
      </c>
      <c r="B82" s="6" t="s">
        <v>183</v>
      </c>
      <c r="C82" s="6" t="s">
        <v>184</v>
      </c>
      <c r="D82" s="6" t="s">
        <v>147</v>
      </c>
      <c r="E82" s="15">
        <v>46478</v>
      </c>
      <c r="F82" s="38">
        <v>9700</v>
      </c>
      <c r="G82" s="6" t="s">
        <v>272</v>
      </c>
      <c r="H82" s="6" t="s">
        <v>273</v>
      </c>
      <c r="I82" s="6" t="s">
        <v>274</v>
      </c>
      <c r="J82" s="6" t="s">
        <v>203</v>
      </c>
      <c r="K82" s="6" t="s">
        <v>261</v>
      </c>
    </row>
    <row r="83" spans="1:11" ht="28.05" customHeight="1">
      <c r="A83" s="5" t="s">
        <v>215</v>
      </c>
      <c r="B83" s="5" t="s">
        <v>183</v>
      </c>
      <c r="C83" s="5" t="s">
        <v>184</v>
      </c>
      <c r="D83" s="5" t="s">
        <v>148</v>
      </c>
      <c r="E83" s="16">
        <v>46478</v>
      </c>
      <c r="F83" s="7">
        <v>5940</v>
      </c>
      <c r="G83" s="5" t="s">
        <v>272</v>
      </c>
      <c r="H83" s="5" t="s">
        <v>273</v>
      </c>
      <c r="I83" s="5" t="s">
        <v>274</v>
      </c>
      <c r="J83" s="5" t="s">
        <v>203</v>
      </c>
      <c r="K83" s="5" t="s">
        <v>261</v>
      </c>
    </row>
    <row r="84" spans="1:11" ht="28.05" customHeight="1">
      <c r="A84" s="6" t="s">
        <v>215</v>
      </c>
      <c r="B84" s="6" t="s">
        <v>183</v>
      </c>
      <c r="C84" s="6" t="s">
        <v>184</v>
      </c>
      <c r="D84" s="6" t="s">
        <v>149</v>
      </c>
      <c r="E84" s="15">
        <v>46478</v>
      </c>
      <c r="F84" s="7">
        <v>5050</v>
      </c>
      <c r="G84" s="6" t="s">
        <v>272</v>
      </c>
      <c r="H84" s="6" t="s">
        <v>273</v>
      </c>
      <c r="I84" s="6" t="s">
        <v>274</v>
      </c>
      <c r="J84" s="6" t="s">
        <v>203</v>
      </c>
      <c r="K84" s="6" t="s">
        <v>261</v>
      </c>
    </row>
    <row r="85" spans="1:11" ht="28.05" customHeight="1">
      <c r="A85" s="5" t="s">
        <v>215</v>
      </c>
      <c r="B85" s="5" t="s">
        <v>183</v>
      </c>
      <c r="C85" s="5" t="s">
        <v>184</v>
      </c>
      <c r="D85" s="5" t="s">
        <v>150</v>
      </c>
      <c r="E85" s="16">
        <v>46478</v>
      </c>
      <c r="F85" s="7">
        <v>2970</v>
      </c>
      <c r="G85" s="5" t="s">
        <v>272</v>
      </c>
      <c r="H85" s="5" t="s">
        <v>273</v>
      </c>
      <c r="I85" s="5" t="s">
        <v>274</v>
      </c>
      <c r="J85" s="5" t="s">
        <v>203</v>
      </c>
      <c r="K85" s="5" t="s">
        <v>261</v>
      </c>
    </row>
    <row r="86" spans="1:11" ht="28.05" customHeight="1">
      <c r="A86" s="6" t="s">
        <v>215</v>
      </c>
      <c r="B86" s="6" t="s">
        <v>183</v>
      </c>
      <c r="C86" s="6" t="s">
        <v>184</v>
      </c>
      <c r="D86" s="6" t="s">
        <v>146</v>
      </c>
      <c r="E86" s="15">
        <v>46508</v>
      </c>
      <c r="F86" s="7">
        <v>3763</v>
      </c>
      <c r="G86" s="6" t="s">
        <v>272</v>
      </c>
      <c r="H86" s="6" t="s">
        <v>273</v>
      </c>
      <c r="I86" s="6" t="s">
        <v>274</v>
      </c>
      <c r="J86" s="6" t="s">
        <v>203</v>
      </c>
      <c r="K86" s="6" t="s">
        <v>261</v>
      </c>
    </row>
    <row r="87" spans="1:11" ht="28.05" customHeight="1">
      <c r="A87" s="5" t="s">
        <v>215</v>
      </c>
      <c r="B87" s="5" t="s">
        <v>183</v>
      </c>
      <c r="C87" s="5" t="s">
        <v>184</v>
      </c>
      <c r="D87" s="5" t="s">
        <v>147</v>
      </c>
      <c r="E87" s="16">
        <v>46508</v>
      </c>
      <c r="F87" s="38">
        <v>9408</v>
      </c>
      <c r="G87" s="5" t="s">
        <v>272</v>
      </c>
      <c r="H87" s="5" t="s">
        <v>273</v>
      </c>
      <c r="I87" s="5" t="s">
        <v>274</v>
      </c>
      <c r="J87" s="5" t="s">
        <v>203</v>
      </c>
      <c r="K87" s="5" t="s">
        <v>261</v>
      </c>
    </row>
    <row r="88" spans="1:11" ht="28.05" customHeight="1">
      <c r="A88" s="6" t="s">
        <v>215</v>
      </c>
      <c r="B88" s="6" t="s">
        <v>183</v>
      </c>
      <c r="C88" s="6" t="s">
        <v>184</v>
      </c>
      <c r="D88" s="6" t="s">
        <v>148</v>
      </c>
      <c r="E88" s="15">
        <v>46508</v>
      </c>
      <c r="F88" s="7">
        <v>5821</v>
      </c>
      <c r="G88" s="6" t="s">
        <v>272</v>
      </c>
      <c r="H88" s="6" t="s">
        <v>273</v>
      </c>
      <c r="I88" s="6" t="s">
        <v>274</v>
      </c>
      <c r="J88" s="6" t="s">
        <v>203</v>
      </c>
      <c r="K88" s="6" t="s">
        <v>261</v>
      </c>
    </row>
    <row r="89" spans="1:11" ht="28.05" customHeight="1">
      <c r="A89" s="5" t="s">
        <v>215</v>
      </c>
      <c r="B89" s="5" t="s">
        <v>183</v>
      </c>
      <c r="C89" s="5" t="s">
        <v>184</v>
      </c>
      <c r="D89" s="5" t="s">
        <v>149</v>
      </c>
      <c r="E89" s="16">
        <v>46508</v>
      </c>
      <c r="F89" s="7">
        <v>4949</v>
      </c>
      <c r="G89" s="5" t="s">
        <v>272</v>
      </c>
      <c r="H89" s="5" t="s">
        <v>273</v>
      </c>
      <c r="I89" s="5" t="s">
        <v>274</v>
      </c>
      <c r="J89" s="5" t="s">
        <v>203</v>
      </c>
      <c r="K89" s="5" t="s">
        <v>261</v>
      </c>
    </row>
    <row r="90" spans="1:11" ht="28.05" customHeight="1">
      <c r="A90" s="6" t="s">
        <v>215</v>
      </c>
      <c r="B90" s="6" t="s">
        <v>183</v>
      </c>
      <c r="C90" s="6" t="s">
        <v>184</v>
      </c>
      <c r="D90" s="6" t="s">
        <v>150</v>
      </c>
      <c r="E90" s="15">
        <v>46508</v>
      </c>
      <c r="F90" s="7">
        <v>2911</v>
      </c>
      <c r="G90" s="6" t="s">
        <v>272</v>
      </c>
      <c r="H90" s="6" t="s">
        <v>273</v>
      </c>
      <c r="I90" s="6" t="s">
        <v>274</v>
      </c>
      <c r="J90" s="6" t="s">
        <v>203</v>
      </c>
      <c r="K90" s="6" t="s">
        <v>261</v>
      </c>
    </row>
    <row r="91" spans="1:11" ht="37.950000000000003" customHeight="1">
      <c r="A91" s="5" t="s">
        <v>215</v>
      </c>
      <c r="B91" s="5" t="s">
        <v>183</v>
      </c>
      <c r="C91" s="5" t="s">
        <v>184</v>
      </c>
      <c r="D91" s="5" t="s">
        <v>146</v>
      </c>
      <c r="E91" s="16">
        <v>46539</v>
      </c>
      <c r="F91" s="7">
        <v>3800</v>
      </c>
      <c r="G91" s="5" t="s">
        <v>275</v>
      </c>
      <c r="H91" s="5" t="s">
        <v>276</v>
      </c>
      <c r="I91" s="5" t="s">
        <v>277</v>
      </c>
      <c r="J91" s="5" t="s">
        <v>203</v>
      </c>
      <c r="K91" s="5" t="s">
        <v>261</v>
      </c>
    </row>
    <row r="92" spans="1:11" ht="37.950000000000003" customHeight="1">
      <c r="A92" s="6" t="s">
        <v>215</v>
      </c>
      <c r="B92" s="6" t="s">
        <v>183</v>
      </c>
      <c r="C92" s="6" t="s">
        <v>184</v>
      </c>
      <c r="D92" s="6" t="s">
        <v>147</v>
      </c>
      <c r="E92" s="15">
        <v>46539</v>
      </c>
      <c r="F92" s="38">
        <v>9500</v>
      </c>
      <c r="G92" s="6" t="s">
        <v>275</v>
      </c>
      <c r="H92" s="6" t="s">
        <v>276</v>
      </c>
      <c r="I92" s="6" t="s">
        <v>277</v>
      </c>
      <c r="J92" s="6" t="s">
        <v>203</v>
      </c>
      <c r="K92" s="6" t="s">
        <v>261</v>
      </c>
    </row>
    <row r="93" spans="1:11" ht="37.950000000000003" customHeight="1">
      <c r="A93" s="5" t="s">
        <v>215</v>
      </c>
      <c r="B93" s="5" t="s">
        <v>183</v>
      </c>
      <c r="C93" s="5" t="s">
        <v>184</v>
      </c>
      <c r="D93" s="5" t="s">
        <v>148</v>
      </c>
      <c r="E93" s="16">
        <v>46539</v>
      </c>
      <c r="F93" s="7">
        <v>5940</v>
      </c>
      <c r="G93" s="5" t="s">
        <v>275</v>
      </c>
      <c r="H93" s="5" t="s">
        <v>276</v>
      </c>
      <c r="I93" s="5" t="s">
        <v>277</v>
      </c>
      <c r="J93" s="5" t="s">
        <v>203</v>
      </c>
      <c r="K93" s="5" t="s">
        <v>261</v>
      </c>
    </row>
    <row r="94" spans="1:11" ht="37.950000000000003" customHeight="1">
      <c r="A94" s="6" t="s">
        <v>215</v>
      </c>
      <c r="B94" s="6" t="s">
        <v>183</v>
      </c>
      <c r="C94" s="6" t="s">
        <v>184</v>
      </c>
      <c r="D94" s="6" t="s">
        <v>149</v>
      </c>
      <c r="E94" s="15">
        <v>46539</v>
      </c>
      <c r="F94" s="7">
        <v>5050</v>
      </c>
      <c r="G94" s="6" t="s">
        <v>275</v>
      </c>
      <c r="H94" s="6" t="s">
        <v>276</v>
      </c>
      <c r="I94" s="6" t="s">
        <v>277</v>
      </c>
      <c r="J94" s="6" t="s">
        <v>203</v>
      </c>
      <c r="K94" s="6" t="s">
        <v>261</v>
      </c>
    </row>
    <row r="95" spans="1:11" ht="37.950000000000003" customHeight="1">
      <c r="A95" s="5" t="s">
        <v>215</v>
      </c>
      <c r="B95" s="5" t="s">
        <v>183</v>
      </c>
      <c r="C95" s="5" t="s">
        <v>184</v>
      </c>
      <c r="D95" s="5" t="s">
        <v>150</v>
      </c>
      <c r="E95" s="16">
        <v>46539</v>
      </c>
      <c r="F95" s="7">
        <v>2970</v>
      </c>
      <c r="G95" s="5" t="s">
        <v>275</v>
      </c>
      <c r="H95" s="5" t="s">
        <v>276</v>
      </c>
      <c r="I95" s="5" t="s">
        <v>277</v>
      </c>
      <c r="J95" s="5" t="s">
        <v>203</v>
      </c>
      <c r="K95" s="5" t="s">
        <v>261</v>
      </c>
    </row>
    <row r="96" spans="1:11" ht="28.05" customHeight="1">
      <c r="A96" s="6" t="s">
        <v>215</v>
      </c>
      <c r="B96" s="6" t="s">
        <v>183</v>
      </c>
      <c r="C96" s="6" t="s">
        <v>184</v>
      </c>
      <c r="D96" s="6" t="s">
        <v>146</v>
      </c>
      <c r="E96" s="15">
        <v>46569</v>
      </c>
      <c r="F96" s="7">
        <v>3800</v>
      </c>
      <c r="G96" s="6" t="s">
        <v>278</v>
      </c>
      <c r="H96" s="6" t="s">
        <v>212</v>
      </c>
      <c r="I96" s="6" t="s">
        <v>211</v>
      </c>
      <c r="J96" s="6" t="s">
        <v>203</v>
      </c>
      <c r="K96" s="6" t="s">
        <v>261</v>
      </c>
    </row>
    <row r="97" spans="1:11" ht="28.05" customHeight="1">
      <c r="A97" s="5" t="s">
        <v>215</v>
      </c>
      <c r="B97" s="5" t="s">
        <v>183</v>
      </c>
      <c r="C97" s="5" t="s">
        <v>184</v>
      </c>
      <c r="D97" s="5" t="s">
        <v>147</v>
      </c>
      <c r="E97" s="16">
        <v>46569</v>
      </c>
      <c r="F97" s="38">
        <v>9500</v>
      </c>
      <c r="G97" s="5" t="s">
        <v>278</v>
      </c>
      <c r="H97" s="5" t="s">
        <v>212</v>
      </c>
      <c r="I97" s="5" t="s">
        <v>211</v>
      </c>
      <c r="J97" s="5" t="s">
        <v>203</v>
      </c>
      <c r="K97" s="5" t="s">
        <v>261</v>
      </c>
    </row>
    <row r="98" spans="1:11" ht="28.05" customHeight="1">
      <c r="A98" s="6" t="s">
        <v>215</v>
      </c>
      <c r="B98" s="6" t="s">
        <v>183</v>
      </c>
      <c r="C98" s="6" t="s">
        <v>184</v>
      </c>
      <c r="D98" s="6" t="s">
        <v>148</v>
      </c>
      <c r="E98" s="15">
        <v>46569</v>
      </c>
      <c r="F98" s="7">
        <v>5940</v>
      </c>
      <c r="G98" s="6" t="s">
        <v>278</v>
      </c>
      <c r="H98" s="6" t="s">
        <v>212</v>
      </c>
      <c r="I98" s="6" t="s">
        <v>211</v>
      </c>
      <c r="J98" s="6" t="s">
        <v>203</v>
      </c>
      <c r="K98" s="6" t="s">
        <v>261</v>
      </c>
    </row>
    <row r="99" spans="1:11" ht="28.05" customHeight="1">
      <c r="A99" s="5" t="s">
        <v>215</v>
      </c>
      <c r="B99" s="5" t="s">
        <v>183</v>
      </c>
      <c r="C99" s="5" t="s">
        <v>184</v>
      </c>
      <c r="D99" s="5" t="s">
        <v>149</v>
      </c>
      <c r="E99" s="16">
        <v>46569</v>
      </c>
      <c r="F99" s="7">
        <v>5050</v>
      </c>
      <c r="G99" s="5" t="s">
        <v>278</v>
      </c>
      <c r="H99" s="5" t="s">
        <v>212</v>
      </c>
      <c r="I99" s="5" t="s">
        <v>211</v>
      </c>
      <c r="J99" s="5" t="s">
        <v>203</v>
      </c>
      <c r="K99" s="5" t="s">
        <v>261</v>
      </c>
    </row>
    <row r="100" spans="1:11" ht="28.05" customHeight="1">
      <c r="A100" s="6" t="s">
        <v>215</v>
      </c>
      <c r="B100" s="6" t="s">
        <v>183</v>
      </c>
      <c r="C100" s="6" t="s">
        <v>184</v>
      </c>
      <c r="D100" s="6" t="s">
        <v>150</v>
      </c>
      <c r="E100" s="15">
        <v>46569</v>
      </c>
      <c r="F100" s="7">
        <v>2970</v>
      </c>
      <c r="G100" s="6" t="s">
        <v>278</v>
      </c>
      <c r="H100" s="6" t="s">
        <v>212</v>
      </c>
      <c r="I100" s="6" t="s">
        <v>211</v>
      </c>
      <c r="J100" s="6" t="s">
        <v>203</v>
      </c>
      <c r="K100" s="6" t="s">
        <v>261</v>
      </c>
    </row>
    <row r="101" spans="1:11" ht="28.05" customHeight="1">
      <c r="A101" s="5" t="s">
        <v>215</v>
      </c>
      <c r="B101" s="5" t="s">
        <v>183</v>
      </c>
      <c r="C101" s="5" t="s">
        <v>184</v>
      </c>
      <c r="D101" s="5" t="s">
        <v>146</v>
      </c>
      <c r="E101" s="16">
        <v>46600</v>
      </c>
      <c r="F101" s="7">
        <v>3496</v>
      </c>
      <c r="G101" s="5" t="s">
        <v>278</v>
      </c>
      <c r="H101" s="5" t="s">
        <v>212</v>
      </c>
      <c r="I101" s="5" t="s">
        <v>211</v>
      </c>
      <c r="J101" s="5" t="s">
        <v>203</v>
      </c>
      <c r="K101" s="5" t="s">
        <v>261</v>
      </c>
    </row>
    <row r="102" spans="1:11" ht="28.05" customHeight="1">
      <c r="A102" s="6" t="s">
        <v>215</v>
      </c>
      <c r="B102" s="6" t="s">
        <v>183</v>
      </c>
      <c r="C102" s="6" t="s">
        <v>184</v>
      </c>
      <c r="D102" s="6" t="s">
        <v>147</v>
      </c>
      <c r="E102" s="15">
        <v>46600</v>
      </c>
      <c r="F102" s="38">
        <v>8740</v>
      </c>
      <c r="G102" s="6" t="s">
        <v>278</v>
      </c>
      <c r="H102" s="6" t="s">
        <v>212</v>
      </c>
      <c r="I102" s="6" t="s">
        <v>211</v>
      </c>
      <c r="J102" s="6" t="s">
        <v>203</v>
      </c>
      <c r="K102" s="6" t="s">
        <v>261</v>
      </c>
    </row>
    <row r="103" spans="1:11" ht="28.05" customHeight="1">
      <c r="A103" s="5" t="s">
        <v>215</v>
      </c>
      <c r="B103" s="5" t="s">
        <v>183</v>
      </c>
      <c r="C103" s="5" t="s">
        <v>184</v>
      </c>
      <c r="D103" s="5" t="s">
        <v>148</v>
      </c>
      <c r="E103" s="16">
        <v>46600</v>
      </c>
      <c r="F103" s="7">
        <v>5465</v>
      </c>
      <c r="G103" s="5" t="s">
        <v>278</v>
      </c>
      <c r="H103" s="5" t="s">
        <v>212</v>
      </c>
      <c r="I103" s="5" t="s">
        <v>211</v>
      </c>
      <c r="J103" s="5" t="s">
        <v>203</v>
      </c>
      <c r="K103" s="5" t="s">
        <v>261</v>
      </c>
    </row>
    <row r="104" spans="1:11" ht="28.05" customHeight="1">
      <c r="A104" s="6" t="s">
        <v>215</v>
      </c>
      <c r="B104" s="6" t="s">
        <v>183</v>
      </c>
      <c r="C104" s="6" t="s">
        <v>184</v>
      </c>
      <c r="D104" s="6" t="s">
        <v>149</v>
      </c>
      <c r="E104" s="15">
        <v>46600</v>
      </c>
      <c r="F104" s="7">
        <v>4646</v>
      </c>
      <c r="G104" s="6" t="s">
        <v>278</v>
      </c>
      <c r="H104" s="6" t="s">
        <v>212</v>
      </c>
      <c r="I104" s="6" t="s">
        <v>211</v>
      </c>
      <c r="J104" s="6" t="s">
        <v>203</v>
      </c>
      <c r="K104" s="6" t="s">
        <v>261</v>
      </c>
    </row>
    <row r="105" spans="1:11" ht="28.05" customHeight="1">
      <c r="A105" s="5" t="s">
        <v>215</v>
      </c>
      <c r="B105" s="5" t="s">
        <v>183</v>
      </c>
      <c r="C105" s="5" t="s">
        <v>184</v>
      </c>
      <c r="D105" s="5" t="s">
        <v>150</v>
      </c>
      <c r="E105" s="16">
        <v>46600</v>
      </c>
      <c r="F105" s="7">
        <v>2732</v>
      </c>
      <c r="G105" s="5" t="s">
        <v>278</v>
      </c>
      <c r="H105" s="5" t="s">
        <v>212</v>
      </c>
      <c r="I105" s="5" t="s">
        <v>211</v>
      </c>
      <c r="J105" s="5" t="s">
        <v>203</v>
      </c>
      <c r="K105" s="5" t="s">
        <v>261</v>
      </c>
    </row>
    <row r="106" spans="1:11" ht="28.05" customHeight="1">
      <c r="A106" s="6" t="s">
        <v>215</v>
      </c>
      <c r="B106" s="6" t="s">
        <v>183</v>
      </c>
      <c r="C106" s="6" t="s">
        <v>184</v>
      </c>
      <c r="D106" s="6" t="s">
        <v>146</v>
      </c>
      <c r="E106" s="15">
        <v>46631</v>
      </c>
      <c r="F106" s="7">
        <v>3914</v>
      </c>
      <c r="G106" s="6" t="s">
        <v>278</v>
      </c>
      <c r="H106" s="6" t="s">
        <v>212</v>
      </c>
      <c r="I106" s="6" t="s">
        <v>211</v>
      </c>
      <c r="J106" s="6" t="s">
        <v>203</v>
      </c>
      <c r="K106" s="6" t="s">
        <v>261</v>
      </c>
    </row>
    <row r="107" spans="1:11" ht="28.05" customHeight="1">
      <c r="A107" s="5" t="s">
        <v>215</v>
      </c>
      <c r="B107" s="5" t="s">
        <v>183</v>
      </c>
      <c r="C107" s="5" t="s">
        <v>184</v>
      </c>
      <c r="D107" s="5" t="s">
        <v>147</v>
      </c>
      <c r="E107" s="16">
        <v>46631</v>
      </c>
      <c r="F107" s="38">
        <v>9785</v>
      </c>
      <c r="G107" s="5" t="s">
        <v>278</v>
      </c>
      <c r="H107" s="5" t="s">
        <v>212</v>
      </c>
      <c r="I107" s="5" t="s">
        <v>211</v>
      </c>
      <c r="J107" s="5" t="s">
        <v>203</v>
      </c>
      <c r="K107" s="5" t="s">
        <v>261</v>
      </c>
    </row>
    <row r="108" spans="1:11" ht="28.05" customHeight="1">
      <c r="A108" s="6" t="s">
        <v>215</v>
      </c>
      <c r="B108" s="6" t="s">
        <v>183</v>
      </c>
      <c r="C108" s="6" t="s">
        <v>184</v>
      </c>
      <c r="D108" s="6" t="s">
        <v>148</v>
      </c>
      <c r="E108" s="15">
        <v>46631</v>
      </c>
      <c r="F108" s="7">
        <v>6118</v>
      </c>
      <c r="G108" s="6" t="s">
        <v>278</v>
      </c>
      <c r="H108" s="6" t="s">
        <v>212</v>
      </c>
      <c r="I108" s="6" t="s">
        <v>211</v>
      </c>
      <c r="J108" s="6" t="s">
        <v>203</v>
      </c>
      <c r="K108" s="6" t="s">
        <v>261</v>
      </c>
    </row>
    <row r="109" spans="1:11" ht="28.05" customHeight="1">
      <c r="A109" s="5" t="s">
        <v>215</v>
      </c>
      <c r="B109" s="5" t="s">
        <v>183</v>
      </c>
      <c r="C109" s="5" t="s">
        <v>184</v>
      </c>
      <c r="D109" s="5" t="s">
        <v>149</v>
      </c>
      <c r="E109" s="16">
        <v>46631</v>
      </c>
      <c r="F109" s="7">
        <v>5202</v>
      </c>
      <c r="G109" s="5" t="s">
        <v>278</v>
      </c>
      <c r="H109" s="5" t="s">
        <v>212</v>
      </c>
      <c r="I109" s="5" t="s">
        <v>211</v>
      </c>
      <c r="J109" s="5" t="s">
        <v>203</v>
      </c>
      <c r="K109" s="5" t="s">
        <v>261</v>
      </c>
    </row>
    <row r="110" spans="1:11" ht="28.05" customHeight="1">
      <c r="A110" s="6" t="s">
        <v>215</v>
      </c>
      <c r="B110" s="6" t="s">
        <v>183</v>
      </c>
      <c r="C110" s="6" t="s">
        <v>184</v>
      </c>
      <c r="D110" s="6" t="s">
        <v>150</v>
      </c>
      <c r="E110" s="15">
        <v>46631</v>
      </c>
      <c r="F110" s="7">
        <v>3059</v>
      </c>
      <c r="G110" s="6" t="s">
        <v>278</v>
      </c>
      <c r="H110" s="6" t="s">
        <v>212</v>
      </c>
      <c r="I110" s="6" t="s">
        <v>211</v>
      </c>
      <c r="J110" s="6" t="s">
        <v>203</v>
      </c>
      <c r="K110" s="6" t="s">
        <v>261</v>
      </c>
    </row>
    <row r="111" spans="1:11" ht="28.05" customHeight="1">
      <c r="A111" s="5" t="s">
        <v>215</v>
      </c>
      <c r="B111" s="5" t="s">
        <v>183</v>
      </c>
      <c r="C111" s="5" t="s">
        <v>184</v>
      </c>
      <c r="D111" s="5" t="s">
        <v>146</v>
      </c>
      <c r="E111" s="16">
        <v>46661</v>
      </c>
      <c r="F111" s="7">
        <v>3876</v>
      </c>
      <c r="G111" s="5" t="s">
        <v>278</v>
      </c>
      <c r="H111" s="5" t="s">
        <v>279</v>
      </c>
      <c r="I111" s="5" t="s">
        <v>280</v>
      </c>
      <c r="J111" s="5" t="s">
        <v>203</v>
      </c>
      <c r="K111" s="5" t="s">
        <v>261</v>
      </c>
    </row>
    <row r="112" spans="1:11" ht="28.05" customHeight="1">
      <c r="A112" s="6" t="s">
        <v>215</v>
      </c>
      <c r="B112" s="6" t="s">
        <v>183</v>
      </c>
      <c r="C112" s="6" t="s">
        <v>184</v>
      </c>
      <c r="D112" s="6" t="s">
        <v>147</v>
      </c>
      <c r="E112" s="15">
        <v>46661</v>
      </c>
      <c r="F112" s="38">
        <v>9690</v>
      </c>
      <c r="G112" s="6" t="s">
        <v>278</v>
      </c>
      <c r="H112" s="6" t="s">
        <v>279</v>
      </c>
      <c r="I112" s="6" t="s">
        <v>280</v>
      </c>
      <c r="J112" s="6" t="s">
        <v>203</v>
      </c>
      <c r="K112" s="6" t="s">
        <v>261</v>
      </c>
    </row>
    <row r="113" spans="1:11" ht="28.05" customHeight="1">
      <c r="A113" s="5" t="s">
        <v>215</v>
      </c>
      <c r="B113" s="5" t="s">
        <v>183</v>
      </c>
      <c r="C113" s="5" t="s">
        <v>184</v>
      </c>
      <c r="D113" s="5" t="s">
        <v>148</v>
      </c>
      <c r="E113" s="16">
        <v>46661</v>
      </c>
      <c r="F113" s="7">
        <v>6059</v>
      </c>
      <c r="G113" s="5" t="s">
        <v>278</v>
      </c>
      <c r="H113" s="5" t="s">
        <v>279</v>
      </c>
      <c r="I113" s="5" t="s">
        <v>280</v>
      </c>
      <c r="J113" s="5" t="s">
        <v>203</v>
      </c>
      <c r="K113" s="5" t="s">
        <v>261</v>
      </c>
    </row>
    <row r="114" spans="1:11" ht="28.05" customHeight="1">
      <c r="A114" s="6" t="s">
        <v>215</v>
      </c>
      <c r="B114" s="6" t="s">
        <v>183</v>
      </c>
      <c r="C114" s="6" t="s">
        <v>184</v>
      </c>
      <c r="D114" s="6" t="s">
        <v>149</v>
      </c>
      <c r="E114" s="15">
        <v>46661</v>
      </c>
      <c r="F114" s="7">
        <v>5151</v>
      </c>
      <c r="G114" s="6" t="s">
        <v>278</v>
      </c>
      <c r="H114" s="6" t="s">
        <v>279</v>
      </c>
      <c r="I114" s="6" t="s">
        <v>280</v>
      </c>
      <c r="J114" s="6" t="s">
        <v>203</v>
      </c>
      <c r="K114" s="6" t="s">
        <v>261</v>
      </c>
    </row>
    <row r="115" spans="1:11" ht="28.05" customHeight="1">
      <c r="A115" s="5" t="s">
        <v>215</v>
      </c>
      <c r="B115" s="5" t="s">
        <v>183</v>
      </c>
      <c r="C115" s="5" t="s">
        <v>184</v>
      </c>
      <c r="D115" s="5" t="s">
        <v>150</v>
      </c>
      <c r="E115" s="16">
        <v>46661</v>
      </c>
      <c r="F115" s="7">
        <v>3029</v>
      </c>
      <c r="G115" s="5" t="s">
        <v>278</v>
      </c>
      <c r="H115" s="5" t="s">
        <v>279</v>
      </c>
      <c r="I115" s="5" t="s">
        <v>280</v>
      </c>
      <c r="J115" s="5" t="s">
        <v>203</v>
      </c>
      <c r="K115" s="5" t="s">
        <v>261</v>
      </c>
    </row>
    <row r="116" spans="1:11" ht="28.05" customHeight="1">
      <c r="A116" s="6" t="s">
        <v>215</v>
      </c>
      <c r="B116" s="6" t="s">
        <v>183</v>
      </c>
      <c r="C116" s="6" t="s">
        <v>184</v>
      </c>
      <c r="D116" s="6" t="s">
        <v>146</v>
      </c>
      <c r="E116" s="15">
        <v>46692</v>
      </c>
      <c r="F116" s="7">
        <v>3800</v>
      </c>
      <c r="G116" s="6" t="s">
        <v>278</v>
      </c>
      <c r="H116" s="6" t="s">
        <v>279</v>
      </c>
      <c r="I116" s="6" t="s">
        <v>280</v>
      </c>
      <c r="J116" s="6" t="s">
        <v>203</v>
      </c>
      <c r="K116" s="6" t="s">
        <v>261</v>
      </c>
    </row>
    <row r="117" spans="1:11" ht="28.05" customHeight="1">
      <c r="A117" s="5" t="s">
        <v>215</v>
      </c>
      <c r="B117" s="5" t="s">
        <v>183</v>
      </c>
      <c r="C117" s="5" t="s">
        <v>184</v>
      </c>
      <c r="D117" s="5" t="s">
        <v>147</v>
      </c>
      <c r="E117" s="16">
        <v>46692</v>
      </c>
      <c r="F117" s="38">
        <v>9500</v>
      </c>
      <c r="G117" s="5" t="s">
        <v>278</v>
      </c>
      <c r="H117" s="5" t="s">
        <v>279</v>
      </c>
      <c r="I117" s="5" t="s">
        <v>280</v>
      </c>
      <c r="J117" s="5" t="s">
        <v>203</v>
      </c>
      <c r="K117" s="5" t="s">
        <v>261</v>
      </c>
    </row>
    <row r="118" spans="1:11" ht="28.05" customHeight="1">
      <c r="A118" s="6" t="s">
        <v>215</v>
      </c>
      <c r="B118" s="6" t="s">
        <v>183</v>
      </c>
      <c r="C118" s="6" t="s">
        <v>184</v>
      </c>
      <c r="D118" s="6" t="s">
        <v>148</v>
      </c>
      <c r="E118" s="15">
        <v>46692</v>
      </c>
      <c r="F118" s="7">
        <v>5940</v>
      </c>
      <c r="G118" s="6" t="s">
        <v>278</v>
      </c>
      <c r="H118" s="6" t="s">
        <v>279</v>
      </c>
      <c r="I118" s="6" t="s">
        <v>280</v>
      </c>
      <c r="J118" s="6" t="s">
        <v>203</v>
      </c>
      <c r="K118" s="6" t="s">
        <v>261</v>
      </c>
    </row>
    <row r="119" spans="1:11" ht="28.05" customHeight="1">
      <c r="A119" s="5" t="s">
        <v>215</v>
      </c>
      <c r="B119" s="5" t="s">
        <v>183</v>
      </c>
      <c r="C119" s="5" t="s">
        <v>184</v>
      </c>
      <c r="D119" s="5" t="s">
        <v>149</v>
      </c>
      <c r="E119" s="16">
        <v>46692</v>
      </c>
      <c r="F119" s="7">
        <v>5050</v>
      </c>
      <c r="G119" s="5" t="s">
        <v>278</v>
      </c>
      <c r="H119" s="5" t="s">
        <v>279</v>
      </c>
      <c r="I119" s="5" t="s">
        <v>280</v>
      </c>
      <c r="J119" s="5" t="s">
        <v>203</v>
      </c>
      <c r="K119" s="5" t="s">
        <v>261</v>
      </c>
    </row>
    <row r="120" spans="1:11" ht="28.05" customHeight="1">
      <c r="A120" s="6" t="s">
        <v>215</v>
      </c>
      <c r="B120" s="6" t="s">
        <v>183</v>
      </c>
      <c r="C120" s="6" t="s">
        <v>184</v>
      </c>
      <c r="D120" s="6" t="s">
        <v>150</v>
      </c>
      <c r="E120" s="15">
        <v>46692</v>
      </c>
      <c r="F120" s="7">
        <v>2970</v>
      </c>
      <c r="G120" s="6" t="s">
        <v>278</v>
      </c>
      <c r="H120" s="6" t="s">
        <v>279</v>
      </c>
      <c r="I120" s="6" t="s">
        <v>280</v>
      </c>
      <c r="J120" s="6" t="s">
        <v>203</v>
      </c>
      <c r="K120" s="6" t="s">
        <v>261</v>
      </c>
    </row>
    <row r="121" spans="1:11" ht="28.05" customHeight="1">
      <c r="A121" s="5" t="s">
        <v>215</v>
      </c>
      <c r="B121" s="5" t="s">
        <v>183</v>
      </c>
      <c r="C121" s="5" t="s">
        <v>184</v>
      </c>
      <c r="D121" s="5" t="s">
        <v>146</v>
      </c>
      <c r="E121" s="16">
        <v>46722</v>
      </c>
      <c r="F121" s="7">
        <v>3610</v>
      </c>
      <c r="G121" s="5" t="s">
        <v>278</v>
      </c>
      <c r="H121" s="5" t="s">
        <v>279</v>
      </c>
      <c r="I121" s="5" t="s">
        <v>280</v>
      </c>
      <c r="J121" s="5" t="s">
        <v>203</v>
      </c>
      <c r="K121" s="5" t="s">
        <v>261</v>
      </c>
    </row>
    <row r="122" spans="1:11" ht="28.05" customHeight="1">
      <c r="A122" s="6" t="s">
        <v>215</v>
      </c>
      <c r="B122" s="6" t="s">
        <v>183</v>
      </c>
      <c r="C122" s="6" t="s">
        <v>184</v>
      </c>
      <c r="D122" s="6" t="s">
        <v>147</v>
      </c>
      <c r="E122" s="15">
        <v>46722</v>
      </c>
      <c r="F122" s="38">
        <v>9025</v>
      </c>
      <c r="G122" s="6" t="s">
        <v>278</v>
      </c>
      <c r="H122" s="6" t="s">
        <v>279</v>
      </c>
      <c r="I122" s="6" t="s">
        <v>280</v>
      </c>
      <c r="J122" s="6" t="s">
        <v>203</v>
      </c>
      <c r="K122" s="6" t="s">
        <v>261</v>
      </c>
    </row>
    <row r="123" spans="1:11" ht="28.05" customHeight="1">
      <c r="A123" s="5" t="s">
        <v>215</v>
      </c>
      <c r="B123" s="5" t="s">
        <v>183</v>
      </c>
      <c r="C123" s="5" t="s">
        <v>184</v>
      </c>
      <c r="D123" s="5" t="s">
        <v>148</v>
      </c>
      <c r="E123" s="16">
        <v>46722</v>
      </c>
      <c r="F123" s="7">
        <v>5643</v>
      </c>
      <c r="G123" s="5" t="s">
        <v>278</v>
      </c>
      <c r="H123" s="5" t="s">
        <v>279</v>
      </c>
      <c r="I123" s="5" t="s">
        <v>280</v>
      </c>
      <c r="J123" s="5" t="s">
        <v>203</v>
      </c>
      <c r="K123" s="5" t="s">
        <v>261</v>
      </c>
    </row>
    <row r="124" spans="1:11" ht="28.05" customHeight="1">
      <c r="A124" s="6" t="s">
        <v>215</v>
      </c>
      <c r="B124" s="6" t="s">
        <v>183</v>
      </c>
      <c r="C124" s="6" t="s">
        <v>184</v>
      </c>
      <c r="D124" s="6" t="s">
        <v>149</v>
      </c>
      <c r="E124" s="15">
        <v>46722</v>
      </c>
      <c r="F124" s="7">
        <v>4798</v>
      </c>
      <c r="G124" s="6" t="s">
        <v>278</v>
      </c>
      <c r="H124" s="6" t="s">
        <v>279</v>
      </c>
      <c r="I124" s="6" t="s">
        <v>280</v>
      </c>
      <c r="J124" s="6" t="s">
        <v>203</v>
      </c>
      <c r="K124" s="6" t="s">
        <v>261</v>
      </c>
    </row>
    <row r="125" spans="1:11" ht="28.05" customHeight="1">
      <c r="A125" s="5" t="s">
        <v>215</v>
      </c>
      <c r="B125" s="5" t="s">
        <v>183</v>
      </c>
      <c r="C125" s="5" t="s">
        <v>184</v>
      </c>
      <c r="D125" s="5" t="s">
        <v>150</v>
      </c>
      <c r="E125" s="16">
        <v>46722</v>
      </c>
      <c r="F125" s="7">
        <v>2822</v>
      </c>
      <c r="G125" s="5" t="s">
        <v>278</v>
      </c>
      <c r="H125" s="5" t="s">
        <v>279</v>
      </c>
      <c r="I125" s="5" t="s">
        <v>280</v>
      </c>
      <c r="J125" s="5" t="s">
        <v>203</v>
      </c>
      <c r="K125" s="5" t="s">
        <v>261</v>
      </c>
    </row>
    <row r="126" spans="1:11" ht="28.05" customHeight="1">
      <c r="A126" s="6" t="s">
        <v>226</v>
      </c>
      <c r="B126" s="6" t="s">
        <v>183</v>
      </c>
      <c r="C126" s="6" t="s">
        <v>184</v>
      </c>
      <c r="D126" s="6" t="s">
        <v>146</v>
      </c>
      <c r="E126" s="15">
        <v>46388</v>
      </c>
      <c r="F126" s="7">
        <v>4080</v>
      </c>
      <c r="G126" s="6" t="s">
        <v>272</v>
      </c>
      <c r="H126" s="6" t="s">
        <v>273</v>
      </c>
      <c r="I126" s="6" t="s">
        <v>274</v>
      </c>
      <c r="J126" s="6" t="s">
        <v>228</v>
      </c>
      <c r="K126" s="6" t="s">
        <v>261</v>
      </c>
    </row>
    <row r="127" spans="1:11" ht="28.05" customHeight="1">
      <c r="A127" s="5" t="s">
        <v>226</v>
      </c>
      <c r="B127" s="5" t="s">
        <v>183</v>
      </c>
      <c r="C127" s="5" t="s">
        <v>184</v>
      </c>
      <c r="D127" s="5" t="s">
        <v>147</v>
      </c>
      <c r="E127" s="16">
        <v>46388</v>
      </c>
      <c r="F127" s="38">
        <v>10200</v>
      </c>
      <c r="G127" s="5" t="s">
        <v>272</v>
      </c>
      <c r="H127" s="5" t="s">
        <v>273</v>
      </c>
      <c r="I127" s="5" t="s">
        <v>274</v>
      </c>
      <c r="J127" s="5" t="s">
        <v>228</v>
      </c>
      <c r="K127" s="5" t="s">
        <v>261</v>
      </c>
    </row>
    <row r="128" spans="1:11" ht="28.05" customHeight="1">
      <c r="A128" s="6" t="s">
        <v>226</v>
      </c>
      <c r="B128" s="6" t="s">
        <v>183</v>
      </c>
      <c r="C128" s="6" t="s">
        <v>184</v>
      </c>
      <c r="D128" s="6" t="s">
        <v>148</v>
      </c>
      <c r="E128" s="15">
        <v>46388</v>
      </c>
      <c r="F128" s="7">
        <v>6059</v>
      </c>
      <c r="G128" s="6" t="s">
        <v>272</v>
      </c>
      <c r="H128" s="6" t="s">
        <v>273</v>
      </c>
      <c r="I128" s="6" t="s">
        <v>274</v>
      </c>
      <c r="J128" s="6" t="s">
        <v>228</v>
      </c>
      <c r="K128" s="6" t="s">
        <v>261</v>
      </c>
    </row>
    <row r="129" spans="1:11" ht="28.05" customHeight="1">
      <c r="A129" s="5" t="s">
        <v>226</v>
      </c>
      <c r="B129" s="5" t="s">
        <v>183</v>
      </c>
      <c r="C129" s="5" t="s">
        <v>184</v>
      </c>
      <c r="D129" s="5" t="s">
        <v>149</v>
      </c>
      <c r="E129" s="16">
        <v>46388</v>
      </c>
      <c r="F129" s="7">
        <v>5151</v>
      </c>
      <c r="G129" s="5" t="s">
        <v>272</v>
      </c>
      <c r="H129" s="5" t="s">
        <v>273</v>
      </c>
      <c r="I129" s="5" t="s">
        <v>274</v>
      </c>
      <c r="J129" s="5" t="s">
        <v>228</v>
      </c>
      <c r="K129" s="5" t="s">
        <v>261</v>
      </c>
    </row>
    <row r="130" spans="1:11" ht="28.05" customHeight="1">
      <c r="A130" s="6" t="s">
        <v>226</v>
      </c>
      <c r="B130" s="6" t="s">
        <v>183</v>
      </c>
      <c r="C130" s="6" t="s">
        <v>184</v>
      </c>
      <c r="D130" s="6" t="s">
        <v>150</v>
      </c>
      <c r="E130" s="15">
        <v>46388</v>
      </c>
      <c r="F130" s="7">
        <v>3029</v>
      </c>
      <c r="G130" s="6" t="s">
        <v>272</v>
      </c>
      <c r="H130" s="6" t="s">
        <v>273</v>
      </c>
      <c r="I130" s="6" t="s">
        <v>274</v>
      </c>
      <c r="J130" s="6" t="s">
        <v>228</v>
      </c>
      <c r="K130" s="6" t="s">
        <v>261</v>
      </c>
    </row>
    <row r="131" spans="1:11" ht="28.05" customHeight="1">
      <c r="A131" s="5" t="s">
        <v>226</v>
      </c>
      <c r="B131" s="5" t="s">
        <v>183</v>
      </c>
      <c r="C131" s="5" t="s">
        <v>184</v>
      </c>
      <c r="D131" s="5" t="s">
        <v>146</v>
      </c>
      <c r="E131" s="16">
        <v>46419</v>
      </c>
      <c r="F131" s="7">
        <v>3564</v>
      </c>
      <c r="G131" s="5" t="s">
        <v>272</v>
      </c>
      <c r="H131" s="5" t="s">
        <v>273</v>
      </c>
      <c r="I131" s="5" t="s">
        <v>274</v>
      </c>
      <c r="J131" s="5" t="s">
        <v>228</v>
      </c>
      <c r="K131" s="5" t="s">
        <v>261</v>
      </c>
    </row>
    <row r="132" spans="1:11" ht="28.05" customHeight="1">
      <c r="A132" s="6" t="s">
        <v>226</v>
      </c>
      <c r="B132" s="6" t="s">
        <v>183</v>
      </c>
      <c r="C132" s="6" t="s">
        <v>184</v>
      </c>
      <c r="D132" s="6" t="s">
        <v>147</v>
      </c>
      <c r="E132" s="15">
        <v>46419</v>
      </c>
      <c r="F132" s="7">
        <v>8910</v>
      </c>
      <c r="G132" s="6" t="s">
        <v>272</v>
      </c>
      <c r="H132" s="6" t="s">
        <v>273</v>
      </c>
      <c r="I132" s="6" t="s">
        <v>274</v>
      </c>
      <c r="J132" s="6" t="s">
        <v>228</v>
      </c>
      <c r="K132" s="6" t="s">
        <v>261</v>
      </c>
    </row>
    <row r="133" spans="1:11" ht="28.05" customHeight="1">
      <c r="A133" s="5" t="s">
        <v>226</v>
      </c>
      <c r="B133" s="5" t="s">
        <v>183</v>
      </c>
      <c r="C133" s="5" t="s">
        <v>184</v>
      </c>
      <c r="D133" s="5" t="s">
        <v>148</v>
      </c>
      <c r="E133" s="16">
        <v>46419</v>
      </c>
      <c r="F133" s="7">
        <v>5346</v>
      </c>
      <c r="G133" s="5" t="s">
        <v>272</v>
      </c>
      <c r="H133" s="5" t="s">
        <v>273</v>
      </c>
      <c r="I133" s="5" t="s">
        <v>274</v>
      </c>
      <c r="J133" s="5" t="s">
        <v>228</v>
      </c>
      <c r="K133" s="5" t="s">
        <v>261</v>
      </c>
    </row>
    <row r="134" spans="1:11" ht="28.05" customHeight="1">
      <c r="A134" s="6" t="s">
        <v>226</v>
      </c>
      <c r="B134" s="6" t="s">
        <v>183</v>
      </c>
      <c r="C134" s="6" t="s">
        <v>184</v>
      </c>
      <c r="D134" s="6" t="s">
        <v>149</v>
      </c>
      <c r="E134" s="15">
        <v>46419</v>
      </c>
      <c r="F134" s="7">
        <v>4545</v>
      </c>
      <c r="G134" s="6" t="s">
        <v>272</v>
      </c>
      <c r="H134" s="6" t="s">
        <v>273</v>
      </c>
      <c r="I134" s="6" t="s">
        <v>274</v>
      </c>
      <c r="J134" s="6" t="s">
        <v>228</v>
      </c>
      <c r="K134" s="6" t="s">
        <v>261</v>
      </c>
    </row>
    <row r="135" spans="1:11" ht="28.05" customHeight="1">
      <c r="A135" s="5" t="s">
        <v>226</v>
      </c>
      <c r="B135" s="5" t="s">
        <v>183</v>
      </c>
      <c r="C135" s="5" t="s">
        <v>184</v>
      </c>
      <c r="D135" s="5" t="s">
        <v>150</v>
      </c>
      <c r="E135" s="16">
        <v>46419</v>
      </c>
      <c r="F135" s="7">
        <v>2673</v>
      </c>
      <c r="G135" s="5" t="s">
        <v>272</v>
      </c>
      <c r="H135" s="5" t="s">
        <v>273</v>
      </c>
      <c r="I135" s="5" t="s">
        <v>274</v>
      </c>
      <c r="J135" s="5" t="s">
        <v>228</v>
      </c>
      <c r="K135" s="5" t="s">
        <v>261</v>
      </c>
    </row>
    <row r="136" spans="1:11" ht="28.05" customHeight="1">
      <c r="A136" s="6" t="s">
        <v>226</v>
      </c>
      <c r="B136" s="6" t="s">
        <v>183</v>
      </c>
      <c r="C136" s="6" t="s">
        <v>184</v>
      </c>
      <c r="D136" s="6" t="s">
        <v>146</v>
      </c>
      <c r="E136" s="15">
        <v>46447</v>
      </c>
      <c r="F136" s="7">
        <v>4116</v>
      </c>
      <c r="G136" s="6" t="s">
        <v>272</v>
      </c>
      <c r="H136" s="6" t="s">
        <v>273</v>
      </c>
      <c r="I136" s="6" t="s">
        <v>274</v>
      </c>
      <c r="J136" s="6" t="s">
        <v>228</v>
      </c>
      <c r="K136" s="6" t="s">
        <v>261</v>
      </c>
    </row>
    <row r="137" spans="1:11" ht="28.05" customHeight="1">
      <c r="A137" s="5" t="s">
        <v>226</v>
      </c>
      <c r="B137" s="5" t="s">
        <v>183</v>
      </c>
      <c r="C137" s="5" t="s">
        <v>184</v>
      </c>
      <c r="D137" s="5" t="s">
        <v>147</v>
      </c>
      <c r="E137" s="16">
        <v>46447</v>
      </c>
      <c r="F137" s="7">
        <v>10290</v>
      </c>
      <c r="G137" s="5" t="s">
        <v>272</v>
      </c>
      <c r="H137" s="5" t="s">
        <v>273</v>
      </c>
      <c r="I137" s="5" t="s">
        <v>274</v>
      </c>
      <c r="J137" s="5" t="s">
        <v>228</v>
      </c>
      <c r="K137" s="5" t="s">
        <v>261</v>
      </c>
    </row>
    <row r="138" spans="1:11" ht="28.05" customHeight="1">
      <c r="A138" s="6" t="s">
        <v>226</v>
      </c>
      <c r="B138" s="6" t="s">
        <v>183</v>
      </c>
      <c r="C138" s="6" t="s">
        <v>184</v>
      </c>
      <c r="D138" s="6" t="s">
        <v>148</v>
      </c>
      <c r="E138" s="15">
        <v>46447</v>
      </c>
      <c r="F138" s="7">
        <v>6237</v>
      </c>
      <c r="G138" s="6" t="s">
        <v>272</v>
      </c>
      <c r="H138" s="6" t="s">
        <v>273</v>
      </c>
      <c r="I138" s="6" t="s">
        <v>274</v>
      </c>
      <c r="J138" s="6" t="s">
        <v>228</v>
      </c>
      <c r="K138" s="6" t="s">
        <v>261</v>
      </c>
    </row>
    <row r="139" spans="1:11" ht="28.05" customHeight="1">
      <c r="A139" s="5" t="s">
        <v>226</v>
      </c>
      <c r="B139" s="5" t="s">
        <v>183</v>
      </c>
      <c r="C139" s="5" t="s">
        <v>184</v>
      </c>
      <c r="D139" s="5" t="s">
        <v>149</v>
      </c>
      <c r="E139" s="16">
        <v>46447</v>
      </c>
      <c r="F139" s="7">
        <v>5303</v>
      </c>
      <c r="G139" s="5" t="s">
        <v>272</v>
      </c>
      <c r="H139" s="5" t="s">
        <v>273</v>
      </c>
      <c r="I139" s="5" t="s">
        <v>274</v>
      </c>
      <c r="J139" s="5" t="s">
        <v>228</v>
      </c>
      <c r="K139" s="5" t="s">
        <v>261</v>
      </c>
    </row>
    <row r="140" spans="1:11" ht="28.05" customHeight="1">
      <c r="A140" s="6" t="s">
        <v>226</v>
      </c>
      <c r="B140" s="6" t="s">
        <v>183</v>
      </c>
      <c r="C140" s="6" t="s">
        <v>184</v>
      </c>
      <c r="D140" s="6" t="s">
        <v>150</v>
      </c>
      <c r="E140" s="15">
        <v>46447</v>
      </c>
      <c r="F140" s="7">
        <v>3119</v>
      </c>
      <c r="G140" s="6" t="s">
        <v>272</v>
      </c>
      <c r="H140" s="6" t="s">
        <v>273</v>
      </c>
      <c r="I140" s="6" t="s">
        <v>274</v>
      </c>
      <c r="J140" s="6" t="s">
        <v>228</v>
      </c>
      <c r="K140" s="6" t="s">
        <v>261</v>
      </c>
    </row>
    <row r="141" spans="1:11" ht="28.05" customHeight="1">
      <c r="A141" s="5" t="s">
        <v>226</v>
      </c>
      <c r="B141" s="5" t="s">
        <v>183</v>
      </c>
      <c r="C141" s="5" t="s">
        <v>184</v>
      </c>
      <c r="D141" s="5" t="s">
        <v>146</v>
      </c>
      <c r="E141" s="16">
        <v>46478</v>
      </c>
      <c r="F141" s="7">
        <v>3880</v>
      </c>
      <c r="G141" s="5" t="s">
        <v>272</v>
      </c>
      <c r="H141" s="5" t="s">
        <v>273</v>
      </c>
      <c r="I141" s="5" t="s">
        <v>274</v>
      </c>
      <c r="J141" s="5" t="s">
        <v>228</v>
      </c>
      <c r="K141" s="5" t="s">
        <v>261</v>
      </c>
    </row>
    <row r="142" spans="1:11" ht="28.05" customHeight="1">
      <c r="A142" s="6" t="s">
        <v>226</v>
      </c>
      <c r="B142" s="6" t="s">
        <v>183</v>
      </c>
      <c r="C142" s="6" t="s">
        <v>184</v>
      </c>
      <c r="D142" s="6" t="s">
        <v>147</v>
      </c>
      <c r="E142" s="15">
        <v>46478</v>
      </c>
      <c r="F142" s="7">
        <v>9700</v>
      </c>
      <c r="G142" s="6" t="s">
        <v>272</v>
      </c>
      <c r="H142" s="6" t="s">
        <v>273</v>
      </c>
      <c r="I142" s="6" t="s">
        <v>274</v>
      </c>
      <c r="J142" s="6" t="s">
        <v>228</v>
      </c>
      <c r="K142" s="6" t="s">
        <v>261</v>
      </c>
    </row>
    <row r="143" spans="1:11" ht="28.05" customHeight="1">
      <c r="A143" s="5" t="s">
        <v>226</v>
      </c>
      <c r="B143" s="5" t="s">
        <v>183</v>
      </c>
      <c r="C143" s="5" t="s">
        <v>184</v>
      </c>
      <c r="D143" s="5" t="s">
        <v>148</v>
      </c>
      <c r="E143" s="16">
        <v>46478</v>
      </c>
      <c r="F143" s="7">
        <v>5940</v>
      </c>
      <c r="G143" s="5" t="s">
        <v>272</v>
      </c>
      <c r="H143" s="5" t="s">
        <v>273</v>
      </c>
      <c r="I143" s="5" t="s">
        <v>274</v>
      </c>
      <c r="J143" s="5" t="s">
        <v>228</v>
      </c>
      <c r="K143" s="5" t="s">
        <v>261</v>
      </c>
    </row>
    <row r="144" spans="1:11" ht="28.05" customHeight="1">
      <c r="A144" s="6" t="s">
        <v>226</v>
      </c>
      <c r="B144" s="6" t="s">
        <v>183</v>
      </c>
      <c r="C144" s="6" t="s">
        <v>184</v>
      </c>
      <c r="D144" s="6" t="s">
        <v>149</v>
      </c>
      <c r="E144" s="15">
        <v>46478</v>
      </c>
      <c r="F144" s="7">
        <v>5050</v>
      </c>
      <c r="G144" s="6" t="s">
        <v>272</v>
      </c>
      <c r="H144" s="6" t="s">
        <v>273</v>
      </c>
      <c r="I144" s="6" t="s">
        <v>274</v>
      </c>
      <c r="J144" s="6" t="s">
        <v>228</v>
      </c>
      <c r="K144" s="6" t="s">
        <v>261</v>
      </c>
    </row>
    <row r="145" spans="1:11" ht="28.05" customHeight="1">
      <c r="A145" s="5" t="s">
        <v>226</v>
      </c>
      <c r="B145" s="5" t="s">
        <v>183</v>
      </c>
      <c r="C145" s="5" t="s">
        <v>184</v>
      </c>
      <c r="D145" s="5" t="s">
        <v>150</v>
      </c>
      <c r="E145" s="16">
        <v>46478</v>
      </c>
      <c r="F145" s="7">
        <v>2970</v>
      </c>
      <c r="G145" s="5" t="s">
        <v>272</v>
      </c>
      <c r="H145" s="5" t="s">
        <v>273</v>
      </c>
      <c r="I145" s="5" t="s">
        <v>274</v>
      </c>
      <c r="J145" s="5" t="s">
        <v>228</v>
      </c>
      <c r="K145" s="5" t="s">
        <v>261</v>
      </c>
    </row>
    <row r="146" spans="1:11" ht="28.05" customHeight="1">
      <c r="A146" s="6" t="s">
        <v>226</v>
      </c>
      <c r="B146" s="6" t="s">
        <v>183</v>
      </c>
      <c r="C146" s="6" t="s">
        <v>184</v>
      </c>
      <c r="D146" s="6" t="s">
        <v>146</v>
      </c>
      <c r="E146" s="15">
        <v>46508</v>
      </c>
      <c r="F146" s="7">
        <v>3763</v>
      </c>
      <c r="G146" s="6" t="s">
        <v>272</v>
      </c>
      <c r="H146" s="6" t="s">
        <v>273</v>
      </c>
      <c r="I146" s="6" t="s">
        <v>274</v>
      </c>
      <c r="J146" s="6" t="s">
        <v>228</v>
      </c>
      <c r="K146" s="6" t="s">
        <v>261</v>
      </c>
    </row>
    <row r="147" spans="1:11" ht="28.05" customHeight="1">
      <c r="A147" s="5" t="s">
        <v>226</v>
      </c>
      <c r="B147" s="5" t="s">
        <v>183</v>
      </c>
      <c r="C147" s="5" t="s">
        <v>184</v>
      </c>
      <c r="D147" s="5" t="s">
        <v>147</v>
      </c>
      <c r="E147" s="16">
        <v>46508</v>
      </c>
      <c r="F147" s="7">
        <v>9408</v>
      </c>
      <c r="G147" s="5" t="s">
        <v>272</v>
      </c>
      <c r="H147" s="5" t="s">
        <v>273</v>
      </c>
      <c r="I147" s="5" t="s">
        <v>274</v>
      </c>
      <c r="J147" s="5" t="s">
        <v>228</v>
      </c>
      <c r="K147" s="5" t="s">
        <v>261</v>
      </c>
    </row>
    <row r="148" spans="1:11" ht="28.05" customHeight="1">
      <c r="A148" s="6" t="s">
        <v>226</v>
      </c>
      <c r="B148" s="6" t="s">
        <v>183</v>
      </c>
      <c r="C148" s="6" t="s">
        <v>184</v>
      </c>
      <c r="D148" s="6" t="s">
        <v>148</v>
      </c>
      <c r="E148" s="15">
        <v>46508</v>
      </c>
      <c r="F148" s="7">
        <v>5821</v>
      </c>
      <c r="G148" s="6" t="s">
        <v>272</v>
      </c>
      <c r="H148" s="6" t="s">
        <v>273</v>
      </c>
      <c r="I148" s="6" t="s">
        <v>274</v>
      </c>
      <c r="J148" s="6" t="s">
        <v>228</v>
      </c>
      <c r="K148" s="6" t="s">
        <v>261</v>
      </c>
    </row>
    <row r="149" spans="1:11" ht="28.05" customHeight="1">
      <c r="A149" s="5" t="s">
        <v>226</v>
      </c>
      <c r="B149" s="5" t="s">
        <v>183</v>
      </c>
      <c r="C149" s="5" t="s">
        <v>184</v>
      </c>
      <c r="D149" s="5" t="s">
        <v>149</v>
      </c>
      <c r="E149" s="16">
        <v>46508</v>
      </c>
      <c r="F149" s="7">
        <v>4949</v>
      </c>
      <c r="G149" s="5" t="s">
        <v>272</v>
      </c>
      <c r="H149" s="5" t="s">
        <v>273</v>
      </c>
      <c r="I149" s="5" t="s">
        <v>274</v>
      </c>
      <c r="J149" s="5" t="s">
        <v>228</v>
      </c>
      <c r="K149" s="5" t="s">
        <v>261</v>
      </c>
    </row>
    <row r="150" spans="1:11" ht="28.05" customHeight="1">
      <c r="A150" s="6" t="s">
        <v>226</v>
      </c>
      <c r="B150" s="6" t="s">
        <v>183</v>
      </c>
      <c r="C150" s="6" t="s">
        <v>184</v>
      </c>
      <c r="D150" s="6" t="s">
        <v>150</v>
      </c>
      <c r="E150" s="15">
        <v>46508</v>
      </c>
      <c r="F150" s="7">
        <v>2911</v>
      </c>
      <c r="G150" s="6" t="s">
        <v>272</v>
      </c>
      <c r="H150" s="6" t="s">
        <v>273</v>
      </c>
      <c r="I150" s="6" t="s">
        <v>274</v>
      </c>
      <c r="J150" s="6" t="s">
        <v>228</v>
      </c>
      <c r="K150" s="6" t="s">
        <v>261</v>
      </c>
    </row>
    <row r="151" spans="1:11" ht="37.950000000000003" customHeight="1">
      <c r="A151" s="5" t="s">
        <v>226</v>
      </c>
      <c r="B151" s="5" t="s">
        <v>183</v>
      </c>
      <c r="C151" s="5" t="s">
        <v>184</v>
      </c>
      <c r="D151" s="5" t="s">
        <v>146</v>
      </c>
      <c r="E151" s="16">
        <v>46539</v>
      </c>
      <c r="F151" s="7">
        <v>3800</v>
      </c>
      <c r="G151" s="5" t="s">
        <v>275</v>
      </c>
      <c r="H151" s="5" t="s">
        <v>276</v>
      </c>
      <c r="I151" s="5" t="s">
        <v>277</v>
      </c>
      <c r="J151" s="5" t="s">
        <v>228</v>
      </c>
      <c r="K151" s="5" t="s">
        <v>261</v>
      </c>
    </row>
    <row r="152" spans="1:11" ht="37.950000000000003" customHeight="1">
      <c r="A152" s="6" t="s">
        <v>226</v>
      </c>
      <c r="B152" s="6" t="s">
        <v>183</v>
      </c>
      <c r="C152" s="6" t="s">
        <v>184</v>
      </c>
      <c r="D152" s="6" t="s">
        <v>147</v>
      </c>
      <c r="E152" s="15">
        <v>46539</v>
      </c>
      <c r="F152" s="7">
        <v>9500</v>
      </c>
      <c r="G152" s="6" t="s">
        <v>275</v>
      </c>
      <c r="H152" s="6" t="s">
        <v>276</v>
      </c>
      <c r="I152" s="6" t="s">
        <v>277</v>
      </c>
      <c r="J152" s="6" t="s">
        <v>228</v>
      </c>
      <c r="K152" s="6" t="s">
        <v>261</v>
      </c>
    </row>
    <row r="153" spans="1:11" ht="37.950000000000003" customHeight="1">
      <c r="A153" s="5" t="s">
        <v>226</v>
      </c>
      <c r="B153" s="5" t="s">
        <v>183</v>
      </c>
      <c r="C153" s="5" t="s">
        <v>184</v>
      </c>
      <c r="D153" s="5" t="s">
        <v>148</v>
      </c>
      <c r="E153" s="16">
        <v>46539</v>
      </c>
      <c r="F153" s="7">
        <v>5940</v>
      </c>
      <c r="G153" s="5" t="s">
        <v>275</v>
      </c>
      <c r="H153" s="5" t="s">
        <v>276</v>
      </c>
      <c r="I153" s="5" t="s">
        <v>277</v>
      </c>
      <c r="J153" s="5" t="s">
        <v>228</v>
      </c>
      <c r="K153" s="5" t="s">
        <v>261</v>
      </c>
    </row>
    <row r="154" spans="1:11" ht="37.950000000000003" customHeight="1">
      <c r="A154" s="6" t="s">
        <v>226</v>
      </c>
      <c r="B154" s="6" t="s">
        <v>183</v>
      </c>
      <c r="C154" s="6" t="s">
        <v>184</v>
      </c>
      <c r="D154" s="6" t="s">
        <v>149</v>
      </c>
      <c r="E154" s="15">
        <v>46539</v>
      </c>
      <c r="F154" s="7">
        <v>5050</v>
      </c>
      <c r="G154" s="6" t="s">
        <v>275</v>
      </c>
      <c r="H154" s="6" t="s">
        <v>276</v>
      </c>
      <c r="I154" s="6" t="s">
        <v>277</v>
      </c>
      <c r="J154" s="6" t="s">
        <v>228</v>
      </c>
      <c r="K154" s="6" t="s">
        <v>261</v>
      </c>
    </row>
    <row r="155" spans="1:11" ht="37.950000000000003" customHeight="1">
      <c r="A155" s="5" t="s">
        <v>226</v>
      </c>
      <c r="B155" s="5" t="s">
        <v>183</v>
      </c>
      <c r="C155" s="5" t="s">
        <v>184</v>
      </c>
      <c r="D155" s="5" t="s">
        <v>150</v>
      </c>
      <c r="E155" s="16">
        <v>46539</v>
      </c>
      <c r="F155" s="7">
        <v>2970</v>
      </c>
      <c r="G155" s="5" t="s">
        <v>275</v>
      </c>
      <c r="H155" s="5" t="s">
        <v>276</v>
      </c>
      <c r="I155" s="5" t="s">
        <v>277</v>
      </c>
      <c r="J155" s="5" t="s">
        <v>228</v>
      </c>
      <c r="K155" s="5" t="s">
        <v>261</v>
      </c>
    </row>
    <row r="156" spans="1:11" ht="28.05" customHeight="1">
      <c r="A156" s="6" t="s">
        <v>226</v>
      </c>
      <c r="B156" s="6" t="s">
        <v>183</v>
      </c>
      <c r="C156" s="6" t="s">
        <v>184</v>
      </c>
      <c r="D156" s="6" t="s">
        <v>146</v>
      </c>
      <c r="E156" s="15">
        <v>46569</v>
      </c>
      <c r="F156" s="7">
        <v>3800</v>
      </c>
      <c r="G156" s="6" t="s">
        <v>278</v>
      </c>
      <c r="H156" s="6" t="s">
        <v>224</v>
      </c>
      <c r="I156" s="6" t="s">
        <v>211</v>
      </c>
      <c r="J156" s="6" t="s">
        <v>228</v>
      </c>
      <c r="K156" s="6" t="s">
        <v>261</v>
      </c>
    </row>
    <row r="157" spans="1:11" ht="28.05" customHeight="1">
      <c r="A157" s="5" t="s">
        <v>226</v>
      </c>
      <c r="B157" s="5" t="s">
        <v>183</v>
      </c>
      <c r="C157" s="5" t="s">
        <v>184</v>
      </c>
      <c r="D157" s="5" t="s">
        <v>147</v>
      </c>
      <c r="E157" s="16">
        <v>46569</v>
      </c>
      <c r="F157" s="38">
        <v>8800</v>
      </c>
      <c r="G157" s="5" t="s">
        <v>278</v>
      </c>
      <c r="H157" s="5" t="s">
        <v>224</v>
      </c>
      <c r="I157" s="5" t="s">
        <v>211</v>
      </c>
      <c r="J157" s="5" t="s">
        <v>228</v>
      </c>
      <c r="K157" s="5" t="s">
        <v>261</v>
      </c>
    </row>
    <row r="158" spans="1:11" ht="28.05" customHeight="1">
      <c r="A158" s="6" t="s">
        <v>226</v>
      </c>
      <c r="B158" s="6" t="s">
        <v>183</v>
      </c>
      <c r="C158" s="6" t="s">
        <v>184</v>
      </c>
      <c r="D158" s="6" t="s">
        <v>148</v>
      </c>
      <c r="E158" s="15">
        <v>46569</v>
      </c>
      <c r="F158" s="7">
        <v>5940</v>
      </c>
      <c r="G158" s="6" t="s">
        <v>278</v>
      </c>
      <c r="H158" s="6" t="s">
        <v>224</v>
      </c>
      <c r="I158" s="6" t="s">
        <v>211</v>
      </c>
      <c r="J158" s="6" t="s">
        <v>228</v>
      </c>
      <c r="K158" s="6" t="s">
        <v>261</v>
      </c>
    </row>
    <row r="159" spans="1:11" ht="28.05" customHeight="1">
      <c r="A159" s="5" t="s">
        <v>226</v>
      </c>
      <c r="B159" s="5" t="s">
        <v>183</v>
      </c>
      <c r="C159" s="5" t="s">
        <v>184</v>
      </c>
      <c r="D159" s="5" t="s">
        <v>149</v>
      </c>
      <c r="E159" s="16">
        <v>46569</v>
      </c>
      <c r="F159" s="7">
        <v>5050</v>
      </c>
      <c r="G159" s="5" t="s">
        <v>278</v>
      </c>
      <c r="H159" s="5" t="s">
        <v>224</v>
      </c>
      <c r="I159" s="5" t="s">
        <v>211</v>
      </c>
      <c r="J159" s="5" t="s">
        <v>228</v>
      </c>
      <c r="K159" s="5" t="s">
        <v>261</v>
      </c>
    </row>
    <row r="160" spans="1:11" ht="28.05" customHeight="1">
      <c r="A160" s="6" t="s">
        <v>226</v>
      </c>
      <c r="B160" s="6" t="s">
        <v>183</v>
      </c>
      <c r="C160" s="6" t="s">
        <v>184</v>
      </c>
      <c r="D160" s="6" t="s">
        <v>150</v>
      </c>
      <c r="E160" s="15">
        <v>46569</v>
      </c>
      <c r="F160" s="7">
        <v>2970</v>
      </c>
      <c r="G160" s="6" t="s">
        <v>278</v>
      </c>
      <c r="H160" s="6" t="s">
        <v>224</v>
      </c>
      <c r="I160" s="6" t="s">
        <v>211</v>
      </c>
      <c r="J160" s="6" t="s">
        <v>228</v>
      </c>
      <c r="K160" s="6" t="s">
        <v>261</v>
      </c>
    </row>
    <row r="161" spans="1:11" ht="28.05" customHeight="1">
      <c r="A161" s="5" t="s">
        <v>226</v>
      </c>
      <c r="B161" s="5" t="s">
        <v>183</v>
      </c>
      <c r="C161" s="5" t="s">
        <v>184</v>
      </c>
      <c r="D161" s="5" t="s">
        <v>146</v>
      </c>
      <c r="E161" s="16">
        <v>46600</v>
      </c>
      <c r="F161" s="7">
        <v>3496</v>
      </c>
      <c r="G161" s="5" t="s">
        <v>278</v>
      </c>
      <c r="H161" s="5" t="s">
        <v>224</v>
      </c>
      <c r="I161" s="5" t="s">
        <v>211</v>
      </c>
      <c r="J161" s="5" t="s">
        <v>228</v>
      </c>
      <c r="K161" s="5" t="s">
        <v>261</v>
      </c>
    </row>
    <row r="162" spans="1:11" ht="28.05" customHeight="1">
      <c r="A162" s="6" t="s">
        <v>226</v>
      </c>
      <c r="B162" s="6" t="s">
        <v>183</v>
      </c>
      <c r="C162" s="6" t="s">
        <v>184</v>
      </c>
      <c r="D162" s="6" t="s">
        <v>147</v>
      </c>
      <c r="E162" s="15">
        <v>46600</v>
      </c>
      <c r="F162" s="38">
        <v>8740</v>
      </c>
      <c r="G162" s="6" t="s">
        <v>278</v>
      </c>
      <c r="H162" s="6" t="s">
        <v>224</v>
      </c>
      <c r="I162" s="6" t="s">
        <v>211</v>
      </c>
      <c r="J162" s="6" t="s">
        <v>228</v>
      </c>
      <c r="K162" s="6" t="s">
        <v>261</v>
      </c>
    </row>
    <row r="163" spans="1:11" ht="28.05" customHeight="1">
      <c r="A163" s="5" t="s">
        <v>226</v>
      </c>
      <c r="B163" s="5" t="s">
        <v>183</v>
      </c>
      <c r="C163" s="5" t="s">
        <v>184</v>
      </c>
      <c r="D163" s="5" t="s">
        <v>148</v>
      </c>
      <c r="E163" s="16">
        <v>46600</v>
      </c>
      <c r="F163" s="7">
        <v>5465</v>
      </c>
      <c r="G163" s="5" t="s">
        <v>278</v>
      </c>
      <c r="H163" s="5" t="s">
        <v>224</v>
      </c>
      <c r="I163" s="5" t="s">
        <v>211</v>
      </c>
      <c r="J163" s="5" t="s">
        <v>228</v>
      </c>
      <c r="K163" s="5" t="s">
        <v>261</v>
      </c>
    </row>
    <row r="164" spans="1:11" ht="28.05" customHeight="1">
      <c r="A164" s="6" t="s">
        <v>226</v>
      </c>
      <c r="B164" s="6" t="s">
        <v>183</v>
      </c>
      <c r="C164" s="6" t="s">
        <v>184</v>
      </c>
      <c r="D164" s="6" t="s">
        <v>149</v>
      </c>
      <c r="E164" s="15">
        <v>46600</v>
      </c>
      <c r="F164" s="7">
        <v>4646</v>
      </c>
      <c r="G164" s="6" t="s">
        <v>278</v>
      </c>
      <c r="H164" s="6" t="s">
        <v>224</v>
      </c>
      <c r="I164" s="6" t="s">
        <v>211</v>
      </c>
      <c r="J164" s="6" t="s">
        <v>228</v>
      </c>
      <c r="K164" s="6" t="s">
        <v>261</v>
      </c>
    </row>
    <row r="165" spans="1:11" ht="28.05" customHeight="1">
      <c r="A165" s="5" t="s">
        <v>226</v>
      </c>
      <c r="B165" s="5" t="s">
        <v>183</v>
      </c>
      <c r="C165" s="5" t="s">
        <v>184</v>
      </c>
      <c r="D165" s="5" t="s">
        <v>150</v>
      </c>
      <c r="E165" s="16">
        <v>46600</v>
      </c>
      <c r="F165" s="7">
        <v>2732</v>
      </c>
      <c r="G165" s="5" t="s">
        <v>278</v>
      </c>
      <c r="H165" s="5" t="s">
        <v>224</v>
      </c>
      <c r="I165" s="5" t="s">
        <v>211</v>
      </c>
      <c r="J165" s="5" t="s">
        <v>228</v>
      </c>
      <c r="K165" s="5" t="s">
        <v>261</v>
      </c>
    </row>
    <row r="166" spans="1:11" ht="28.05" customHeight="1">
      <c r="A166" s="6" t="s">
        <v>226</v>
      </c>
      <c r="B166" s="6" t="s">
        <v>183</v>
      </c>
      <c r="C166" s="6" t="s">
        <v>184</v>
      </c>
      <c r="D166" s="6" t="s">
        <v>146</v>
      </c>
      <c r="E166" s="15">
        <v>46631</v>
      </c>
      <c r="F166" s="7">
        <v>3914</v>
      </c>
      <c r="G166" s="6" t="s">
        <v>278</v>
      </c>
      <c r="H166" s="6" t="s">
        <v>224</v>
      </c>
      <c r="I166" s="6" t="s">
        <v>211</v>
      </c>
      <c r="J166" s="6" t="s">
        <v>228</v>
      </c>
      <c r="K166" s="6" t="s">
        <v>261</v>
      </c>
    </row>
    <row r="167" spans="1:11" ht="28.05" customHeight="1">
      <c r="A167" s="5" t="s">
        <v>226</v>
      </c>
      <c r="B167" s="5" t="s">
        <v>183</v>
      </c>
      <c r="C167" s="5" t="s">
        <v>184</v>
      </c>
      <c r="D167" s="5" t="s">
        <v>147</v>
      </c>
      <c r="E167" s="16">
        <v>46631</v>
      </c>
      <c r="F167" s="38">
        <v>9785</v>
      </c>
      <c r="G167" s="5" t="s">
        <v>278</v>
      </c>
      <c r="H167" s="5" t="s">
        <v>224</v>
      </c>
      <c r="I167" s="5" t="s">
        <v>211</v>
      </c>
      <c r="J167" s="5" t="s">
        <v>228</v>
      </c>
      <c r="K167" s="5" t="s">
        <v>261</v>
      </c>
    </row>
    <row r="168" spans="1:11" ht="28.05" customHeight="1">
      <c r="A168" s="6" t="s">
        <v>226</v>
      </c>
      <c r="B168" s="6" t="s">
        <v>183</v>
      </c>
      <c r="C168" s="6" t="s">
        <v>184</v>
      </c>
      <c r="D168" s="6" t="s">
        <v>148</v>
      </c>
      <c r="E168" s="15">
        <v>46631</v>
      </c>
      <c r="F168" s="7">
        <v>6118</v>
      </c>
      <c r="G168" s="6" t="s">
        <v>278</v>
      </c>
      <c r="H168" s="6" t="s">
        <v>224</v>
      </c>
      <c r="I168" s="6" t="s">
        <v>211</v>
      </c>
      <c r="J168" s="6" t="s">
        <v>228</v>
      </c>
      <c r="K168" s="6" t="s">
        <v>261</v>
      </c>
    </row>
    <row r="169" spans="1:11" ht="28.05" customHeight="1">
      <c r="A169" s="5" t="s">
        <v>226</v>
      </c>
      <c r="B169" s="5" t="s">
        <v>183</v>
      </c>
      <c r="C169" s="5" t="s">
        <v>184</v>
      </c>
      <c r="D169" s="5" t="s">
        <v>149</v>
      </c>
      <c r="E169" s="16">
        <v>46631</v>
      </c>
      <c r="F169" s="7">
        <v>5202</v>
      </c>
      <c r="G169" s="5" t="s">
        <v>278</v>
      </c>
      <c r="H169" s="5" t="s">
        <v>224</v>
      </c>
      <c r="I169" s="5" t="s">
        <v>211</v>
      </c>
      <c r="J169" s="5" t="s">
        <v>228</v>
      </c>
      <c r="K169" s="5" t="s">
        <v>261</v>
      </c>
    </row>
    <row r="170" spans="1:11" ht="28.05" customHeight="1">
      <c r="A170" s="6" t="s">
        <v>226</v>
      </c>
      <c r="B170" s="6" t="s">
        <v>183</v>
      </c>
      <c r="C170" s="6" t="s">
        <v>184</v>
      </c>
      <c r="D170" s="6" t="s">
        <v>150</v>
      </c>
      <c r="E170" s="15">
        <v>46631</v>
      </c>
      <c r="F170" s="7">
        <v>3059</v>
      </c>
      <c r="G170" s="6" t="s">
        <v>278</v>
      </c>
      <c r="H170" s="6" t="s">
        <v>224</v>
      </c>
      <c r="I170" s="6" t="s">
        <v>211</v>
      </c>
      <c r="J170" s="6" t="s">
        <v>228</v>
      </c>
      <c r="K170" s="6" t="s">
        <v>261</v>
      </c>
    </row>
    <row r="171" spans="1:11" ht="28.05" customHeight="1">
      <c r="A171" s="5" t="s">
        <v>226</v>
      </c>
      <c r="B171" s="5" t="s">
        <v>183</v>
      </c>
      <c r="C171" s="5" t="s">
        <v>184</v>
      </c>
      <c r="D171" s="5" t="s">
        <v>146</v>
      </c>
      <c r="E171" s="16">
        <v>46661</v>
      </c>
      <c r="F171" s="7">
        <v>3876</v>
      </c>
      <c r="G171" s="5" t="s">
        <v>278</v>
      </c>
      <c r="H171" s="5" t="s">
        <v>279</v>
      </c>
      <c r="I171" s="5" t="s">
        <v>280</v>
      </c>
      <c r="J171" s="5" t="s">
        <v>228</v>
      </c>
      <c r="K171" s="5" t="s">
        <v>261</v>
      </c>
    </row>
    <row r="172" spans="1:11" ht="28.05" customHeight="1">
      <c r="A172" s="6" t="s">
        <v>226</v>
      </c>
      <c r="B172" s="6" t="s">
        <v>183</v>
      </c>
      <c r="C172" s="6" t="s">
        <v>184</v>
      </c>
      <c r="D172" s="6" t="s">
        <v>147</v>
      </c>
      <c r="E172" s="15">
        <v>46661</v>
      </c>
      <c r="F172" s="38">
        <v>9690</v>
      </c>
      <c r="G172" s="6" t="s">
        <v>278</v>
      </c>
      <c r="H172" s="6" t="s">
        <v>279</v>
      </c>
      <c r="I172" s="6" t="s">
        <v>280</v>
      </c>
      <c r="J172" s="6" t="s">
        <v>228</v>
      </c>
      <c r="K172" s="6" t="s">
        <v>261</v>
      </c>
    </row>
    <row r="173" spans="1:11" ht="28.05" customHeight="1">
      <c r="A173" s="5" t="s">
        <v>226</v>
      </c>
      <c r="B173" s="5" t="s">
        <v>183</v>
      </c>
      <c r="C173" s="5" t="s">
        <v>184</v>
      </c>
      <c r="D173" s="5" t="s">
        <v>148</v>
      </c>
      <c r="E173" s="16">
        <v>46661</v>
      </c>
      <c r="F173" s="7">
        <v>6059</v>
      </c>
      <c r="G173" s="5" t="s">
        <v>278</v>
      </c>
      <c r="H173" s="5" t="s">
        <v>279</v>
      </c>
      <c r="I173" s="5" t="s">
        <v>280</v>
      </c>
      <c r="J173" s="5" t="s">
        <v>228</v>
      </c>
      <c r="K173" s="5" t="s">
        <v>261</v>
      </c>
    </row>
    <row r="174" spans="1:11" ht="28.05" customHeight="1">
      <c r="A174" s="6" t="s">
        <v>226</v>
      </c>
      <c r="B174" s="6" t="s">
        <v>183</v>
      </c>
      <c r="C174" s="6" t="s">
        <v>184</v>
      </c>
      <c r="D174" s="6" t="s">
        <v>149</v>
      </c>
      <c r="E174" s="15">
        <v>46661</v>
      </c>
      <c r="F174" s="7">
        <v>5151</v>
      </c>
      <c r="G174" s="6" t="s">
        <v>278</v>
      </c>
      <c r="H174" s="6" t="s">
        <v>279</v>
      </c>
      <c r="I174" s="6" t="s">
        <v>280</v>
      </c>
      <c r="J174" s="6" t="s">
        <v>228</v>
      </c>
      <c r="K174" s="6" t="s">
        <v>261</v>
      </c>
    </row>
    <row r="175" spans="1:11" ht="28.05" customHeight="1">
      <c r="A175" s="5" t="s">
        <v>226</v>
      </c>
      <c r="B175" s="5" t="s">
        <v>183</v>
      </c>
      <c r="C175" s="5" t="s">
        <v>184</v>
      </c>
      <c r="D175" s="5" t="s">
        <v>150</v>
      </c>
      <c r="E175" s="16">
        <v>46661</v>
      </c>
      <c r="F175" s="7">
        <v>3029</v>
      </c>
      <c r="G175" s="5" t="s">
        <v>278</v>
      </c>
      <c r="H175" s="5" t="s">
        <v>279</v>
      </c>
      <c r="I175" s="5" t="s">
        <v>280</v>
      </c>
      <c r="J175" s="5" t="s">
        <v>228</v>
      </c>
      <c r="K175" s="5" t="s">
        <v>261</v>
      </c>
    </row>
    <row r="176" spans="1:11" ht="28.05" customHeight="1">
      <c r="A176" s="6" t="s">
        <v>226</v>
      </c>
      <c r="B176" s="6" t="s">
        <v>183</v>
      </c>
      <c r="C176" s="6" t="s">
        <v>184</v>
      </c>
      <c r="D176" s="6" t="s">
        <v>146</v>
      </c>
      <c r="E176" s="15">
        <v>46692</v>
      </c>
      <c r="F176" s="7">
        <v>3800</v>
      </c>
      <c r="G176" s="6" t="s">
        <v>278</v>
      </c>
      <c r="H176" s="6" t="s">
        <v>279</v>
      </c>
      <c r="I176" s="6" t="s">
        <v>280</v>
      </c>
      <c r="J176" s="6" t="s">
        <v>228</v>
      </c>
      <c r="K176" s="6" t="s">
        <v>261</v>
      </c>
    </row>
    <row r="177" spans="1:11" ht="28.05" customHeight="1">
      <c r="A177" s="5" t="s">
        <v>226</v>
      </c>
      <c r="B177" s="5" t="s">
        <v>183</v>
      </c>
      <c r="C177" s="5" t="s">
        <v>184</v>
      </c>
      <c r="D177" s="5" t="s">
        <v>147</v>
      </c>
      <c r="E177" s="16">
        <v>46692</v>
      </c>
      <c r="F177" s="38">
        <v>9500</v>
      </c>
      <c r="G177" s="5" t="s">
        <v>278</v>
      </c>
      <c r="H177" s="5" t="s">
        <v>279</v>
      </c>
      <c r="I177" s="5" t="s">
        <v>280</v>
      </c>
      <c r="J177" s="5" t="s">
        <v>228</v>
      </c>
      <c r="K177" s="5" t="s">
        <v>261</v>
      </c>
    </row>
    <row r="178" spans="1:11" ht="28.05" customHeight="1">
      <c r="A178" s="6" t="s">
        <v>226</v>
      </c>
      <c r="B178" s="6" t="s">
        <v>183</v>
      </c>
      <c r="C178" s="6" t="s">
        <v>184</v>
      </c>
      <c r="D178" s="6" t="s">
        <v>148</v>
      </c>
      <c r="E178" s="15">
        <v>46692</v>
      </c>
      <c r="F178" s="7">
        <v>5940</v>
      </c>
      <c r="G178" s="6" t="s">
        <v>278</v>
      </c>
      <c r="H178" s="6" t="s">
        <v>279</v>
      </c>
      <c r="I178" s="6" t="s">
        <v>280</v>
      </c>
      <c r="J178" s="6" t="s">
        <v>228</v>
      </c>
      <c r="K178" s="6" t="s">
        <v>261</v>
      </c>
    </row>
    <row r="179" spans="1:11" ht="28.05" customHeight="1">
      <c r="A179" s="5" t="s">
        <v>226</v>
      </c>
      <c r="B179" s="5" t="s">
        <v>183</v>
      </c>
      <c r="C179" s="5" t="s">
        <v>184</v>
      </c>
      <c r="D179" s="5" t="s">
        <v>149</v>
      </c>
      <c r="E179" s="16">
        <v>46692</v>
      </c>
      <c r="F179" s="7">
        <v>5050</v>
      </c>
      <c r="G179" s="5" t="s">
        <v>278</v>
      </c>
      <c r="H179" s="5" t="s">
        <v>279</v>
      </c>
      <c r="I179" s="5" t="s">
        <v>280</v>
      </c>
      <c r="J179" s="5" t="s">
        <v>228</v>
      </c>
      <c r="K179" s="5" t="s">
        <v>261</v>
      </c>
    </row>
    <row r="180" spans="1:11" ht="28.05" customHeight="1">
      <c r="A180" s="6" t="s">
        <v>226</v>
      </c>
      <c r="B180" s="6" t="s">
        <v>183</v>
      </c>
      <c r="C180" s="6" t="s">
        <v>184</v>
      </c>
      <c r="D180" s="6" t="s">
        <v>150</v>
      </c>
      <c r="E180" s="15">
        <v>46692</v>
      </c>
      <c r="F180" s="7">
        <v>2970</v>
      </c>
      <c r="G180" s="6" t="s">
        <v>278</v>
      </c>
      <c r="H180" s="6" t="s">
        <v>279</v>
      </c>
      <c r="I180" s="6" t="s">
        <v>280</v>
      </c>
      <c r="J180" s="6" t="s">
        <v>228</v>
      </c>
      <c r="K180" s="6" t="s">
        <v>261</v>
      </c>
    </row>
    <row r="181" spans="1:11" ht="28.05" customHeight="1">
      <c r="A181" s="5" t="s">
        <v>226</v>
      </c>
      <c r="B181" s="5" t="s">
        <v>183</v>
      </c>
      <c r="C181" s="5" t="s">
        <v>184</v>
      </c>
      <c r="D181" s="5" t="s">
        <v>146</v>
      </c>
      <c r="E181" s="16">
        <v>46722</v>
      </c>
      <c r="F181" s="7">
        <v>3610</v>
      </c>
      <c r="G181" s="5" t="s">
        <v>278</v>
      </c>
      <c r="H181" s="5" t="s">
        <v>279</v>
      </c>
      <c r="I181" s="5" t="s">
        <v>280</v>
      </c>
      <c r="J181" s="5" t="s">
        <v>228</v>
      </c>
      <c r="K181" s="5" t="s">
        <v>261</v>
      </c>
    </row>
    <row r="182" spans="1:11" ht="28.05" customHeight="1">
      <c r="A182" s="6" t="s">
        <v>226</v>
      </c>
      <c r="B182" s="6" t="s">
        <v>183</v>
      </c>
      <c r="C182" s="6" t="s">
        <v>184</v>
      </c>
      <c r="D182" s="6" t="s">
        <v>147</v>
      </c>
      <c r="E182" s="15">
        <v>46722</v>
      </c>
      <c r="F182" s="38">
        <v>9025</v>
      </c>
      <c r="G182" s="6" t="s">
        <v>278</v>
      </c>
      <c r="H182" s="6" t="s">
        <v>279</v>
      </c>
      <c r="I182" s="6" t="s">
        <v>280</v>
      </c>
      <c r="J182" s="6" t="s">
        <v>228</v>
      </c>
      <c r="K182" s="6" t="s">
        <v>261</v>
      </c>
    </row>
    <row r="183" spans="1:11" ht="28.05" customHeight="1">
      <c r="A183" s="5" t="s">
        <v>226</v>
      </c>
      <c r="B183" s="5" t="s">
        <v>183</v>
      </c>
      <c r="C183" s="5" t="s">
        <v>184</v>
      </c>
      <c r="D183" s="5" t="s">
        <v>148</v>
      </c>
      <c r="E183" s="16">
        <v>46722</v>
      </c>
      <c r="F183" s="7">
        <v>5643</v>
      </c>
      <c r="G183" s="5" t="s">
        <v>278</v>
      </c>
      <c r="H183" s="5" t="s">
        <v>279</v>
      </c>
      <c r="I183" s="5" t="s">
        <v>280</v>
      </c>
      <c r="J183" s="5" t="s">
        <v>228</v>
      </c>
      <c r="K183" s="5" t="s">
        <v>261</v>
      </c>
    </row>
    <row r="184" spans="1:11" ht="28.05" customHeight="1">
      <c r="A184" s="6" t="s">
        <v>226</v>
      </c>
      <c r="B184" s="6" t="s">
        <v>183</v>
      </c>
      <c r="C184" s="6" t="s">
        <v>184</v>
      </c>
      <c r="D184" s="6" t="s">
        <v>149</v>
      </c>
      <c r="E184" s="15">
        <v>46722</v>
      </c>
      <c r="F184" s="7">
        <v>4798</v>
      </c>
      <c r="G184" s="6" t="s">
        <v>278</v>
      </c>
      <c r="H184" s="6" t="s">
        <v>279</v>
      </c>
      <c r="I184" s="6" t="s">
        <v>280</v>
      </c>
      <c r="J184" s="6" t="s">
        <v>228</v>
      </c>
      <c r="K184" s="6" t="s">
        <v>261</v>
      </c>
    </row>
    <row r="185" spans="1:11" ht="28.05" customHeight="1">
      <c r="A185" s="5" t="s">
        <v>226</v>
      </c>
      <c r="B185" s="5" t="s">
        <v>183</v>
      </c>
      <c r="C185" s="5" t="s">
        <v>184</v>
      </c>
      <c r="D185" s="5" t="s">
        <v>150</v>
      </c>
      <c r="E185" s="16">
        <v>46722</v>
      </c>
      <c r="F185" s="7">
        <v>2822</v>
      </c>
      <c r="G185" s="5" t="s">
        <v>278</v>
      </c>
      <c r="H185" s="5" t="s">
        <v>279</v>
      </c>
      <c r="I185" s="5" t="s">
        <v>280</v>
      </c>
      <c r="J185" s="5" t="s">
        <v>228</v>
      </c>
      <c r="K185" s="5" t="s">
        <v>261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0" customWidth="1"/>
    <col min="2" max="2" width="18" customWidth="1"/>
    <col min="3" max="3" width="15" customWidth="1"/>
    <col min="4" max="4" width="17" customWidth="1"/>
    <col min="5" max="5" width="18" customWidth="1"/>
    <col min="6" max="6" width="20" customWidth="1"/>
    <col min="7" max="7" width="25" customWidth="1"/>
    <col min="8" max="8" width="18" customWidth="1"/>
    <col min="9" max="9" width="20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31.95" customHeight="1">
      <c r="A2" s="2" t="s">
        <v>281</v>
      </c>
      <c r="B2" s="1"/>
      <c r="C2" s="1"/>
      <c r="D2" s="1"/>
      <c r="E2" s="1"/>
      <c r="F2" s="1"/>
      <c r="G2" s="1"/>
      <c r="H2" s="1"/>
      <c r="I2" s="1"/>
    </row>
    <row r="3" spans="1:9">
      <c r="A3" s="3" t="s">
        <v>282</v>
      </c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 ht="37.950000000000003" customHeight="1">
      <c r="A5" s="4" t="s">
        <v>283</v>
      </c>
      <c r="B5" s="4" t="s">
        <v>172</v>
      </c>
      <c r="C5" s="4" t="s">
        <v>173</v>
      </c>
      <c r="D5" s="4" t="s">
        <v>133</v>
      </c>
      <c r="E5" s="4" t="s">
        <v>132</v>
      </c>
      <c r="F5" s="4" t="s">
        <v>284</v>
      </c>
      <c r="G5" s="4" t="s">
        <v>285</v>
      </c>
      <c r="H5" s="4" t="s">
        <v>254</v>
      </c>
      <c r="I5" s="4" t="s">
        <v>269</v>
      </c>
    </row>
    <row r="6" spans="1:9" ht="28.05" customHeight="1">
      <c r="A6" s="6" t="s">
        <v>273</v>
      </c>
      <c r="B6" s="6" t="s">
        <v>183</v>
      </c>
      <c r="C6" s="6" t="s">
        <v>184</v>
      </c>
      <c r="D6" s="6" t="s">
        <v>146</v>
      </c>
      <c r="E6" s="15">
        <v>46388</v>
      </c>
      <c r="F6" s="15">
        <v>46418</v>
      </c>
      <c r="G6" s="6" t="s">
        <v>286</v>
      </c>
      <c r="H6" s="9">
        <v>4080</v>
      </c>
      <c r="I6" s="6" t="s">
        <v>287</v>
      </c>
    </row>
    <row r="7" spans="1:9" ht="28.05" customHeight="1">
      <c r="A7" s="5" t="s">
        <v>273</v>
      </c>
      <c r="B7" s="5" t="s">
        <v>183</v>
      </c>
      <c r="C7" s="5" t="s">
        <v>184</v>
      </c>
      <c r="D7" s="5" t="s">
        <v>147</v>
      </c>
      <c r="E7" s="16">
        <v>46388</v>
      </c>
      <c r="F7" s="16">
        <v>46418</v>
      </c>
      <c r="G7" s="5" t="s">
        <v>286</v>
      </c>
      <c r="H7" s="10">
        <v>10200</v>
      </c>
      <c r="I7" s="5" t="s">
        <v>287</v>
      </c>
    </row>
    <row r="8" spans="1:9" ht="28.05" customHeight="1">
      <c r="A8" s="6" t="s">
        <v>273</v>
      </c>
      <c r="B8" s="6" t="s">
        <v>183</v>
      </c>
      <c r="C8" s="6" t="s">
        <v>184</v>
      </c>
      <c r="D8" s="6" t="s">
        <v>148</v>
      </c>
      <c r="E8" s="15">
        <v>46388</v>
      </c>
      <c r="F8" s="15">
        <v>46418</v>
      </c>
      <c r="G8" s="6" t="s">
        <v>286</v>
      </c>
      <c r="H8" s="9">
        <v>6059</v>
      </c>
      <c r="I8" s="6" t="s">
        <v>287</v>
      </c>
    </row>
    <row r="9" spans="1:9" ht="28.05" customHeight="1">
      <c r="A9" s="5" t="s">
        <v>273</v>
      </c>
      <c r="B9" s="5" t="s">
        <v>183</v>
      </c>
      <c r="C9" s="5" t="s">
        <v>184</v>
      </c>
      <c r="D9" s="5" t="s">
        <v>149</v>
      </c>
      <c r="E9" s="16">
        <v>46388</v>
      </c>
      <c r="F9" s="16">
        <v>46418</v>
      </c>
      <c r="G9" s="5" t="s">
        <v>286</v>
      </c>
      <c r="H9" s="10">
        <v>5151</v>
      </c>
      <c r="I9" s="5" t="s">
        <v>287</v>
      </c>
    </row>
    <row r="10" spans="1:9" ht="28.05" customHeight="1">
      <c r="A10" s="6" t="s">
        <v>273</v>
      </c>
      <c r="B10" s="6" t="s">
        <v>183</v>
      </c>
      <c r="C10" s="6" t="s">
        <v>184</v>
      </c>
      <c r="D10" s="6" t="s">
        <v>150</v>
      </c>
      <c r="E10" s="15">
        <v>46388</v>
      </c>
      <c r="F10" s="15">
        <v>46418</v>
      </c>
      <c r="G10" s="6" t="s">
        <v>286</v>
      </c>
      <c r="H10" s="9">
        <v>3029</v>
      </c>
      <c r="I10" s="6" t="s">
        <v>287</v>
      </c>
    </row>
    <row r="11" spans="1:9" ht="28.05" customHeight="1">
      <c r="A11" s="5" t="s">
        <v>273</v>
      </c>
      <c r="B11" s="5" t="s">
        <v>183</v>
      </c>
      <c r="C11" s="5" t="s">
        <v>184</v>
      </c>
      <c r="D11" s="5" t="s">
        <v>146</v>
      </c>
      <c r="E11" s="16">
        <v>46419</v>
      </c>
      <c r="F11" s="16">
        <v>46446</v>
      </c>
      <c r="G11" s="5" t="s">
        <v>286</v>
      </c>
      <c r="H11" s="10">
        <v>3564</v>
      </c>
      <c r="I11" s="5" t="s">
        <v>287</v>
      </c>
    </row>
    <row r="12" spans="1:9" ht="28.05" customHeight="1">
      <c r="A12" s="6" t="s">
        <v>273</v>
      </c>
      <c r="B12" s="6" t="s">
        <v>183</v>
      </c>
      <c r="C12" s="6" t="s">
        <v>184</v>
      </c>
      <c r="D12" s="6" t="s">
        <v>147</v>
      </c>
      <c r="E12" s="15">
        <v>46419</v>
      </c>
      <c r="F12" s="15">
        <v>46446</v>
      </c>
      <c r="G12" s="6" t="s">
        <v>286</v>
      </c>
      <c r="H12" s="9">
        <v>8910</v>
      </c>
      <c r="I12" s="6" t="s">
        <v>287</v>
      </c>
    </row>
    <row r="13" spans="1:9" ht="28.05" customHeight="1">
      <c r="A13" s="5" t="s">
        <v>273</v>
      </c>
      <c r="B13" s="5" t="s">
        <v>183</v>
      </c>
      <c r="C13" s="5" t="s">
        <v>184</v>
      </c>
      <c r="D13" s="5" t="s">
        <v>148</v>
      </c>
      <c r="E13" s="16">
        <v>46419</v>
      </c>
      <c r="F13" s="16">
        <v>46446</v>
      </c>
      <c r="G13" s="5" t="s">
        <v>286</v>
      </c>
      <c r="H13" s="10">
        <v>5346</v>
      </c>
      <c r="I13" s="5" t="s">
        <v>287</v>
      </c>
    </row>
    <row r="14" spans="1:9" ht="28.05" customHeight="1">
      <c r="A14" s="6" t="s">
        <v>273</v>
      </c>
      <c r="B14" s="6" t="s">
        <v>183</v>
      </c>
      <c r="C14" s="6" t="s">
        <v>184</v>
      </c>
      <c r="D14" s="6" t="s">
        <v>149</v>
      </c>
      <c r="E14" s="15">
        <v>46419</v>
      </c>
      <c r="F14" s="15">
        <v>46446</v>
      </c>
      <c r="G14" s="6" t="s">
        <v>286</v>
      </c>
      <c r="H14" s="9">
        <v>4545</v>
      </c>
      <c r="I14" s="6" t="s">
        <v>287</v>
      </c>
    </row>
    <row r="15" spans="1:9" ht="28.05" customHeight="1">
      <c r="A15" s="5" t="s">
        <v>273</v>
      </c>
      <c r="B15" s="5" t="s">
        <v>183</v>
      </c>
      <c r="C15" s="5" t="s">
        <v>184</v>
      </c>
      <c r="D15" s="5" t="s">
        <v>150</v>
      </c>
      <c r="E15" s="16">
        <v>46419</v>
      </c>
      <c r="F15" s="16">
        <v>46446</v>
      </c>
      <c r="G15" s="5" t="s">
        <v>286</v>
      </c>
      <c r="H15" s="10">
        <v>2673</v>
      </c>
      <c r="I15" s="5" t="s">
        <v>287</v>
      </c>
    </row>
    <row r="16" spans="1:9" ht="28.05" customHeight="1">
      <c r="A16" s="6" t="s">
        <v>273</v>
      </c>
      <c r="B16" s="6" t="s">
        <v>183</v>
      </c>
      <c r="C16" s="6" t="s">
        <v>184</v>
      </c>
      <c r="D16" s="6" t="s">
        <v>146</v>
      </c>
      <c r="E16" s="15">
        <v>46447</v>
      </c>
      <c r="F16" s="15">
        <v>46477</v>
      </c>
      <c r="G16" s="6" t="s">
        <v>286</v>
      </c>
      <c r="H16" s="9">
        <v>4116</v>
      </c>
      <c r="I16" s="6" t="s">
        <v>287</v>
      </c>
    </row>
    <row r="17" spans="1:9" ht="28.05" customHeight="1">
      <c r="A17" s="5" t="s">
        <v>273</v>
      </c>
      <c r="B17" s="5" t="s">
        <v>183</v>
      </c>
      <c r="C17" s="5" t="s">
        <v>184</v>
      </c>
      <c r="D17" s="5" t="s">
        <v>147</v>
      </c>
      <c r="E17" s="16">
        <v>46447</v>
      </c>
      <c r="F17" s="16">
        <v>46477</v>
      </c>
      <c r="G17" s="5" t="s">
        <v>286</v>
      </c>
      <c r="H17" s="10">
        <v>10290</v>
      </c>
      <c r="I17" s="5" t="s">
        <v>287</v>
      </c>
    </row>
    <row r="18" spans="1:9" ht="28.05" customHeight="1">
      <c r="A18" s="6" t="s">
        <v>273</v>
      </c>
      <c r="B18" s="6" t="s">
        <v>183</v>
      </c>
      <c r="C18" s="6" t="s">
        <v>184</v>
      </c>
      <c r="D18" s="6" t="s">
        <v>148</v>
      </c>
      <c r="E18" s="15">
        <v>46447</v>
      </c>
      <c r="F18" s="15">
        <v>46477</v>
      </c>
      <c r="G18" s="6" t="s">
        <v>286</v>
      </c>
      <c r="H18" s="9">
        <v>6237</v>
      </c>
      <c r="I18" s="6" t="s">
        <v>287</v>
      </c>
    </row>
    <row r="19" spans="1:9" ht="28.05" customHeight="1">
      <c r="A19" s="5" t="s">
        <v>273</v>
      </c>
      <c r="B19" s="5" t="s">
        <v>183</v>
      </c>
      <c r="C19" s="5" t="s">
        <v>184</v>
      </c>
      <c r="D19" s="5" t="s">
        <v>149</v>
      </c>
      <c r="E19" s="16">
        <v>46447</v>
      </c>
      <c r="F19" s="16">
        <v>46477</v>
      </c>
      <c r="G19" s="5" t="s">
        <v>286</v>
      </c>
      <c r="H19" s="10">
        <v>5303</v>
      </c>
      <c r="I19" s="5" t="s">
        <v>287</v>
      </c>
    </row>
    <row r="20" spans="1:9" ht="28.05" customHeight="1">
      <c r="A20" s="6" t="s">
        <v>273</v>
      </c>
      <c r="B20" s="6" t="s">
        <v>183</v>
      </c>
      <c r="C20" s="6" t="s">
        <v>184</v>
      </c>
      <c r="D20" s="6" t="s">
        <v>150</v>
      </c>
      <c r="E20" s="15">
        <v>46447</v>
      </c>
      <c r="F20" s="15">
        <v>46477</v>
      </c>
      <c r="G20" s="6" t="s">
        <v>286</v>
      </c>
      <c r="H20" s="9">
        <v>3119</v>
      </c>
      <c r="I20" s="6" t="s">
        <v>287</v>
      </c>
    </row>
    <row r="21" spans="1:9" ht="28.05" customHeight="1">
      <c r="A21" s="5" t="s">
        <v>273</v>
      </c>
      <c r="B21" s="5" t="s">
        <v>183</v>
      </c>
      <c r="C21" s="5" t="s">
        <v>184</v>
      </c>
      <c r="D21" s="5" t="s">
        <v>146</v>
      </c>
      <c r="E21" s="16">
        <v>46478</v>
      </c>
      <c r="F21" s="16">
        <v>46507</v>
      </c>
      <c r="G21" s="5" t="s">
        <v>286</v>
      </c>
      <c r="H21" s="10">
        <v>3880</v>
      </c>
      <c r="I21" s="5" t="s">
        <v>287</v>
      </c>
    </row>
    <row r="22" spans="1:9" ht="28.05" customHeight="1">
      <c r="A22" s="6" t="s">
        <v>273</v>
      </c>
      <c r="B22" s="6" t="s">
        <v>183</v>
      </c>
      <c r="C22" s="6" t="s">
        <v>184</v>
      </c>
      <c r="D22" s="6" t="s">
        <v>147</v>
      </c>
      <c r="E22" s="15">
        <v>46478</v>
      </c>
      <c r="F22" s="15">
        <v>46507</v>
      </c>
      <c r="G22" s="6" t="s">
        <v>286</v>
      </c>
      <c r="H22" s="9">
        <v>9700</v>
      </c>
      <c r="I22" s="6" t="s">
        <v>287</v>
      </c>
    </row>
    <row r="23" spans="1:9" ht="28.05" customHeight="1">
      <c r="A23" s="5" t="s">
        <v>273</v>
      </c>
      <c r="B23" s="5" t="s">
        <v>183</v>
      </c>
      <c r="C23" s="5" t="s">
        <v>184</v>
      </c>
      <c r="D23" s="5" t="s">
        <v>148</v>
      </c>
      <c r="E23" s="16">
        <v>46478</v>
      </c>
      <c r="F23" s="16">
        <v>46507</v>
      </c>
      <c r="G23" s="5" t="s">
        <v>286</v>
      </c>
      <c r="H23" s="10">
        <v>5940</v>
      </c>
      <c r="I23" s="5" t="s">
        <v>287</v>
      </c>
    </row>
    <row r="24" spans="1:9" ht="28.05" customHeight="1">
      <c r="A24" s="6" t="s">
        <v>273</v>
      </c>
      <c r="B24" s="6" t="s">
        <v>183</v>
      </c>
      <c r="C24" s="6" t="s">
        <v>184</v>
      </c>
      <c r="D24" s="6" t="s">
        <v>149</v>
      </c>
      <c r="E24" s="15">
        <v>46478</v>
      </c>
      <c r="F24" s="15">
        <v>46507</v>
      </c>
      <c r="G24" s="6" t="s">
        <v>286</v>
      </c>
      <c r="H24" s="9">
        <v>5050</v>
      </c>
      <c r="I24" s="6" t="s">
        <v>287</v>
      </c>
    </row>
    <row r="25" spans="1:9" ht="28.05" customHeight="1">
      <c r="A25" s="5" t="s">
        <v>273</v>
      </c>
      <c r="B25" s="5" t="s">
        <v>183</v>
      </c>
      <c r="C25" s="5" t="s">
        <v>184</v>
      </c>
      <c r="D25" s="5" t="s">
        <v>150</v>
      </c>
      <c r="E25" s="16">
        <v>46478</v>
      </c>
      <c r="F25" s="16">
        <v>46507</v>
      </c>
      <c r="G25" s="5" t="s">
        <v>286</v>
      </c>
      <c r="H25" s="10">
        <v>2970</v>
      </c>
      <c r="I25" s="5" t="s">
        <v>287</v>
      </c>
    </row>
    <row r="26" spans="1:9" ht="28.05" customHeight="1">
      <c r="A26" s="6" t="s">
        <v>273</v>
      </c>
      <c r="B26" s="6" t="s">
        <v>183</v>
      </c>
      <c r="C26" s="6" t="s">
        <v>184</v>
      </c>
      <c r="D26" s="6" t="s">
        <v>146</v>
      </c>
      <c r="E26" s="15">
        <v>46508</v>
      </c>
      <c r="F26" s="15">
        <v>46538</v>
      </c>
      <c r="G26" s="6" t="s">
        <v>286</v>
      </c>
      <c r="H26" s="9">
        <v>3763</v>
      </c>
      <c r="I26" s="6" t="s">
        <v>287</v>
      </c>
    </row>
    <row r="27" spans="1:9" ht="28.05" customHeight="1">
      <c r="A27" s="5" t="s">
        <v>273</v>
      </c>
      <c r="B27" s="5" t="s">
        <v>183</v>
      </c>
      <c r="C27" s="5" t="s">
        <v>184</v>
      </c>
      <c r="D27" s="5" t="s">
        <v>147</v>
      </c>
      <c r="E27" s="16">
        <v>46508</v>
      </c>
      <c r="F27" s="16">
        <v>46538</v>
      </c>
      <c r="G27" s="5" t="s">
        <v>286</v>
      </c>
      <c r="H27" s="10">
        <v>9408</v>
      </c>
      <c r="I27" s="5" t="s">
        <v>287</v>
      </c>
    </row>
    <row r="28" spans="1:9" ht="28.05" customHeight="1">
      <c r="A28" s="6" t="s">
        <v>273</v>
      </c>
      <c r="B28" s="6" t="s">
        <v>183</v>
      </c>
      <c r="C28" s="6" t="s">
        <v>184</v>
      </c>
      <c r="D28" s="6" t="s">
        <v>148</v>
      </c>
      <c r="E28" s="15">
        <v>46508</v>
      </c>
      <c r="F28" s="15">
        <v>46538</v>
      </c>
      <c r="G28" s="6" t="s">
        <v>286</v>
      </c>
      <c r="H28" s="9">
        <v>5821</v>
      </c>
      <c r="I28" s="6" t="s">
        <v>287</v>
      </c>
    </row>
    <row r="29" spans="1:9" ht="28.05" customHeight="1">
      <c r="A29" s="5" t="s">
        <v>273</v>
      </c>
      <c r="B29" s="5" t="s">
        <v>183</v>
      </c>
      <c r="C29" s="5" t="s">
        <v>184</v>
      </c>
      <c r="D29" s="5" t="s">
        <v>149</v>
      </c>
      <c r="E29" s="16">
        <v>46508</v>
      </c>
      <c r="F29" s="16">
        <v>46538</v>
      </c>
      <c r="G29" s="5" t="s">
        <v>286</v>
      </c>
      <c r="H29" s="10">
        <v>4949</v>
      </c>
      <c r="I29" s="5" t="s">
        <v>287</v>
      </c>
    </row>
    <row r="30" spans="1:9" ht="28.05" customHeight="1">
      <c r="A30" s="6" t="s">
        <v>273</v>
      </c>
      <c r="B30" s="6" t="s">
        <v>183</v>
      </c>
      <c r="C30" s="6" t="s">
        <v>184</v>
      </c>
      <c r="D30" s="6" t="s">
        <v>150</v>
      </c>
      <c r="E30" s="15">
        <v>46508</v>
      </c>
      <c r="F30" s="15">
        <v>46538</v>
      </c>
      <c r="G30" s="6" t="s">
        <v>286</v>
      </c>
      <c r="H30" s="9">
        <v>2911</v>
      </c>
      <c r="I30" s="6" t="s">
        <v>287</v>
      </c>
    </row>
    <row r="31" spans="1:9" ht="28.05" customHeight="1">
      <c r="A31" s="5" t="s">
        <v>288</v>
      </c>
      <c r="B31" s="5" t="s">
        <v>183</v>
      </c>
      <c r="C31" s="5" t="s">
        <v>184</v>
      </c>
      <c r="D31" s="5" t="s">
        <v>146</v>
      </c>
      <c r="E31" s="16">
        <v>46539</v>
      </c>
      <c r="F31" s="16">
        <v>46553</v>
      </c>
      <c r="G31" s="5" t="s">
        <v>289</v>
      </c>
      <c r="H31" s="10">
        <v>1710</v>
      </c>
      <c r="I31" s="5" t="s">
        <v>290</v>
      </c>
    </row>
    <row r="32" spans="1:9" ht="28.05" customHeight="1">
      <c r="A32" s="6" t="s">
        <v>288</v>
      </c>
      <c r="B32" s="6" t="s">
        <v>183</v>
      </c>
      <c r="C32" s="6" t="s">
        <v>184</v>
      </c>
      <c r="D32" s="6" t="s">
        <v>147</v>
      </c>
      <c r="E32" s="15">
        <v>46539</v>
      </c>
      <c r="F32" s="15">
        <v>46553</v>
      </c>
      <c r="G32" s="6" t="s">
        <v>289</v>
      </c>
      <c r="H32" s="9">
        <v>4275</v>
      </c>
      <c r="I32" s="6" t="s">
        <v>290</v>
      </c>
    </row>
    <row r="33" spans="1:9" ht="28.05" customHeight="1">
      <c r="A33" s="5" t="s">
        <v>288</v>
      </c>
      <c r="B33" s="5" t="s">
        <v>183</v>
      </c>
      <c r="C33" s="5" t="s">
        <v>184</v>
      </c>
      <c r="D33" s="5" t="s">
        <v>148</v>
      </c>
      <c r="E33" s="16">
        <v>46539</v>
      </c>
      <c r="F33" s="16">
        <v>46553</v>
      </c>
      <c r="G33" s="5" t="s">
        <v>289</v>
      </c>
      <c r="H33" s="10">
        <v>2673</v>
      </c>
      <c r="I33" s="5" t="s">
        <v>290</v>
      </c>
    </row>
    <row r="34" spans="1:9" ht="28.05" customHeight="1">
      <c r="A34" s="6" t="s">
        <v>288</v>
      </c>
      <c r="B34" s="6" t="s">
        <v>183</v>
      </c>
      <c r="C34" s="6" t="s">
        <v>184</v>
      </c>
      <c r="D34" s="6" t="s">
        <v>149</v>
      </c>
      <c r="E34" s="15">
        <v>46539</v>
      </c>
      <c r="F34" s="15">
        <v>46553</v>
      </c>
      <c r="G34" s="6" t="s">
        <v>289</v>
      </c>
      <c r="H34" s="9">
        <v>2272</v>
      </c>
      <c r="I34" s="6" t="s">
        <v>290</v>
      </c>
    </row>
    <row r="35" spans="1:9" ht="28.05" customHeight="1">
      <c r="A35" s="5" t="s">
        <v>288</v>
      </c>
      <c r="B35" s="5" t="s">
        <v>183</v>
      </c>
      <c r="C35" s="5" t="s">
        <v>184</v>
      </c>
      <c r="D35" s="5" t="s">
        <v>150</v>
      </c>
      <c r="E35" s="16">
        <v>46539</v>
      </c>
      <c r="F35" s="16">
        <v>46553</v>
      </c>
      <c r="G35" s="5" t="s">
        <v>289</v>
      </c>
      <c r="H35" s="10">
        <v>1336</v>
      </c>
      <c r="I35" s="5" t="s">
        <v>290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G7" sqref="G7:I7"/>
    </sheetView>
  </sheetViews>
  <sheetFormatPr defaultRowHeight="13.8"/>
  <cols>
    <col min="1" max="1" width="12.69921875" customWidth="1"/>
    <col min="2" max="2" width="12.8984375" customWidth="1"/>
    <col min="3" max="3" width="10.59765625" customWidth="1"/>
    <col min="4" max="4" width="9.59765625" customWidth="1"/>
    <col min="5" max="5" width="12.19921875" customWidth="1"/>
    <col min="6" max="6" width="12.3984375" customWidth="1"/>
    <col min="7" max="7" width="12.09765625" customWidth="1"/>
    <col min="8" max="8" width="13.69921875" customWidth="1"/>
    <col min="9" max="9" width="18.8984375" customWidth="1"/>
    <col min="10" max="10" width="17.796875" customWidth="1"/>
    <col min="11" max="11" width="12.097656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1.95" customHeight="1">
      <c r="A2" s="2" t="s">
        <v>291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3" t="s">
        <v>292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7.950000000000003" customHeight="1">
      <c r="A5" s="20" t="s">
        <v>293</v>
      </c>
      <c r="B5" s="20" t="s">
        <v>172</v>
      </c>
      <c r="C5" s="20" t="s">
        <v>173</v>
      </c>
      <c r="D5" s="20" t="s">
        <v>133</v>
      </c>
      <c r="E5" s="20" t="s">
        <v>132</v>
      </c>
      <c r="F5" s="20" t="s">
        <v>294</v>
      </c>
      <c r="G5" s="20" t="s">
        <v>295</v>
      </c>
      <c r="H5" s="20" t="s">
        <v>296</v>
      </c>
      <c r="I5" s="20" t="s">
        <v>297</v>
      </c>
      <c r="J5" s="20" t="s">
        <v>298</v>
      </c>
      <c r="K5" s="20" t="s">
        <v>159</v>
      </c>
    </row>
    <row r="6" spans="1:11" ht="28.05" customHeight="1">
      <c r="A6" s="6" t="s">
        <v>231</v>
      </c>
      <c r="B6" s="22" t="s">
        <v>183</v>
      </c>
      <c r="C6" s="22" t="s">
        <v>184</v>
      </c>
      <c r="D6" s="22" t="s">
        <v>146</v>
      </c>
      <c r="E6" s="21">
        <v>46388</v>
      </c>
      <c r="F6" s="23">
        <f>모델기준!F6</f>
        <v>300000</v>
      </c>
      <c r="G6" s="23">
        <f>모델기준!G6</f>
        <v>175000</v>
      </c>
      <c r="H6" s="23">
        <f>모델기준!H6</f>
        <v>75000</v>
      </c>
      <c r="I6" s="23">
        <f>모델기준!I6</f>
        <v>20000</v>
      </c>
      <c r="J6" s="25">
        <f t="shared" ref="J6:J37" si="0">SUM(G6:I6)</f>
        <v>270000</v>
      </c>
      <c r="K6" s="25">
        <f t="shared" ref="K6:K37" si="1">F6-J6</f>
        <v>30000</v>
      </c>
    </row>
    <row r="7" spans="1:11" ht="28.05" customHeight="1">
      <c r="A7" s="5" t="s">
        <v>231</v>
      </c>
      <c r="B7" s="29" t="s">
        <v>183</v>
      </c>
      <c r="C7" s="29" t="s">
        <v>184</v>
      </c>
      <c r="D7" s="29" t="s">
        <v>147</v>
      </c>
      <c r="E7" s="28">
        <v>46388</v>
      </c>
      <c r="F7" s="30">
        <f>모델기준!F7</f>
        <v>180000</v>
      </c>
      <c r="G7" s="30">
        <f>모델기준!G7</f>
        <v>55000</v>
      </c>
      <c r="H7" s="30">
        <f>모델기준!H7</f>
        <v>95000</v>
      </c>
      <c r="I7" s="30">
        <f>모델기준!I7</f>
        <v>10000</v>
      </c>
      <c r="J7" s="32">
        <f t="shared" si="0"/>
        <v>160000</v>
      </c>
      <c r="K7" s="32">
        <f t="shared" si="1"/>
        <v>20000</v>
      </c>
    </row>
    <row r="8" spans="1:11" ht="28.05" customHeight="1">
      <c r="A8" s="6" t="s">
        <v>231</v>
      </c>
      <c r="B8" s="22" t="s">
        <v>183</v>
      </c>
      <c r="C8" s="22" t="s">
        <v>184</v>
      </c>
      <c r="D8" s="22" t="s">
        <v>148</v>
      </c>
      <c r="E8" s="21">
        <v>46388</v>
      </c>
      <c r="F8" s="23">
        <f>모델기준!F8</f>
        <v>230000</v>
      </c>
      <c r="G8" s="23">
        <f>모델기준!G8</f>
        <v>125000</v>
      </c>
      <c r="H8" s="23">
        <f>모델기준!H8</f>
        <v>60000</v>
      </c>
      <c r="I8" s="23">
        <f>모델기준!I8</f>
        <v>17000</v>
      </c>
      <c r="J8" s="25">
        <f t="shared" si="0"/>
        <v>202000</v>
      </c>
      <c r="K8" s="25">
        <f t="shared" si="1"/>
        <v>28000</v>
      </c>
    </row>
    <row r="9" spans="1:11" ht="28.05" customHeight="1">
      <c r="A9" s="5" t="s">
        <v>231</v>
      </c>
      <c r="B9" s="29" t="s">
        <v>183</v>
      </c>
      <c r="C9" s="29" t="s">
        <v>184</v>
      </c>
      <c r="D9" s="29" t="s">
        <v>149</v>
      </c>
      <c r="E9" s="28">
        <v>46388</v>
      </c>
      <c r="F9" s="30">
        <f>모델기준!F9</f>
        <v>210000</v>
      </c>
      <c r="G9" s="30">
        <f>모델기준!G9</f>
        <v>105000</v>
      </c>
      <c r="H9" s="30">
        <f>모델기준!H9</f>
        <v>65000</v>
      </c>
      <c r="I9" s="30">
        <f>모델기준!I9</f>
        <v>15000</v>
      </c>
      <c r="J9" s="32">
        <f t="shared" si="0"/>
        <v>185000</v>
      </c>
      <c r="K9" s="32">
        <f t="shared" si="1"/>
        <v>25000</v>
      </c>
    </row>
    <row r="10" spans="1:11" ht="28.05" customHeight="1">
      <c r="A10" s="6" t="s">
        <v>231</v>
      </c>
      <c r="B10" s="22" t="s">
        <v>183</v>
      </c>
      <c r="C10" s="22" t="s">
        <v>184</v>
      </c>
      <c r="D10" s="22" t="s">
        <v>150</v>
      </c>
      <c r="E10" s="21">
        <v>46388</v>
      </c>
      <c r="F10" s="23">
        <f>모델기준!F10</f>
        <v>150000</v>
      </c>
      <c r="G10" s="23">
        <f>모델기준!G10</f>
        <v>70000</v>
      </c>
      <c r="H10" s="23">
        <f>모델기준!H10</f>
        <v>50000</v>
      </c>
      <c r="I10" s="23">
        <f>모델기준!I10</f>
        <v>12000</v>
      </c>
      <c r="J10" s="25">
        <f t="shared" si="0"/>
        <v>132000</v>
      </c>
      <c r="K10" s="25">
        <f t="shared" si="1"/>
        <v>18000</v>
      </c>
    </row>
    <row r="11" spans="1:11" ht="28.05" customHeight="1">
      <c r="A11" s="5" t="s">
        <v>231</v>
      </c>
      <c r="B11" s="29" t="s">
        <v>183</v>
      </c>
      <c r="C11" s="29" t="s">
        <v>184</v>
      </c>
      <c r="D11" s="29" t="s">
        <v>146</v>
      </c>
      <c r="E11" s="28">
        <v>46419</v>
      </c>
      <c r="F11" s="30">
        <f>모델기준!F6</f>
        <v>300000</v>
      </c>
      <c r="G11" s="30">
        <f>모델기준!G6</f>
        <v>175000</v>
      </c>
      <c r="H11" s="30">
        <f>모델기준!H6</f>
        <v>75000</v>
      </c>
      <c r="I11" s="30">
        <f>모델기준!I6</f>
        <v>20000</v>
      </c>
      <c r="J11" s="32">
        <f t="shared" si="0"/>
        <v>270000</v>
      </c>
      <c r="K11" s="32">
        <f t="shared" si="1"/>
        <v>30000</v>
      </c>
    </row>
    <row r="12" spans="1:11" ht="28.05" customHeight="1">
      <c r="A12" s="6" t="s">
        <v>231</v>
      </c>
      <c r="B12" s="22" t="s">
        <v>183</v>
      </c>
      <c r="C12" s="22" t="s">
        <v>184</v>
      </c>
      <c r="D12" s="22" t="s">
        <v>147</v>
      </c>
      <c r="E12" s="21">
        <v>46419</v>
      </c>
      <c r="F12" s="23">
        <f>모델기준!F7</f>
        <v>180000</v>
      </c>
      <c r="G12" s="23">
        <f>모델기준!G7</f>
        <v>55000</v>
      </c>
      <c r="H12" s="23">
        <f>모델기준!H7</f>
        <v>95000</v>
      </c>
      <c r="I12" s="23">
        <f>모델기준!I7</f>
        <v>10000</v>
      </c>
      <c r="J12" s="25">
        <f t="shared" si="0"/>
        <v>160000</v>
      </c>
      <c r="K12" s="25">
        <f t="shared" si="1"/>
        <v>20000</v>
      </c>
    </row>
    <row r="13" spans="1:11" ht="28.05" customHeight="1">
      <c r="A13" s="5" t="s">
        <v>231</v>
      </c>
      <c r="B13" s="29" t="s">
        <v>183</v>
      </c>
      <c r="C13" s="29" t="s">
        <v>184</v>
      </c>
      <c r="D13" s="29" t="s">
        <v>148</v>
      </c>
      <c r="E13" s="28">
        <v>46419</v>
      </c>
      <c r="F13" s="30">
        <f>모델기준!F8</f>
        <v>230000</v>
      </c>
      <c r="G13" s="30">
        <f>모델기준!G8</f>
        <v>125000</v>
      </c>
      <c r="H13" s="30">
        <f>모델기준!H8</f>
        <v>60000</v>
      </c>
      <c r="I13" s="30">
        <f>모델기준!I8</f>
        <v>17000</v>
      </c>
      <c r="J13" s="32">
        <f t="shared" si="0"/>
        <v>202000</v>
      </c>
      <c r="K13" s="32">
        <f t="shared" si="1"/>
        <v>28000</v>
      </c>
    </row>
    <row r="14" spans="1:11" ht="28.05" customHeight="1">
      <c r="A14" s="6" t="s">
        <v>231</v>
      </c>
      <c r="B14" s="22" t="s">
        <v>183</v>
      </c>
      <c r="C14" s="22" t="s">
        <v>184</v>
      </c>
      <c r="D14" s="22" t="s">
        <v>149</v>
      </c>
      <c r="E14" s="21">
        <v>46419</v>
      </c>
      <c r="F14" s="23">
        <f>모델기준!F9</f>
        <v>210000</v>
      </c>
      <c r="G14" s="23">
        <f>모델기준!G9</f>
        <v>105000</v>
      </c>
      <c r="H14" s="23">
        <f>모델기준!H9</f>
        <v>65000</v>
      </c>
      <c r="I14" s="23">
        <f>모델기준!I9</f>
        <v>15000</v>
      </c>
      <c r="J14" s="25">
        <f t="shared" si="0"/>
        <v>185000</v>
      </c>
      <c r="K14" s="25">
        <f t="shared" si="1"/>
        <v>25000</v>
      </c>
    </row>
    <row r="15" spans="1:11" ht="28.05" customHeight="1">
      <c r="A15" s="5" t="s">
        <v>231</v>
      </c>
      <c r="B15" s="29" t="s">
        <v>183</v>
      </c>
      <c r="C15" s="29" t="s">
        <v>184</v>
      </c>
      <c r="D15" s="29" t="s">
        <v>150</v>
      </c>
      <c r="E15" s="28">
        <v>46419</v>
      </c>
      <c r="F15" s="30">
        <f>모델기준!F10</f>
        <v>150000</v>
      </c>
      <c r="G15" s="30">
        <f>모델기준!G10</f>
        <v>70000</v>
      </c>
      <c r="H15" s="30">
        <f>모델기준!H10</f>
        <v>50000</v>
      </c>
      <c r="I15" s="30">
        <f>모델기준!I10</f>
        <v>12000</v>
      </c>
      <c r="J15" s="32">
        <f t="shared" si="0"/>
        <v>132000</v>
      </c>
      <c r="K15" s="32">
        <f t="shared" si="1"/>
        <v>18000</v>
      </c>
    </row>
    <row r="16" spans="1:11" ht="28.05" customHeight="1">
      <c r="A16" s="6" t="s">
        <v>231</v>
      </c>
      <c r="B16" s="22" t="s">
        <v>183</v>
      </c>
      <c r="C16" s="22" t="s">
        <v>184</v>
      </c>
      <c r="D16" s="22" t="s">
        <v>146</v>
      </c>
      <c r="E16" s="21">
        <v>46447</v>
      </c>
      <c r="F16" s="23">
        <f>모델기준!F6</f>
        <v>300000</v>
      </c>
      <c r="G16" s="23">
        <f>모델기준!G6</f>
        <v>175000</v>
      </c>
      <c r="H16" s="23">
        <f>모델기준!H6</f>
        <v>75000</v>
      </c>
      <c r="I16" s="23">
        <f>모델기준!I6</f>
        <v>20000</v>
      </c>
      <c r="J16" s="25">
        <f t="shared" si="0"/>
        <v>270000</v>
      </c>
      <c r="K16" s="25">
        <f t="shared" si="1"/>
        <v>30000</v>
      </c>
    </row>
    <row r="17" spans="1:11" ht="28.05" customHeight="1">
      <c r="A17" s="5" t="s">
        <v>231</v>
      </c>
      <c r="B17" s="29" t="s">
        <v>183</v>
      </c>
      <c r="C17" s="29" t="s">
        <v>184</v>
      </c>
      <c r="D17" s="29" t="s">
        <v>147</v>
      </c>
      <c r="E17" s="28">
        <v>46447</v>
      </c>
      <c r="F17" s="30">
        <f>모델기준!F7</f>
        <v>180000</v>
      </c>
      <c r="G17" s="30">
        <f>모델기준!G7</f>
        <v>55000</v>
      </c>
      <c r="H17" s="30">
        <f>모델기준!H7</f>
        <v>95000</v>
      </c>
      <c r="I17" s="30">
        <f>모델기준!I7</f>
        <v>10000</v>
      </c>
      <c r="J17" s="32">
        <f t="shared" si="0"/>
        <v>160000</v>
      </c>
      <c r="K17" s="32">
        <f t="shared" si="1"/>
        <v>20000</v>
      </c>
    </row>
    <row r="18" spans="1:11" ht="28.05" customHeight="1">
      <c r="A18" s="6" t="s">
        <v>231</v>
      </c>
      <c r="B18" s="22" t="s">
        <v>183</v>
      </c>
      <c r="C18" s="22" t="s">
        <v>184</v>
      </c>
      <c r="D18" s="22" t="s">
        <v>148</v>
      </c>
      <c r="E18" s="21">
        <v>46447</v>
      </c>
      <c r="F18" s="23">
        <f>모델기준!F8</f>
        <v>230000</v>
      </c>
      <c r="G18" s="23">
        <f>모델기준!G8</f>
        <v>125000</v>
      </c>
      <c r="H18" s="23">
        <f>모델기준!H8</f>
        <v>60000</v>
      </c>
      <c r="I18" s="23">
        <f>모델기준!I8</f>
        <v>17000</v>
      </c>
      <c r="J18" s="25">
        <f t="shared" si="0"/>
        <v>202000</v>
      </c>
      <c r="K18" s="25">
        <f t="shared" si="1"/>
        <v>28000</v>
      </c>
    </row>
    <row r="19" spans="1:11" ht="28.05" customHeight="1">
      <c r="A19" s="5" t="s">
        <v>231</v>
      </c>
      <c r="B19" s="29" t="s">
        <v>183</v>
      </c>
      <c r="C19" s="29" t="s">
        <v>184</v>
      </c>
      <c r="D19" s="29" t="s">
        <v>149</v>
      </c>
      <c r="E19" s="28">
        <v>46447</v>
      </c>
      <c r="F19" s="30">
        <f>모델기준!F9</f>
        <v>210000</v>
      </c>
      <c r="G19" s="30">
        <f>모델기준!G9</f>
        <v>105000</v>
      </c>
      <c r="H19" s="30">
        <f>모델기준!H9</f>
        <v>65000</v>
      </c>
      <c r="I19" s="30">
        <f>모델기준!I9</f>
        <v>15000</v>
      </c>
      <c r="J19" s="32">
        <f t="shared" si="0"/>
        <v>185000</v>
      </c>
      <c r="K19" s="32">
        <f t="shared" si="1"/>
        <v>25000</v>
      </c>
    </row>
    <row r="20" spans="1:11" ht="28.05" customHeight="1">
      <c r="A20" s="6" t="s">
        <v>231</v>
      </c>
      <c r="B20" s="22" t="s">
        <v>183</v>
      </c>
      <c r="C20" s="22" t="s">
        <v>184</v>
      </c>
      <c r="D20" s="22" t="s">
        <v>150</v>
      </c>
      <c r="E20" s="21">
        <v>46447</v>
      </c>
      <c r="F20" s="23">
        <f>모델기준!F10</f>
        <v>150000</v>
      </c>
      <c r="G20" s="23">
        <f>모델기준!G10</f>
        <v>70000</v>
      </c>
      <c r="H20" s="23">
        <f>모델기준!H10</f>
        <v>50000</v>
      </c>
      <c r="I20" s="23">
        <f>모델기준!I10</f>
        <v>12000</v>
      </c>
      <c r="J20" s="25">
        <f t="shared" si="0"/>
        <v>132000</v>
      </c>
      <c r="K20" s="25">
        <f t="shared" si="1"/>
        <v>18000</v>
      </c>
    </row>
    <row r="21" spans="1:11" ht="28.05" customHeight="1">
      <c r="A21" s="5" t="s">
        <v>231</v>
      </c>
      <c r="B21" s="29" t="s">
        <v>183</v>
      </c>
      <c r="C21" s="29" t="s">
        <v>184</v>
      </c>
      <c r="D21" s="29" t="s">
        <v>146</v>
      </c>
      <c r="E21" s="28">
        <v>46478</v>
      </c>
      <c r="F21" s="30">
        <f>모델기준!F6</f>
        <v>300000</v>
      </c>
      <c r="G21" s="30">
        <f>모델기준!G6</f>
        <v>175000</v>
      </c>
      <c r="H21" s="30">
        <f>모델기준!H6</f>
        <v>75000</v>
      </c>
      <c r="I21" s="30">
        <f>모델기준!I6</f>
        <v>20000</v>
      </c>
      <c r="J21" s="32">
        <f t="shared" si="0"/>
        <v>270000</v>
      </c>
      <c r="K21" s="32">
        <f t="shared" si="1"/>
        <v>30000</v>
      </c>
    </row>
    <row r="22" spans="1:11" ht="28.05" customHeight="1">
      <c r="A22" s="6" t="s">
        <v>231</v>
      </c>
      <c r="B22" s="22" t="s">
        <v>183</v>
      </c>
      <c r="C22" s="22" t="s">
        <v>184</v>
      </c>
      <c r="D22" s="22" t="s">
        <v>147</v>
      </c>
      <c r="E22" s="21">
        <v>46478</v>
      </c>
      <c r="F22" s="23">
        <f>모델기준!F7</f>
        <v>180000</v>
      </c>
      <c r="G22" s="23">
        <f>모델기준!G7</f>
        <v>55000</v>
      </c>
      <c r="H22" s="23">
        <f>모델기준!H7</f>
        <v>95000</v>
      </c>
      <c r="I22" s="23">
        <f>모델기준!I7</f>
        <v>10000</v>
      </c>
      <c r="J22" s="25">
        <f t="shared" si="0"/>
        <v>160000</v>
      </c>
      <c r="K22" s="25">
        <f t="shared" si="1"/>
        <v>20000</v>
      </c>
    </row>
    <row r="23" spans="1:11" ht="28.05" customHeight="1">
      <c r="A23" s="5" t="s">
        <v>231</v>
      </c>
      <c r="B23" s="29" t="s">
        <v>183</v>
      </c>
      <c r="C23" s="29" t="s">
        <v>184</v>
      </c>
      <c r="D23" s="29" t="s">
        <v>148</v>
      </c>
      <c r="E23" s="28">
        <v>46478</v>
      </c>
      <c r="F23" s="30">
        <f>모델기준!F8</f>
        <v>230000</v>
      </c>
      <c r="G23" s="30">
        <f>모델기준!G8</f>
        <v>125000</v>
      </c>
      <c r="H23" s="30">
        <f>모델기준!H8</f>
        <v>60000</v>
      </c>
      <c r="I23" s="30">
        <f>모델기준!I8</f>
        <v>17000</v>
      </c>
      <c r="J23" s="32">
        <f t="shared" si="0"/>
        <v>202000</v>
      </c>
      <c r="K23" s="32">
        <f t="shared" si="1"/>
        <v>28000</v>
      </c>
    </row>
    <row r="24" spans="1:11" ht="28.05" customHeight="1">
      <c r="A24" s="6" t="s">
        <v>231</v>
      </c>
      <c r="B24" s="22" t="s">
        <v>183</v>
      </c>
      <c r="C24" s="22" t="s">
        <v>184</v>
      </c>
      <c r="D24" s="22" t="s">
        <v>149</v>
      </c>
      <c r="E24" s="21">
        <v>46478</v>
      </c>
      <c r="F24" s="23">
        <f>모델기준!F9</f>
        <v>210000</v>
      </c>
      <c r="G24" s="23">
        <f>모델기준!G9</f>
        <v>105000</v>
      </c>
      <c r="H24" s="23">
        <f>모델기준!H9</f>
        <v>65000</v>
      </c>
      <c r="I24" s="23">
        <f>모델기준!I9</f>
        <v>15000</v>
      </c>
      <c r="J24" s="25">
        <f t="shared" si="0"/>
        <v>185000</v>
      </c>
      <c r="K24" s="25">
        <f t="shared" si="1"/>
        <v>25000</v>
      </c>
    </row>
    <row r="25" spans="1:11" ht="28.05" customHeight="1">
      <c r="A25" s="5" t="s">
        <v>231</v>
      </c>
      <c r="B25" s="29" t="s">
        <v>183</v>
      </c>
      <c r="C25" s="29" t="s">
        <v>184</v>
      </c>
      <c r="D25" s="29" t="s">
        <v>150</v>
      </c>
      <c r="E25" s="28">
        <v>46478</v>
      </c>
      <c r="F25" s="30">
        <f>모델기준!F10</f>
        <v>150000</v>
      </c>
      <c r="G25" s="30">
        <f>모델기준!G10</f>
        <v>70000</v>
      </c>
      <c r="H25" s="30">
        <f>모델기준!H10</f>
        <v>50000</v>
      </c>
      <c r="I25" s="30">
        <f>모델기준!I10</f>
        <v>12000</v>
      </c>
      <c r="J25" s="32">
        <f t="shared" si="0"/>
        <v>132000</v>
      </c>
      <c r="K25" s="32">
        <f t="shared" si="1"/>
        <v>18000</v>
      </c>
    </row>
    <row r="26" spans="1:11" ht="28.05" customHeight="1">
      <c r="A26" s="6" t="s">
        <v>231</v>
      </c>
      <c r="B26" s="22" t="s">
        <v>183</v>
      </c>
      <c r="C26" s="22" t="s">
        <v>184</v>
      </c>
      <c r="D26" s="22" t="s">
        <v>146</v>
      </c>
      <c r="E26" s="21">
        <v>46508</v>
      </c>
      <c r="F26" s="23">
        <f>모델기준!F6</f>
        <v>300000</v>
      </c>
      <c r="G26" s="23">
        <f>모델기준!G6</f>
        <v>175000</v>
      </c>
      <c r="H26" s="23">
        <f>모델기준!H6</f>
        <v>75000</v>
      </c>
      <c r="I26" s="23">
        <f>모델기준!I6</f>
        <v>20000</v>
      </c>
      <c r="J26" s="25">
        <f t="shared" si="0"/>
        <v>270000</v>
      </c>
      <c r="K26" s="25">
        <f t="shared" si="1"/>
        <v>30000</v>
      </c>
    </row>
    <row r="27" spans="1:11" ht="28.05" customHeight="1">
      <c r="A27" s="5" t="s">
        <v>231</v>
      </c>
      <c r="B27" s="29" t="s">
        <v>183</v>
      </c>
      <c r="C27" s="29" t="s">
        <v>184</v>
      </c>
      <c r="D27" s="29" t="s">
        <v>147</v>
      </c>
      <c r="E27" s="28">
        <v>46508</v>
      </c>
      <c r="F27" s="30">
        <f>모델기준!F7</f>
        <v>180000</v>
      </c>
      <c r="G27" s="30">
        <f>모델기준!G7</f>
        <v>55000</v>
      </c>
      <c r="H27" s="30">
        <f>모델기준!H7</f>
        <v>95000</v>
      </c>
      <c r="I27" s="30">
        <f>모델기준!I7</f>
        <v>10000</v>
      </c>
      <c r="J27" s="32">
        <f t="shared" si="0"/>
        <v>160000</v>
      </c>
      <c r="K27" s="32">
        <f t="shared" si="1"/>
        <v>20000</v>
      </c>
    </row>
    <row r="28" spans="1:11" ht="28.05" customHeight="1">
      <c r="A28" s="6" t="s">
        <v>231</v>
      </c>
      <c r="B28" s="22" t="s">
        <v>183</v>
      </c>
      <c r="C28" s="22" t="s">
        <v>184</v>
      </c>
      <c r="D28" s="22" t="s">
        <v>148</v>
      </c>
      <c r="E28" s="21">
        <v>46508</v>
      </c>
      <c r="F28" s="23">
        <f>모델기준!F8</f>
        <v>230000</v>
      </c>
      <c r="G28" s="23">
        <f>모델기준!G8</f>
        <v>125000</v>
      </c>
      <c r="H28" s="23">
        <f>모델기준!H8</f>
        <v>60000</v>
      </c>
      <c r="I28" s="23">
        <f>모델기준!I8</f>
        <v>17000</v>
      </c>
      <c r="J28" s="25">
        <f t="shared" si="0"/>
        <v>202000</v>
      </c>
      <c r="K28" s="25">
        <f t="shared" si="1"/>
        <v>28000</v>
      </c>
    </row>
    <row r="29" spans="1:11" ht="28.05" customHeight="1">
      <c r="A29" s="5" t="s">
        <v>231</v>
      </c>
      <c r="B29" s="29" t="s">
        <v>183</v>
      </c>
      <c r="C29" s="29" t="s">
        <v>184</v>
      </c>
      <c r="D29" s="29" t="s">
        <v>149</v>
      </c>
      <c r="E29" s="28">
        <v>46508</v>
      </c>
      <c r="F29" s="30">
        <f>모델기준!F9</f>
        <v>210000</v>
      </c>
      <c r="G29" s="30">
        <f>모델기준!G9</f>
        <v>105000</v>
      </c>
      <c r="H29" s="30">
        <f>모델기준!H9</f>
        <v>65000</v>
      </c>
      <c r="I29" s="30">
        <f>모델기준!I9</f>
        <v>15000</v>
      </c>
      <c r="J29" s="32">
        <f t="shared" si="0"/>
        <v>185000</v>
      </c>
      <c r="K29" s="32">
        <f t="shared" si="1"/>
        <v>25000</v>
      </c>
    </row>
    <row r="30" spans="1:11" ht="28.05" customHeight="1">
      <c r="A30" s="6" t="s">
        <v>231</v>
      </c>
      <c r="B30" s="22" t="s">
        <v>183</v>
      </c>
      <c r="C30" s="22" t="s">
        <v>184</v>
      </c>
      <c r="D30" s="22" t="s">
        <v>150</v>
      </c>
      <c r="E30" s="21">
        <v>46508</v>
      </c>
      <c r="F30" s="23">
        <f>모델기준!F10</f>
        <v>150000</v>
      </c>
      <c r="G30" s="23">
        <f>모델기준!G10</f>
        <v>70000</v>
      </c>
      <c r="H30" s="23">
        <f>모델기준!H10</f>
        <v>50000</v>
      </c>
      <c r="I30" s="23">
        <f>모델기준!I10</f>
        <v>12000</v>
      </c>
      <c r="J30" s="25">
        <f t="shared" si="0"/>
        <v>132000</v>
      </c>
      <c r="K30" s="25">
        <f t="shared" si="1"/>
        <v>18000</v>
      </c>
    </row>
    <row r="31" spans="1:11" ht="28.05" customHeight="1">
      <c r="A31" s="5" t="s">
        <v>231</v>
      </c>
      <c r="B31" s="29" t="s">
        <v>183</v>
      </c>
      <c r="C31" s="29" t="s">
        <v>184</v>
      </c>
      <c r="D31" s="29" t="s">
        <v>146</v>
      </c>
      <c r="E31" s="28">
        <v>46539</v>
      </c>
      <c r="F31" s="30">
        <f>모델기준!F6</f>
        <v>300000</v>
      </c>
      <c r="G31" s="30">
        <f>모델기준!G6</f>
        <v>175000</v>
      </c>
      <c r="H31" s="30">
        <f>모델기준!H6</f>
        <v>75000</v>
      </c>
      <c r="I31" s="30">
        <f>모델기준!I6</f>
        <v>20000</v>
      </c>
      <c r="J31" s="32">
        <f t="shared" si="0"/>
        <v>270000</v>
      </c>
      <c r="K31" s="32">
        <f t="shared" si="1"/>
        <v>30000</v>
      </c>
    </row>
    <row r="32" spans="1:11" ht="28.05" customHeight="1">
      <c r="A32" s="6" t="s">
        <v>231</v>
      </c>
      <c r="B32" s="22" t="s">
        <v>183</v>
      </c>
      <c r="C32" s="22" t="s">
        <v>184</v>
      </c>
      <c r="D32" s="22" t="s">
        <v>147</v>
      </c>
      <c r="E32" s="21">
        <v>46539</v>
      </c>
      <c r="F32" s="23">
        <f>모델기준!F7</f>
        <v>180000</v>
      </c>
      <c r="G32" s="23">
        <f>모델기준!G7</f>
        <v>55000</v>
      </c>
      <c r="H32" s="23">
        <f>모델기준!H7</f>
        <v>95000</v>
      </c>
      <c r="I32" s="23">
        <f>모델기준!I7</f>
        <v>10000</v>
      </c>
      <c r="J32" s="25">
        <f t="shared" si="0"/>
        <v>160000</v>
      </c>
      <c r="K32" s="25">
        <f t="shared" si="1"/>
        <v>20000</v>
      </c>
    </row>
    <row r="33" spans="1:11" ht="28.05" customHeight="1">
      <c r="A33" s="5" t="s">
        <v>231</v>
      </c>
      <c r="B33" s="29" t="s">
        <v>183</v>
      </c>
      <c r="C33" s="29" t="s">
        <v>184</v>
      </c>
      <c r="D33" s="29" t="s">
        <v>148</v>
      </c>
      <c r="E33" s="28">
        <v>46539</v>
      </c>
      <c r="F33" s="30">
        <f>모델기준!F8</f>
        <v>230000</v>
      </c>
      <c r="G33" s="30">
        <f>모델기준!G8</f>
        <v>125000</v>
      </c>
      <c r="H33" s="30">
        <f>모델기준!H8</f>
        <v>60000</v>
      </c>
      <c r="I33" s="30">
        <f>모델기준!I8</f>
        <v>17000</v>
      </c>
      <c r="J33" s="32">
        <f t="shared" si="0"/>
        <v>202000</v>
      </c>
      <c r="K33" s="32">
        <f t="shared" si="1"/>
        <v>28000</v>
      </c>
    </row>
    <row r="34" spans="1:11" ht="28.05" customHeight="1">
      <c r="A34" s="6" t="s">
        <v>231</v>
      </c>
      <c r="B34" s="22" t="s">
        <v>183</v>
      </c>
      <c r="C34" s="22" t="s">
        <v>184</v>
      </c>
      <c r="D34" s="22" t="s">
        <v>149</v>
      </c>
      <c r="E34" s="21">
        <v>46539</v>
      </c>
      <c r="F34" s="23">
        <f>모델기준!F9</f>
        <v>210000</v>
      </c>
      <c r="G34" s="23">
        <f>모델기준!G9</f>
        <v>105000</v>
      </c>
      <c r="H34" s="23">
        <f>모델기준!H9</f>
        <v>65000</v>
      </c>
      <c r="I34" s="23">
        <f>모델기준!I9</f>
        <v>15000</v>
      </c>
      <c r="J34" s="25">
        <f t="shared" si="0"/>
        <v>185000</v>
      </c>
      <c r="K34" s="25">
        <f t="shared" si="1"/>
        <v>25000</v>
      </c>
    </row>
    <row r="35" spans="1:11" ht="28.05" customHeight="1">
      <c r="A35" s="5" t="s">
        <v>231</v>
      </c>
      <c r="B35" s="29" t="s">
        <v>183</v>
      </c>
      <c r="C35" s="29" t="s">
        <v>184</v>
      </c>
      <c r="D35" s="29" t="s">
        <v>150</v>
      </c>
      <c r="E35" s="28">
        <v>46539</v>
      </c>
      <c r="F35" s="30">
        <f>모델기준!F10</f>
        <v>150000</v>
      </c>
      <c r="G35" s="30">
        <f>모델기준!G10</f>
        <v>70000</v>
      </c>
      <c r="H35" s="30">
        <f>모델기준!H10</f>
        <v>50000</v>
      </c>
      <c r="I35" s="30">
        <f>모델기준!I10</f>
        <v>12000</v>
      </c>
      <c r="J35" s="32">
        <f t="shared" si="0"/>
        <v>132000</v>
      </c>
      <c r="K35" s="32">
        <f t="shared" si="1"/>
        <v>18000</v>
      </c>
    </row>
    <row r="36" spans="1:11" ht="28.05" customHeight="1">
      <c r="A36" s="6" t="s">
        <v>231</v>
      </c>
      <c r="B36" s="22" t="s">
        <v>183</v>
      </c>
      <c r="C36" s="22" t="s">
        <v>184</v>
      </c>
      <c r="D36" s="22" t="s">
        <v>146</v>
      </c>
      <c r="E36" s="21">
        <v>46569</v>
      </c>
      <c r="F36" s="23">
        <f>모델기준!F6</f>
        <v>300000</v>
      </c>
      <c r="G36" s="23">
        <f>모델기준!G6</f>
        <v>175000</v>
      </c>
      <c r="H36" s="23">
        <f>모델기준!H6</f>
        <v>75000</v>
      </c>
      <c r="I36" s="23">
        <f>모델기준!I6</f>
        <v>20000</v>
      </c>
      <c r="J36" s="25">
        <f t="shared" si="0"/>
        <v>270000</v>
      </c>
      <c r="K36" s="25">
        <f t="shared" si="1"/>
        <v>30000</v>
      </c>
    </row>
    <row r="37" spans="1:11" ht="28.05" customHeight="1">
      <c r="A37" s="5" t="s">
        <v>231</v>
      </c>
      <c r="B37" s="29" t="s">
        <v>183</v>
      </c>
      <c r="C37" s="29" t="s">
        <v>184</v>
      </c>
      <c r="D37" s="29" t="s">
        <v>147</v>
      </c>
      <c r="E37" s="28">
        <v>46569</v>
      </c>
      <c r="F37" s="30">
        <f>모델기준!F7</f>
        <v>180000</v>
      </c>
      <c r="G37" s="30">
        <f>모델기준!G7</f>
        <v>55000</v>
      </c>
      <c r="H37" s="30">
        <f>모델기준!H7</f>
        <v>95000</v>
      </c>
      <c r="I37" s="30">
        <f>모델기준!I7</f>
        <v>10000</v>
      </c>
      <c r="J37" s="32">
        <f t="shared" si="0"/>
        <v>160000</v>
      </c>
      <c r="K37" s="32">
        <f t="shared" si="1"/>
        <v>20000</v>
      </c>
    </row>
    <row r="38" spans="1:11" ht="28.05" customHeight="1">
      <c r="A38" s="6" t="s">
        <v>231</v>
      </c>
      <c r="B38" s="22" t="s">
        <v>183</v>
      </c>
      <c r="C38" s="22" t="s">
        <v>184</v>
      </c>
      <c r="D38" s="22" t="s">
        <v>148</v>
      </c>
      <c r="E38" s="21">
        <v>46569</v>
      </c>
      <c r="F38" s="23">
        <f>모델기준!F8</f>
        <v>230000</v>
      </c>
      <c r="G38" s="23">
        <f>모델기준!G8</f>
        <v>125000</v>
      </c>
      <c r="H38" s="23">
        <f>모델기준!H8</f>
        <v>60000</v>
      </c>
      <c r="I38" s="23">
        <f>모델기준!I8</f>
        <v>17000</v>
      </c>
      <c r="J38" s="25">
        <f t="shared" ref="J38:J65" si="2">SUM(G38:I38)</f>
        <v>202000</v>
      </c>
      <c r="K38" s="25">
        <f t="shared" ref="K38:K65" si="3">F38-J38</f>
        <v>28000</v>
      </c>
    </row>
    <row r="39" spans="1:11" ht="28.05" customHeight="1">
      <c r="A39" s="5" t="s">
        <v>231</v>
      </c>
      <c r="B39" s="29" t="s">
        <v>183</v>
      </c>
      <c r="C39" s="29" t="s">
        <v>184</v>
      </c>
      <c r="D39" s="29" t="s">
        <v>149</v>
      </c>
      <c r="E39" s="28">
        <v>46569</v>
      </c>
      <c r="F39" s="30">
        <f>모델기준!F9</f>
        <v>210000</v>
      </c>
      <c r="G39" s="30">
        <f>모델기준!G9</f>
        <v>105000</v>
      </c>
      <c r="H39" s="30">
        <f>모델기준!H9</f>
        <v>65000</v>
      </c>
      <c r="I39" s="30">
        <f>모델기준!I9</f>
        <v>15000</v>
      </c>
      <c r="J39" s="32">
        <f t="shared" si="2"/>
        <v>185000</v>
      </c>
      <c r="K39" s="32">
        <f t="shared" si="3"/>
        <v>25000</v>
      </c>
    </row>
    <row r="40" spans="1:11" ht="28.05" customHeight="1">
      <c r="A40" s="6" t="s">
        <v>231</v>
      </c>
      <c r="B40" s="22" t="s">
        <v>183</v>
      </c>
      <c r="C40" s="22" t="s">
        <v>184</v>
      </c>
      <c r="D40" s="22" t="s">
        <v>150</v>
      </c>
      <c r="E40" s="21">
        <v>46569</v>
      </c>
      <c r="F40" s="23">
        <f>모델기준!F10</f>
        <v>150000</v>
      </c>
      <c r="G40" s="23">
        <f>모델기준!G10</f>
        <v>70000</v>
      </c>
      <c r="H40" s="23">
        <f>모델기준!H10</f>
        <v>50000</v>
      </c>
      <c r="I40" s="23">
        <f>모델기준!I10</f>
        <v>12000</v>
      </c>
      <c r="J40" s="25">
        <f t="shared" si="2"/>
        <v>132000</v>
      </c>
      <c r="K40" s="25">
        <f t="shared" si="3"/>
        <v>18000</v>
      </c>
    </row>
    <row r="41" spans="1:11" ht="28.05" customHeight="1">
      <c r="A41" s="5" t="s">
        <v>231</v>
      </c>
      <c r="B41" s="29" t="s">
        <v>183</v>
      </c>
      <c r="C41" s="29" t="s">
        <v>184</v>
      </c>
      <c r="D41" s="29" t="s">
        <v>146</v>
      </c>
      <c r="E41" s="28">
        <v>46600</v>
      </c>
      <c r="F41" s="30">
        <f>모델기준!F6</f>
        <v>300000</v>
      </c>
      <c r="G41" s="30">
        <f>모델기준!G6</f>
        <v>175000</v>
      </c>
      <c r="H41" s="30">
        <f>모델기준!H6</f>
        <v>75000</v>
      </c>
      <c r="I41" s="30">
        <f>모델기준!I6</f>
        <v>20000</v>
      </c>
      <c r="J41" s="32">
        <f t="shared" si="2"/>
        <v>270000</v>
      </c>
      <c r="K41" s="32">
        <f t="shared" si="3"/>
        <v>30000</v>
      </c>
    </row>
    <row r="42" spans="1:11" ht="28.05" customHeight="1">
      <c r="A42" s="6" t="s">
        <v>231</v>
      </c>
      <c r="B42" s="22" t="s">
        <v>183</v>
      </c>
      <c r="C42" s="22" t="s">
        <v>184</v>
      </c>
      <c r="D42" s="22" t="s">
        <v>147</v>
      </c>
      <c r="E42" s="21">
        <v>46600</v>
      </c>
      <c r="F42" s="23">
        <f>모델기준!F7</f>
        <v>180000</v>
      </c>
      <c r="G42" s="23">
        <f>모델기준!G7</f>
        <v>55000</v>
      </c>
      <c r="H42" s="23">
        <f>모델기준!H7</f>
        <v>95000</v>
      </c>
      <c r="I42" s="23">
        <f>모델기준!I7</f>
        <v>10000</v>
      </c>
      <c r="J42" s="25">
        <f t="shared" si="2"/>
        <v>160000</v>
      </c>
      <c r="K42" s="25">
        <f t="shared" si="3"/>
        <v>20000</v>
      </c>
    </row>
    <row r="43" spans="1:11" ht="28.05" customHeight="1">
      <c r="A43" s="5" t="s">
        <v>231</v>
      </c>
      <c r="B43" s="29" t="s">
        <v>183</v>
      </c>
      <c r="C43" s="29" t="s">
        <v>184</v>
      </c>
      <c r="D43" s="29" t="s">
        <v>148</v>
      </c>
      <c r="E43" s="28">
        <v>46600</v>
      </c>
      <c r="F43" s="30">
        <f>모델기준!F8</f>
        <v>230000</v>
      </c>
      <c r="G43" s="30">
        <f>모델기준!G8</f>
        <v>125000</v>
      </c>
      <c r="H43" s="30">
        <f>모델기준!H8</f>
        <v>60000</v>
      </c>
      <c r="I43" s="30">
        <f>모델기준!I8</f>
        <v>17000</v>
      </c>
      <c r="J43" s="32">
        <f t="shared" si="2"/>
        <v>202000</v>
      </c>
      <c r="K43" s="32">
        <f t="shared" si="3"/>
        <v>28000</v>
      </c>
    </row>
    <row r="44" spans="1:11" ht="28.05" customHeight="1">
      <c r="A44" s="6" t="s">
        <v>231</v>
      </c>
      <c r="B44" s="22" t="s">
        <v>183</v>
      </c>
      <c r="C44" s="22" t="s">
        <v>184</v>
      </c>
      <c r="D44" s="22" t="s">
        <v>149</v>
      </c>
      <c r="E44" s="21">
        <v>46600</v>
      </c>
      <c r="F44" s="23">
        <f>모델기준!F9</f>
        <v>210000</v>
      </c>
      <c r="G44" s="23">
        <f>모델기준!G9</f>
        <v>105000</v>
      </c>
      <c r="H44" s="23">
        <f>모델기준!H9</f>
        <v>65000</v>
      </c>
      <c r="I44" s="23">
        <f>모델기준!I9</f>
        <v>15000</v>
      </c>
      <c r="J44" s="25">
        <f t="shared" si="2"/>
        <v>185000</v>
      </c>
      <c r="K44" s="25">
        <f t="shared" si="3"/>
        <v>25000</v>
      </c>
    </row>
    <row r="45" spans="1:11" ht="28.05" customHeight="1">
      <c r="A45" s="5" t="s">
        <v>231</v>
      </c>
      <c r="B45" s="29" t="s">
        <v>183</v>
      </c>
      <c r="C45" s="29" t="s">
        <v>184</v>
      </c>
      <c r="D45" s="29" t="s">
        <v>150</v>
      </c>
      <c r="E45" s="28">
        <v>46600</v>
      </c>
      <c r="F45" s="30">
        <f>모델기준!F10</f>
        <v>150000</v>
      </c>
      <c r="G45" s="30">
        <f>모델기준!G10</f>
        <v>70000</v>
      </c>
      <c r="H45" s="30">
        <f>모델기준!H10</f>
        <v>50000</v>
      </c>
      <c r="I45" s="30">
        <f>모델기준!I10</f>
        <v>12000</v>
      </c>
      <c r="J45" s="32">
        <f t="shared" si="2"/>
        <v>132000</v>
      </c>
      <c r="K45" s="32">
        <f t="shared" si="3"/>
        <v>18000</v>
      </c>
    </row>
    <row r="46" spans="1:11" ht="28.05" customHeight="1">
      <c r="A46" s="6" t="s">
        <v>231</v>
      </c>
      <c r="B46" s="22" t="s">
        <v>183</v>
      </c>
      <c r="C46" s="22" t="s">
        <v>184</v>
      </c>
      <c r="D46" s="22" t="s">
        <v>146</v>
      </c>
      <c r="E46" s="21">
        <v>46631</v>
      </c>
      <c r="F46" s="23">
        <f>모델기준!F6</f>
        <v>300000</v>
      </c>
      <c r="G46" s="23">
        <f>모델기준!G6</f>
        <v>175000</v>
      </c>
      <c r="H46" s="23">
        <f>모델기준!H6</f>
        <v>75000</v>
      </c>
      <c r="I46" s="23">
        <f>모델기준!I6</f>
        <v>20000</v>
      </c>
      <c r="J46" s="25">
        <f t="shared" si="2"/>
        <v>270000</v>
      </c>
      <c r="K46" s="25">
        <f t="shared" si="3"/>
        <v>30000</v>
      </c>
    </row>
    <row r="47" spans="1:11" ht="28.05" customHeight="1">
      <c r="A47" s="5" t="s">
        <v>231</v>
      </c>
      <c r="B47" s="29" t="s">
        <v>183</v>
      </c>
      <c r="C47" s="29" t="s">
        <v>184</v>
      </c>
      <c r="D47" s="29" t="s">
        <v>147</v>
      </c>
      <c r="E47" s="28">
        <v>46631</v>
      </c>
      <c r="F47" s="30">
        <f>모델기준!F7</f>
        <v>180000</v>
      </c>
      <c r="G47" s="30">
        <f>모델기준!G7</f>
        <v>55000</v>
      </c>
      <c r="H47" s="30">
        <f>모델기준!H7</f>
        <v>95000</v>
      </c>
      <c r="I47" s="30">
        <f>모델기준!I7</f>
        <v>10000</v>
      </c>
      <c r="J47" s="32">
        <f t="shared" si="2"/>
        <v>160000</v>
      </c>
      <c r="K47" s="32">
        <f t="shared" si="3"/>
        <v>20000</v>
      </c>
    </row>
    <row r="48" spans="1:11" ht="28.05" customHeight="1">
      <c r="A48" s="6" t="s">
        <v>231</v>
      </c>
      <c r="B48" s="22" t="s">
        <v>183</v>
      </c>
      <c r="C48" s="22" t="s">
        <v>184</v>
      </c>
      <c r="D48" s="22" t="s">
        <v>148</v>
      </c>
      <c r="E48" s="21">
        <v>46631</v>
      </c>
      <c r="F48" s="23">
        <f>모델기준!F8</f>
        <v>230000</v>
      </c>
      <c r="G48" s="23">
        <f>모델기준!G8</f>
        <v>125000</v>
      </c>
      <c r="H48" s="23">
        <f>모델기준!H8</f>
        <v>60000</v>
      </c>
      <c r="I48" s="23">
        <f>모델기준!I8</f>
        <v>17000</v>
      </c>
      <c r="J48" s="25">
        <f t="shared" si="2"/>
        <v>202000</v>
      </c>
      <c r="K48" s="25">
        <f t="shared" si="3"/>
        <v>28000</v>
      </c>
    </row>
    <row r="49" spans="1:11" ht="28.05" customHeight="1">
      <c r="A49" s="5" t="s">
        <v>231</v>
      </c>
      <c r="B49" s="29" t="s">
        <v>183</v>
      </c>
      <c r="C49" s="29" t="s">
        <v>184</v>
      </c>
      <c r="D49" s="29" t="s">
        <v>149</v>
      </c>
      <c r="E49" s="28">
        <v>46631</v>
      </c>
      <c r="F49" s="30">
        <f>모델기준!F9</f>
        <v>210000</v>
      </c>
      <c r="G49" s="30">
        <f>모델기준!G9</f>
        <v>105000</v>
      </c>
      <c r="H49" s="30">
        <f>모델기준!H9</f>
        <v>65000</v>
      </c>
      <c r="I49" s="30">
        <f>모델기준!I9</f>
        <v>15000</v>
      </c>
      <c r="J49" s="32">
        <f t="shared" si="2"/>
        <v>185000</v>
      </c>
      <c r="K49" s="32">
        <f t="shared" si="3"/>
        <v>25000</v>
      </c>
    </row>
    <row r="50" spans="1:11" ht="28.05" customHeight="1">
      <c r="A50" s="6" t="s">
        <v>231</v>
      </c>
      <c r="B50" s="22" t="s">
        <v>183</v>
      </c>
      <c r="C50" s="22" t="s">
        <v>184</v>
      </c>
      <c r="D50" s="22" t="s">
        <v>150</v>
      </c>
      <c r="E50" s="21">
        <v>46631</v>
      </c>
      <c r="F50" s="23">
        <f>모델기준!F10</f>
        <v>150000</v>
      </c>
      <c r="G50" s="23">
        <f>모델기준!G10</f>
        <v>70000</v>
      </c>
      <c r="H50" s="23">
        <f>모델기준!H10</f>
        <v>50000</v>
      </c>
      <c r="I50" s="23">
        <f>모델기준!I10</f>
        <v>12000</v>
      </c>
      <c r="J50" s="25">
        <f t="shared" si="2"/>
        <v>132000</v>
      </c>
      <c r="K50" s="25">
        <f t="shared" si="3"/>
        <v>18000</v>
      </c>
    </row>
    <row r="51" spans="1:11" ht="28.05" customHeight="1">
      <c r="A51" s="5" t="s">
        <v>231</v>
      </c>
      <c r="B51" s="29" t="s">
        <v>183</v>
      </c>
      <c r="C51" s="29" t="s">
        <v>184</v>
      </c>
      <c r="D51" s="29" t="s">
        <v>146</v>
      </c>
      <c r="E51" s="28">
        <v>46661</v>
      </c>
      <c r="F51" s="30">
        <f>모델기준!F6</f>
        <v>300000</v>
      </c>
      <c r="G51" s="30">
        <f>모델기준!G6</f>
        <v>175000</v>
      </c>
      <c r="H51" s="30">
        <f>모델기준!H6</f>
        <v>75000</v>
      </c>
      <c r="I51" s="30">
        <f>모델기준!I6</f>
        <v>20000</v>
      </c>
      <c r="J51" s="32">
        <f t="shared" si="2"/>
        <v>270000</v>
      </c>
      <c r="K51" s="32">
        <f t="shared" si="3"/>
        <v>30000</v>
      </c>
    </row>
    <row r="52" spans="1:11" ht="28.05" customHeight="1">
      <c r="A52" s="6" t="s">
        <v>231</v>
      </c>
      <c r="B52" s="22" t="s">
        <v>183</v>
      </c>
      <c r="C52" s="22" t="s">
        <v>184</v>
      </c>
      <c r="D52" s="22" t="s">
        <v>147</v>
      </c>
      <c r="E52" s="21">
        <v>46661</v>
      </c>
      <c r="F52" s="23">
        <f>모델기준!F7</f>
        <v>180000</v>
      </c>
      <c r="G52" s="23">
        <f>모델기준!G7</f>
        <v>55000</v>
      </c>
      <c r="H52" s="23">
        <f>모델기준!H7</f>
        <v>95000</v>
      </c>
      <c r="I52" s="23">
        <f>모델기준!I7</f>
        <v>10000</v>
      </c>
      <c r="J52" s="25">
        <f t="shared" si="2"/>
        <v>160000</v>
      </c>
      <c r="K52" s="25">
        <f t="shared" si="3"/>
        <v>20000</v>
      </c>
    </row>
    <row r="53" spans="1:11" ht="28.05" customHeight="1">
      <c r="A53" s="5" t="s">
        <v>231</v>
      </c>
      <c r="B53" s="29" t="s">
        <v>183</v>
      </c>
      <c r="C53" s="29" t="s">
        <v>184</v>
      </c>
      <c r="D53" s="29" t="s">
        <v>148</v>
      </c>
      <c r="E53" s="28">
        <v>46661</v>
      </c>
      <c r="F53" s="30">
        <f>모델기준!F8</f>
        <v>230000</v>
      </c>
      <c r="G53" s="30">
        <f>모델기준!G8</f>
        <v>125000</v>
      </c>
      <c r="H53" s="30">
        <f>모델기준!H8</f>
        <v>60000</v>
      </c>
      <c r="I53" s="30">
        <f>모델기준!I8</f>
        <v>17000</v>
      </c>
      <c r="J53" s="32">
        <f t="shared" si="2"/>
        <v>202000</v>
      </c>
      <c r="K53" s="32">
        <f t="shared" si="3"/>
        <v>28000</v>
      </c>
    </row>
    <row r="54" spans="1:11" ht="28.05" customHeight="1">
      <c r="A54" s="6" t="s">
        <v>231</v>
      </c>
      <c r="B54" s="22" t="s">
        <v>183</v>
      </c>
      <c r="C54" s="22" t="s">
        <v>184</v>
      </c>
      <c r="D54" s="22" t="s">
        <v>149</v>
      </c>
      <c r="E54" s="21">
        <v>46661</v>
      </c>
      <c r="F54" s="23">
        <f>모델기준!F9</f>
        <v>210000</v>
      </c>
      <c r="G54" s="23">
        <f>모델기준!G9</f>
        <v>105000</v>
      </c>
      <c r="H54" s="23">
        <f>모델기준!H9</f>
        <v>65000</v>
      </c>
      <c r="I54" s="23">
        <f>모델기준!I9</f>
        <v>15000</v>
      </c>
      <c r="J54" s="25">
        <f t="shared" si="2"/>
        <v>185000</v>
      </c>
      <c r="K54" s="25">
        <f t="shared" si="3"/>
        <v>25000</v>
      </c>
    </row>
    <row r="55" spans="1:11" ht="28.05" customHeight="1">
      <c r="A55" s="5" t="s">
        <v>231</v>
      </c>
      <c r="B55" s="29" t="s">
        <v>183</v>
      </c>
      <c r="C55" s="29" t="s">
        <v>184</v>
      </c>
      <c r="D55" s="29" t="s">
        <v>150</v>
      </c>
      <c r="E55" s="28">
        <v>46661</v>
      </c>
      <c r="F55" s="30">
        <f>모델기준!F10</f>
        <v>150000</v>
      </c>
      <c r="G55" s="30">
        <f>모델기준!G10</f>
        <v>70000</v>
      </c>
      <c r="H55" s="30">
        <f>모델기준!H10</f>
        <v>50000</v>
      </c>
      <c r="I55" s="30">
        <f>모델기준!I10</f>
        <v>12000</v>
      </c>
      <c r="J55" s="32">
        <f t="shared" si="2"/>
        <v>132000</v>
      </c>
      <c r="K55" s="32">
        <f t="shared" si="3"/>
        <v>18000</v>
      </c>
    </row>
    <row r="56" spans="1:11" ht="28.05" customHeight="1">
      <c r="A56" s="6" t="s">
        <v>231</v>
      </c>
      <c r="B56" s="22" t="s">
        <v>183</v>
      </c>
      <c r="C56" s="22" t="s">
        <v>184</v>
      </c>
      <c r="D56" s="22" t="s">
        <v>146</v>
      </c>
      <c r="E56" s="21">
        <v>46692</v>
      </c>
      <c r="F56" s="23">
        <f>모델기준!F6</f>
        <v>300000</v>
      </c>
      <c r="G56" s="23">
        <f>모델기준!G6</f>
        <v>175000</v>
      </c>
      <c r="H56" s="23">
        <f>모델기준!H6</f>
        <v>75000</v>
      </c>
      <c r="I56" s="23">
        <f>모델기준!I6</f>
        <v>20000</v>
      </c>
      <c r="J56" s="25">
        <f t="shared" si="2"/>
        <v>270000</v>
      </c>
      <c r="K56" s="25">
        <f t="shared" si="3"/>
        <v>30000</v>
      </c>
    </row>
    <row r="57" spans="1:11" ht="28.05" customHeight="1">
      <c r="A57" s="5" t="s">
        <v>231</v>
      </c>
      <c r="B57" s="29" t="s">
        <v>183</v>
      </c>
      <c r="C57" s="29" t="s">
        <v>184</v>
      </c>
      <c r="D57" s="29" t="s">
        <v>147</v>
      </c>
      <c r="E57" s="28">
        <v>46692</v>
      </c>
      <c r="F57" s="30">
        <f>모델기준!F7</f>
        <v>180000</v>
      </c>
      <c r="G57" s="30">
        <f>모델기준!G7</f>
        <v>55000</v>
      </c>
      <c r="H57" s="30">
        <f>모델기준!H7</f>
        <v>95000</v>
      </c>
      <c r="I57" s="30">
        <f>모델기준!I7</f>
        <v>10000</v>
      </c>
      <c r="J57" s="32">
        <f t="shared" si="2"/>
        <v>160000</v>
      </c>
      <c r="K57" s="32">
        <f t="shared" si="3"/>
        <v>20000</v>
      </c>
    </row>
    <row r="58" spans="1:11" ht="28.05" customHeight="1">
      <c r="A58" s="6" t="s">
        <v>231</v>
      </c>
      <c r="B58" s="22" t="s">
        <v>183</v>
      </c>
      <c r="C58" s="22" t="s">
        <v>184</v>
      </c>
      <c r="D58" s="22" t="s">
        <v>148</v>
      </c>
      <c r="E58" s="21">
        <v>46692</v>
      </c>
      <c r="F58" s="23">
        <f>모델기준!F8</f>
        <v>230000</v>
      </c>
      <c r="G58" s="23">
        <f>모델기준!G8</f>
        <v>125000</v>
      </c>
      <c r="H58" s="23">
        <f>모델기준!H8</f>
        <v>60000</v>
      </c>
      <c r="I58" s="23">
        <f>모델기준!I8</f>
        <v>17000</v>
      </c>
      <c r="J58" s="25">
        <f t="shared" si="2"/>
        <v>202000</v>
      </c>
      <c r="K58" s="25">
        <f t="shared" si="3"/>
        <v>28000</v>
      </c>
    </row>
    <row r="59" spans="1:11" ht="28.05" customHeight="1">
      <c r="A59" s="5" t="s">
        <v>231</v>
      </c>
      <c r="B59" s="29" t="s">
        <v>183</v>
      </c>
      <c r="C59" s="29" t="s">
        <v>184</v>
      </c>
      <c r="D59" s="29" t="s">
        <v>149</v>
      </c>
      <c r="E59" s="28">
        <v>46692</v>
      </c>
      <c r="F59" s="30">
        <f>모델기준!F9</f>
        <v>210000</v>
      </c>
      <c r="G59" s="30">
        <f>모델기준!G9</f>
        <v>105000</v>
      </c>
      <c r="H59" s="30">
        <f>모델기준!H9</f>
        <v>65000</v>
      </c>
      <c r="I59" s="30">
        <f>모델기준!I9</f>
        <v>15000</v>
      </c>
      <c r="J59" s="32">
        <f t="shared" si="2"/>
        <v>185000</v>
      </c>
      <c r="K59" s="32">
        <f t="shared" si="3"/>
        <v>25000</v>
      </c>
    </row>
    <row r="60" spans="1:11" ht="28.05" customHeight="1">
      <c r="A60" s="6" t="s">
        <v>231</v>
      </c>
      <c r="B60" s="22" t="s">
        <v>183</v>
      </c>
      <c r="C60" s="22" t="s">
        <v>184</v>
      </c>
      <c r="D60" s="22" t="s">
        <v>150</v>
      </c>
      <c r="E60" s="21">
        <v>46692</v>
      </c>
      <c r="F60" s="23">
        <f>모델기준!F10</f>
        <v>150000</v>
      </c>
      <c r="G60" s="23">
        <f>모델기준!G10</f>
        <v>70000</v>
      </c>
      <c r="H60" s="23">
        <f>모델기준!H10</f>
        <v>50000</v>
      </c>
      <c r="I60" s="23">
        <f>모델기준!I10</f>
        <v>12000</v>
      </c>
      <c r="J60" s="25">
        <f t="shared" si="2"/>
        <v>132000</v>
      </c>
      <c r="K60" s="25">
        <f t="shared" si="3"/>
        <v>18000</v>
      </c>
    </row>
    <row r="61" spans="1:11" ht="28.05" customHeight="1">
      <c r="A61" s="5" t="s">
        <v>231</v>
      </c>
      <c r="B61" s="29" t="s">
        <v>183</v>
      </c>
      <c r="C61" s="29" t="s">
        <v>184</v>
      </c>
      <c r="D61" s="29" t="s">
        <v>146</v>
      </c>
      <c r="E61" s="28">
        <v>46722</v>
      </c>
      <c r="F61" s="30">
        <f>모델기준!F6</f>
        <v>300000</v>
      </c>
      <c r="G61" s="30">
        <f>모델기준!G6</f>
        <v>175000</v>
      </c>
      <c r="H61" s="30">
        <f>모델기준!H6</f>
        <v>75000</v>
      </c>
      <c r="I61" s="30">
        <f>모델기준!I6</f>
        <v>20000</v>
      </c>
      <c r="J61" s="32">
        <f t="shared" si="2"/>
        <v>270000</v>
      </c>
      <c r="K61" s="32">
        <f t="shared" si="3"/>
        <v>30000</v>
      </c>
    </row>
    <row r="62" spans="1:11" ht="28.05" customHeight="1">
      <c r="A62" s="6" t="s">
        <v>231</v>
      </c>
      <c r="B62" s="22" t="s">
        <v>183</v>
      </c>
      <c r="C62" s="22" t="s">
        <v>184</v>
      </c>
      <c r="D62" s="22" t="s">
        <v>147</v>
      </c>
      <c r="E62" s="21">
        <v>46722</v>
      </c>
      <c r="F62" s="23">
        <f>모델기준!F7</f>
        <v>180000</v>
      </c>
      <c r="G62" s="23">
        <f>모델기준!G7</f>
        <v>55000</v>
      </c>
      <c r="H62" s="23">
        <f>모델기준!H7</f>
        <v>95000</v>
      </c>
      <c r="I62" s="23">
        <f>모델기준!I7</f>
        <v>10000</v>
      </c>
      <c r="J62" s="25">
        <f t="shared" si="2"/>
        <v>160000</v>
      </c>
      <c r="K62" s="25">
        <f t="shared" si="3"/>
        <v>20000</v>
      </c>
    </row>
    <row r="63" spans="1:11" ht="28.05" customHeight="1">
      <c r="A63" s="5" t="s">
        <v>231</v>
      </c>
      <c r="B63" s="29" t="s">
        <v>183</v>
      </c>
      <c r="C63" s="29" t="s">
        <v>184</v>
      </c>
      <c r="D63" s="29" t="s">
        <v>148</v>
      </c>
      <c r="E63" s="28">
        <v>46722</v>
      </c>
      <c r="F63" s="30">
        <f>모델기준!F8</f>
        <v>230000</v>
      </c>
      <c r="G63" s="30">
        <f>모델기준!G8</f>
        <v>125000</v>
      </c>
      <c r="H63" s="30">
        <f>모델기준!H8</f>
        <v>60000</v>
      </c>
      <c r="I63" s="30">
        <f>모델기준!I8</f>
        <v>17000</v>
      </c>
      <c r="J63" s="32">
        <f t="shared" si="2"/>
        <v>202000</v>
      </c>
      <c r="K63" s="32">
        <f t="shared" si="3"/>
        <v>28000</v>
      </c>
    </row>
    <row r="64" spans="1:11" ht="28.05" customHeight="1">
      <c r="A64" s="6" t="s">
        <v>231</v>
      </c>
      <c r="B64" s="22" t="s">
        <v>183</v>
      </c>
      <c r="C64" s="22" t="s">
        <v>184</v>
      </c>
      <c r="D64" s="22" t="s">
        <v>149</v>
      </c>
      <c r="E64" s="21">
        <v>46722</v>
      </c>
      <c r="F64" s="23">
        <f>모델기준!F9</f>
        <v>210000</v>
      </c>
      <c r="G64" s="23">
        <f>모델기준!G9</f>
        <v>105000</v>
      </c>
      <c r="H64" s="23">
        <f>모델기준!H9</f>
        <v>65000</v>
      </c>
      <c r="I64" s="23">
        <f>모델기준!I9</f>
        <v>15000</v>
      </c>
      <c r="J64" s="25">
        <f t="shared" si="2"/>
        <v>185000</v>
      </c>
      <c r="K64" s="25">
        <f t="shared" si="3"/>
        <v>25000</v>
      </c>
    </row>
    <row r="65" spans="1:11" ht="28.05" customHeight="1">
      <c r="A65" s="5" t="s">
        <v>231</v>
      </c>
      <c r="B65" s="29" t="s">
        <v>183</v>
      </c>
      <c r="C65" s="29" t="s">
        <v>184</v>
      </c>
      <c r="D65" s="29" t="s">
        <v>150</v>
      </c>
      <c r="E65" s="28">
        <v>46722</v>
      </c>
      <c r="F65" s="30">
        <f>모델기준!F10</f>
        <v>150000</v>
      </c>
      <c r="G65" s="30">
        <f>모델기준!G10</f>
        <v>70000</v>
      </c>
      <c r="H65" s="30">
        <f>모델기준!H10</f>
        <v>50000</v>
      </c>
      <c r="I65" s="30">
        <f>모델기준!I10</f>
        <v>12000</v>
      </c>
      <c r="J65" s="32">
        <f t="shared" si="2"/>
        <v>132000</v>
      </c>
      <c r="K65" s="32">
        <f t="shared" si="3"/>
        <v>18000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"/>
  <sheetViews>
    <sheetView showGridLines="0" workbookViewId="0">
      <pane xSplit="1" ySplit="5" topLeftCell="E6" activePane="bottomRight" state="frozen"/>
      <selection pane="topRight"/>
      <selection pane="bottomLeft"/>
      <selection pane="bottomRight" activeCell="I6" sqref="I6"/>
    </sheetView>
  </sheetViews>
  <sheetFormatPr defaultRowHeight="13.8"/>
  <cols>
    <col min="1" max="1" width="15" customWidth="1"/>
    <col min="2" max="2" width="18" customWidth="1"/>
    <col min="3" max="7" width="22" customWidth="1"/>
    <col min="8" max="8" width="24.8984375" customWidth="1"/>
    <col min="9" max="10" width="24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1.95" customHeight="1">
      <c r="A2" s="2" t="s">
        <v>299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3" t="s">
        <v>300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7.950000000000003" customHeight="1">
      <c r="A5" s="20" t="s">
        <v>173</v>
      </c>
      <c r="B5" s="20" t="s">
        <v>132</v>
      </c>
      <c r="C5" s="20" t="s">
        <v>301</v>
      </c>
      <c r="D5" s="20" t="s">
        <v>302</v>
      </c>
      <c r="E5" s="20" t="s">
        <v>303</v>
      </c>
      <c r="F5" s="20" t="s">
        <v>304</v>
      </c>
      <c r="G5" s="20" t="s">
        <v>305</v>
      </c>
      <c r="H5" s="20" t="s">
        <v>198</v>
      </c>
      <c r="I5" s="20" t="s">
        <v>306</v>
      </c>
      <c r="J5" s="20" t="s">
        <v>307</v>
      </c>
    </row>
    <row r="6" spans="1:10" ht="28.05" customHeight="1">
      <c r="A6" s="22" t="s">
        <v>184</v>
      </c>
      <c r="B6" s="21">
        <v>46388</v>
      </c>
      <c r="C6" s="39">
        <v>120000000</v>
      </c>
      <c r="D6" s="39">
        <v>150000000</v>
      </c>
      <c r="E6" s="39">
        <v>80000000</v>
      </c>
      <c r="F6" s="39">
        <v>20000000</v>
      </c>
      <c r="G6" s="39">
        <v>0</v>
      </c>
      <c r="H6" s="22" t="s">
        <v>308</v>
      </c>
      <c r="I6" s="25">
        <f t="shared" ref="I6:I17" si="0">SUM(C6:G6)</f>
        <v>370000000</v>
      </c>
      <c r="J6" s="25">
        <f>I6</f>
        <v>370000000</v>
      </c>
    </row>
    <row r="7" spans="1:10" ht="28.05" customHeight="1">
      <c r="A7" s="29" t="s">
        <v>184</v>
      </c>
      <c r="B7" s="28">
        <v>46419</v>
      </c>
      <c r="C7" s="39">
        <v>120000000</v>
      </c>
      <c r="D7" s="39">
        <v>150000000</v>
      </c>
      <c r="E7" s="39">
        <v>80000000</v>
      </c>
      <c r="F7" s="39">
        <v>20000000</v>
      </c>
      <c r="G7" s="39">
        <v>0</v>
      </c>
      <c r="H7" s="29" t="s">
        <v>308</v>
      </c>
      <c r="I7" s="32">
        <f t="shared" si="0"/>
        <v>370000000</v>
      </c>
      <c r="J7" s="32">
        <f>I7</f>
        <v>370000000</v>
      </c>
    </row>
    <row r="8" spans="1:10" ht="28.05" customHeight="1">
      <c r="A8" s="22" t="s">
        <v>184</v>
      </c>
      <c r="B8" s="21">
        <v>46447</v>
      </c>
      <c r="C8" s="39">
        <v>120000000</v>
      </c>
      <c r="D8" s="39">
        <v>150000000</v>
      </c>
      <c r="E8" s="39">
        <v>80000000</v>
      </c>
      <c r="F8" s="39">
        <v>20000000</v>
      </c>
      <c r="G8" s="39">
        <v>0</v>
      </c>
      <c r="H8" s="22" t="s">
        <v>308</v>
      </c>
      <c r="I8" s="25">
        <f t="shared" si="0"/>
        <v>370000000</v>
      </c>
      <c r="J8" s="25">
        <f>I8</f>
        <v>370000000</v>
      </c>
    </row>
    <row r="9" spans="1:10" ht="28.05" customHeight="1">
      <c r="A9" s="29" t="s">
        <v>184</v>
      </c>
      <c r="B9" s="28">
        <v>46478</v>
      </c>
      <c r="C9" s="39">
        <v>120000000</v>
      </c>
      <c r="D9" s="39">
        <v>150000000</v>
      </c>
      <c r="E9" s="39">
        <v>80000000</v>
      </c>
      <c r="F9" s="39">
        <v>20000000</v>
      </c>
      <c r="G9" s="39">
        <v>0</v>
      </c>
      <c r="H9" s="29" t="s">
        <v>308</v>
      </c>
      <c r="I9" s="32">
        <f t="shared" si="0"/>
        <v>370000000</v>
      </c>
      <c r="J9" s="32">
        <f>I9</f>
        <v>370000000</v>
      </c>
    </row>
    <row r="10" spans="1:10" ht="28.05" customHeight="1">
      <c r="A10" s="22" t="s">
        <v>184</v>
      </c>
      <c r="B10" s="21">
        <v>46508</v>
      </c>
      <c r="C10" s="39">
        <v>120000000</v>
      </c>
      <c r="D10" s="39">
        <v>150000000</v>
      </c>
      <c r="E10" s="39">
        <v>80000000</v>
      </c>
      <c r="F10" s="39">
        <v>20000000</v>
      </c>
      <c r="G10" s="39">
        <v>0</v>
      </c>
      <c r="H10" s="22" t="s">
        <v>308</v>
      </c>
      <c r="I10" s="25">
        <f t="shared" si="0"/>
        <v>370000000</v>
      </c>
      <c r="J10" s="25">
        <f>I10</f>
        <v>370000000</v>
      </c>
    </row>
    <row r="11" spans="1:10" ht="28.05" customHeight="1">
      <c r="A11" s="29" t="s">
        <v>184</v>
      </c>
      <c r="B11" s="28">
        <v>46539</v>
      </c>
      <c r="C11" s="39">
        <v>120000000</v>
      </c>
      <c r="D11" s="39">
        <v>150000000</v>
      </c>
      <c r="E11" s="39">
        <v>80000000</v>
      </c>
      <c r="F11" s="39">
        <v>20000000</v>
      </c>
      <c r="G11" s="39">
        <v>0</v>
      </c>
      <c r="H11" s="29" t="s">
        <v>308</v>
      </c>
      <c r="I11" s="32">
        <f t="shared" si="0"/>
        <v>370000000</v>
      </c>
      <c r="J11" s="32">
        <f>I11*0.5</f>
        <v>185000000</v>
      </c>
    </row>
    <row r="12" spans="1:10" ht="28.05" customHeight="1">
      <c r="A12" s="22" t="s">
        <v>184</v>
      </c>
      <c r="B12" s="21">
        <v>46569</v>
      </c>
      <c r="C12" s="39">
        <v>120000000</v>
      </c>
      <c r="D12" s="39">
        <v>150000000</v>
      </c>
      <c r="E12" s="39">
        <v>80000000</v>
      </c>
      <c r="F12" s="39">
        <v>20000000</v>
      </c>
      <c r="G12" s="39">
        <v>0</v>
      </c>
      <c r="H12" s="22" t="s">
        <v>308</v>
      </c>
      <c r="I12" s="25">
        <f t="shared" si="0"/>
        <v>370000000</v>
      </c>
      <c r="J12" s="35"/>
    </row>
    <row r="13" spans="1:10" ht="28.05" customHeight="1">
      <c r="A13" s="29" t="s">
        <v>184</v>
      </c>
      <c r="B13" s="28">
        <v>46600</v>
      </c>
      <c r="C13" s="39">
        <v>120000000</v>
      </c>
      <c r="D13" s="39">
        <v>150000000</v>
      </c>
      <c r="E13" s="39">
        <v>80000000</v>
      </c>
      <c r="F13" s="39">
        <v>20000000</v>
      </c>
      <c r="G13" s="39">
        <v>0</v>
      </c>
      <c r="H13" s="29" t="s">
        <v>308</v>
      </c>
      <c r="I13" s="32">
        <f t="shared" si="0"/>
        <v>370000000</v>
      </c>
      <c r="J13" s="36"/>
    </row>
    <row r="14" spans="1:10" ht="28.05" customHeight="1">
      <c r="A14" s="22" t="s">
        <v>184</v>
      </c>
      <c r="B14" s="21">
        <v>46631</v>
      </c>
      <c r="C14" s="39">
        <v>120000000</v>
      </c>
      <c r="D14" s="39">
        <v>150000000</v>
      </c>
      <c r="E14" s="39">
        <v>80000000</v>
      </c>
      <c r="F14" s="39">
        <v>20000000</v>
      </c>
      <c r="G14" s="39">
        <v>0</v>
      </c>
      <c r="H14" s="22" t="s">
        <v>308</v>
      </c>
      <c r="I14" s="25">
        <f t="shared" si="0"/>
        <v>370000000</v>
      </c>
      <c r="J14" s="35"/>
    </row>
    <row r="15" spans="1:10" ht="28.05" customHeight="1">
      <c r="A15" s="29" t="s">
        <v>184</v>
      </c>
      <c r="B15" s="28">
        <v>46661</v>
      </c>
      <c r="C15" s="39">
        <v>120000000</v>
      </c>
      <c r="D15" s="39">
        <v>150000000</v>
      </c>
      <c r="E15" s="39">
        <v>80000000</v>
      </c>
      <c r="F15" s="39">
        <v>20000000</v>
      </c>
      <c r="G15" s="39">
        <v>0</v>
      </c>
      <c r="H15" s="29" t="s">
        <v>308</v>
      </c>
      <c r="I15" s="32">
        <f t="shared" si="0"/>
        <v>370000000</v>
      </c>
      <c r="J15" s="36"/>
    </row>
    <row r="16" spans="1:10" ht="28.05" customHeight="1">
      <c r="A16" s="22" t="s">
        <v>184</v>
      </c>
      <c r="B16" s="21">
        <v>46692</v>
      </c>
      <c r="C16" s="39">
        <v>120000000</v>
      </c>
      <c r="D16" s="39">
        <v>150000000</v>
      </c>
      <c r="E16" s="39">
        <v>80000000</v>
      </c>
      <c r="F16" s="39">
        <v>20000000</v>
      </c>
      <c r="G16" s="39">
        <v>0</v>
      </c>
      <c r="H16" s="22" t="s">
        <v>308</v>
      </c>
      <c r="I16" s="25">
        <f t="shared" si="0"/>
        <v>370000000</v>
      </c>
      <c r="J16" s="35"/>
    </row>
    <row r="17" spans="1:10" ht="28.05" customHeight="1">
      <c r="A17" s="29" t="s">
        <v>184</v>
      </c>
      <c r="B17" s="28">
        <v>46722</v>
      </c>
      <c r="C17" s="39">
        <v>120000000</v>
      </c>
      <c r="D17" s="39">
        <v>150000000</v>
      </c>
      <c r="E17" s="39">
        <v>80000000</v>
      </c>
      <c r="F17" s="39">
        <v>20000000</v>
      </c>
      <c r="G17" s="39">
        <v>0</v>
      </c>
      <c r="H17" s="29" t="s">
        <v>308</v>
      </c>
      <c r="I17" s="32">
        <f t="shared" si="0"/>
        <v>370000000</v>
      </c>
      <c r="J17" s="36"/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showGridLines="0" workbookViewId="0">
      <pane xSplit="1" ySplit="5" topLeftCell="F6" activePane="bottomRight" state="frozen"/>
      <selection pane="topRight"/>
      <selection pane="bottomLeft"/>
      <selection pane="bottomRight" activeCell="C11" sqref="C11:G11"/>
    </sheetView>
  </sheetViews>
  <sheetFormatPr defaultRowHeight="13.8"/>
  <cols>
    <col min="1" max="1" width="16" customWidth="1"/>
    <col min="2" max="2" width="35" customWidth="1"/>
    <col min="3" max="3" width="21" customWidth="1"/>
    <col min="4" max="4" width="30" customWidth="1"/>
    <col min="5" max="5" width="25" customWidth="1"/>
    <col min="6" max="6" width="22" customWidth="1"/>
    <col min="7" max="7" width="45" customWidth="1"/>
    <col min="8" max="8" width="28" customWidth="1"/>
    <col min="9" max="9" width="35" customWidth="1"/>
    <col min="10" max="10" width="42" customWidth="1"/>
    <col min="11" max="11" width="6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1.95" customHeight="1">
      <c r="A2" s="2" t="s">
        <v>309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3" t="s">
        <v>310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7.950000000000003" customHeight="1">
      <c r="A5" s="4" t="s">
        <v>311</v>
      </c>
      <c r="B5" s="4" t="s">
        <v>312</v>
      </c>
      <c r="C5" s="4" t="s">
        <v>313</v>
      </c>
      <c r="D5" s="4" t="s">
        <v>314</v>
      </c>
      <c r="E5" s="4" t="s">
        <v>131</v>
      </c>
      <c r="F5" s="4" t="s">
        <v>315</v>
      </c>
      <c r="G5" s="4" t="s">
        <v>316</v>
      </c>
      <c r="H5" s="4" t="s">
        <v>317</v>
      </c>
      <c r="I5" s="4" t="s">
        <v>318</v>
      </c>
      <c r="J5" s="4" t="s">
        <v>319</v>
      </c>
      <c r="K5" s="4" t="s">
        <v>320</v>
      </c>
    </row>
    <row r="6" spans="1:11" ht="37.950000000000003" customHeight="1">
      <c r="A6" s="6" t="s">
        <v>321</v>
      </c>
      <c r="B6" s="6" t="s">
        <v>217</v>
      </c>
      <c r="C6" s="6" t="s">
        <v>322</v>
      </c>
      <c r="D6" s="6" t="s">
        <v>323</v>
      </c>
      <c r="E6" s="6" t="s">
        <v>324</v>
      </c>
      <c r="F6" s="6" t="s">
        <v>325</v>
      </c>
      <c r="G6" s="6" t="s">
        <v>326</v>
      </c>
      <c r="H6" s="6" t="s">
        <v>327</v>
      </c>
      <c r="I6" s="6" t="s">
        <v>204</v>
      </c>
      <c r="J6" s="6" t="s">
        <v>328</v>
      </c>
      <c r="K6" s="6" t="s">
        <v>329</v>
      </c>
    </row>
    <row r="7" spans="1:11" ht="37.950000000000003" customHeight="1">
      <c r="A7" s="5" t="s">
        <v>330</v>
      </c>
      <c r="B7" s="5" t="s">
        <v>222</v>
      </c>
      <c r="C7" s="5" t="s">
        <v>331</v>
      </c>
      <c r="D7" s="5" t="s">
        <v>332</v>
      </c>
      <c r="E7" s="5" t="s">
        <v>204</v>
      </c>
      <c r="F7" s="5" t="s">
        <v>333</v>
      </c>
      <c r="G7" s="5" t="s">
        <v>334</v>
      </c>
      <c r="H7" s="5" t="s">
        <v>335</v>
      </c>
      <c r="I7" s="5" t="s">
        <v>336</v>
      </c>
      <c r="J7" s="5" t="s">
        <v>337</v>
      </c>
      <c r="K7" s="5" t="s">
        <v>338</v>
      </c>
    </row>
    <row r="8" spans="1:11" ht="37.950000000000003" customHeight="1">
      <c r="A8" s="6" t="s">
        <v>339</v>
      </c>
      <c r="B8" s="6" t="s">
        <v>340</v>
      </c>
      <c r="C8" s="6" t="s">
        <v>341</v>
      </c>
      <c r="D8" s="6" t="s">
        <v>332</v>
      </c>
      <c r="E8" s="6" t="s">
        <v>204</v>
      </c>
      <c r="F8" s="6" t="s">
        <v>333</v>
      </c>
      <c r="G8" s="6" t="s">
        <v>342</v>
      </c>
      <c r="H8" s="6" t="s">
        <v>335</v>
      </c>
      <c r="I8" s="6" t="s">
        <v>336</v>
      </c>
      <c r="J8" s="6" t="s">
        <v>343</v>
      </c>
      <c r="K8" s="6" t="s">
        <v>344</v>
      </c>
    </row>
    <row r="9" spans="1:11" ht="37.950000000000003" customHeight="1">
      <c r="A9" s="5" t="s">
        <v>345</v>
      </c>
      <c r="B9" s="5" t="s">
        <v>227</v>
      </c>
      <c r="C9" s="5" t="s">
        <v>346</v>
      </c>
      <c r="D9" s="5" t="s">
        <v>332</v>
      </c>
      <c r="E9" s="5" t="s">
        <v>145</v>
      </c>
      <c r="F9" s="5" t="s">
        <v>347</v>
      </c>
      <c r="G9" s="5" t="s">
        <v>348</v>
      </c>
      <c r="H9" s="5" t="s">
        <v>327</v>
      </c>
      <c r="I9" s="5" t="s">
        <v>336</v>
      </c>
      <c r="J9" s="5" t="s">
        <v>349</v>
      </c>
      <c r="K9" s="5" t="s">
        <v>350</v>
      </c>
    </row>
    <row r="10" spans="1:11" ht="37.950000000000003" customHeight="1">
      <c r="A10" s="6" t="s">
        <v>351</v>
      </c>
      <c r="B10" s="6" t="s">
        <v>352</v>
      </c>
      <c r="C10" s="6" t="s">
        <v>353</v>
      </c>
      <c r="D10" s="6" t="s">
        <v>332</v>
      </c>
      <c r="E10" s="6" t="s">
        <v>145</v>
      </c>
      <c r="F10" s="6" t="s">
        <v>347</v>
      </c>
      <c r="G10" s="6" t="s">
        <v>354</v>
      </c>
      <c r="H10" s="6" t="s">
        <v>355</v>
      </c>
      <c r="I10" s="6" t="s">
        <v>336</v>
      </c>
      <c r="J10" s="6" t="s">
        <v>356</v>
      </c>
      <c r="K10" s="6" t="s">
        <v>357</v>
      </c>
    </row>
    <row r="11" spans="1:11" ht="37.950000000000003" customHeight="1">
      <c r="A11" s="5" t="s">
        <v>358</v>
      </c>
      <c r="B11" s="5" t="s">
        <v>359</v>
      </c>
      <c r="C11" s="5" t="s">
        <v>360</v>
      </c>
      <c r="D11" s="5" t="s">
        <v>332</v>
      </c>
      <c r="E11" s="5" t="s">
        <v>145</v>
      </c>
      <c r="F11" s="5" t="s">
        <v>347</v>
      </c>
      <c r="G11" s="5" t="s">
        <v>361</v>
      </c>
      <c r="H11" s="5" t="s">
        <v>362</v>
      </c>
      <c r="I11" s="5" t="s">
        <v>363</v>
      </c>
      <c r="J11" s="5" t="s">
        <v>364</v>
      </c>
      <c r="K11" s="5" t="s">
        <v>365</v>
      </c>
    </row>
    <row r="12" spans="1:11" ht="37.950000000000003" customHeight="1">
      <c r="A12" s="6" t="s">
        <v>366</v>
      </c>
      <c r="B12" s="6" t="s">
        <v>367</v>
      </c>
      <c r="C12" s="6" t="s">
        <v>368</v>
      </c>
      <c r="D12" s="6" t="s">
        <v>332</v>
      </c>
      <c r="E12" s="6" t="s">
        <v>145</v>
      </c>
      <c r="F12" s="6" t="s">
        <v>347</v>
      </c>
      <c r="G12" s="6" t="s">
        <v>369</v>
      </c>
      <c r="H12" s="6" t="s">
        <v>355</v>
      </c>
      <c r="I12" s="6" t="s">
        <v>336</v>
      </c>
      <c r="J12" s="6" t="s">
        <v>370</v>
      </c>
      <c r="K12" s="6" t="s">
        <v>371</v>
      </c>
    </row>
    <row r="13" spans="1:11" ht="37.950000000000003" customHeight="1">
      <c r="A13" s="5" t="s">
        <v>372</v>
      </c>
      <c r="B13" s="5" t="s">
        <v>373</v>
      </c>
      <c r="C13" s="5" t="s">
        <v>374</v>
      </c>
      <c r="D13" s="5" t="s">
        <v>332</v>
      </c>
      <c r="E13" s="5" t="s">
        <v>145</v>
      </c>
      <c r="F13" s="5" t="s">
        <v>347</v>
      </c>
      <c r="G13" s="5" t="s">
        <v>375</v>
      </c>
      <c r="H13" s="5" t="s">
        <v>362</v>
      </c>
      <c r="I13" s="5" t="s">
        <v>363</v>
      </c>
      <c r="J13" s="5" t="s">
        <v>376</v>
      </c>
      <c r="K13" s="5" t="s">
        <v>377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23" customWidth="1"/>
    <col min="3" max="3" width="25" customWidth="1"/>
    <col min="4" max="4" width="52" customWidth="1"/>
    <col min="5" max="5" width="80" customWidth="1"/>
    <col min="6" max="6" width="58" customWidth="1"/>
    <col min="7" max="7" width="44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31.95" customHeight="1">
      <c r="A2" s="2" t="s">
        <v>378</v>
      </c>
      <c r="B2" s="1"/>
      <c r="C2" s="1"/>
      <c r="D2" s="1"/>
      <c r="E2" s="1"/>
      <c r="F2" s="1"/>
      <c r="G2" s="1"/>
    </row>
    <row r="3" spans="1:7">
      <c r="A3" s="3" t="s">
        <v>379</v>
      </c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 ht="37.950000000000003" customHeight="1">
      <c r="A5" s="4" t="s">
        <v>380</v>
      </c>
      <c r="B5" s="4" t="s">
        <v>381</v>
      </c>
      <c r="C5" s="4" t="s">
        <v>382</v>
      </c>
      <c r="D5" s="4" t="s">
        <v>383</v>
      </c>
      <c r="E5" s="4" t="s">
        <v>384</v>
      </c>
      <c r="F5" s="4" t="s">
        <v>385</v>
      </c>
      <c r="G5" s="4" t="s">
        <v>386</v>
      </c>
    </row>
    <row r="6" spans="1:7" ht="28.05" customHeight="1">
      <c r="A6" s="6" t="s">
        <v>387</v>
      </c>
      <c r="B6" s="6" t="s">
        <v>388</v>
      </c>
      <c r="C6" s="6" t="s">
        <v>224</v>
      </c>
      <c r="D6" s="6" t="s">
        <v>389</v>
      </c>
      <c r="E6" s="6" t="s">
        <v>390</v>
      </c>
      <c r="F6" s="6" t="s">
        <v>391</v>
      </c>
      <c r="G6" s="6" t="s">
        <v>392</v>
      </c>
    </row>
    <row r="7" spans="1:7" ht="28.05" customHeight="1">
      <c r="A7" s="5" t="s">
        <v>393</v>
      </c>
      <c r="B7" s="5" t="s">
        <v>394</v>
      </c>
      <c r="C7" s="5" t="s">
        <v>395</v>
      </c>
      <c r="D7" s="5" t="s">
        <v>396</v>
      </c>
      <c r="E7" s="5" t="s">
        <v>397</v>
      </c>
      <c r="F7" s="5" t="s">
        <v>398</v>
      </c>
      <c r="G7" s="5" t="s">
        <v>399</v>
      </c>
    </row>
    <row r="8" spans="1:7" ht="28.05" customHeight="1">
      <c r="A8" s="6" t="s">
        <v>400</v>
      </c>
      <c r="B8" s="6" t="s">
        <v>401</v>
      </c>
      <c r="C8" s="6" t="s">
        <v>395</v>
      </c>
      <c r="D8" s="6" t="s">
        <v>402</v>
      </c>
      <c r="E8" s="6" t="s">
        <v>403</v>
      </c>
      <c r="F8" s="6" t="s">
        <v>404</v>
      </c>
      <c r="G8" s="6" t="s">
        <v>405</v>
      </c>
    </row>
    <row r="9" spans="1:7" ht="28.05" customHeight="1">
      <c r="A9" s="5" t="s">
        <v>406</v>
      </c>
      <c r="B9" s="5" t="s">
        <v>407</v>
      </c>
      <c r="C9" s="5" t="s">
        <v>408</v>
      </c>
      <c r="D9" s="5" t="s">
        <v>409</v>
      </c>
      <c r="E9" s="5" t="s">
        <v>410</v>
      </c>
      <c r="F9" s="5" t="s">
        <v>411</v>
      </c>
      <c r="G9" s="5" t="s">
        <v>412</v>
      </c>
    </row>
    <row r="10" spans="1:7" ht="28.05" customHeight="1">
      <c r="A10" s="6" t="s">
        <v>413</v>
      </c>
      <c r="B10" s="6" t="s">
        <v>414</v>
      </c>
      <c r="C10" s="6" t="s">
        <v>395</v>
      </c>
      <c r="D10" s="6" t="s">
        <v>415</v>
      </c>
      <c r="E10" s="6" t="s">
        <v>416</v>
      </c>
      <c r="F10" s="6" t="s">
        <v>417</v>
      </c>
      <c r="G10" s="6" t="s">
        <v>418</v>
      </c>
    </row>
    <row r="11" spans="1:7" ht="28.05" customHeight="1">
      <c r="A11" s="5" t="s">
        <v>419</v>
      </c>
      <c r="B11" s="5" t="s">
        <v>420</v>
      </c>
      <c r="C11" s="5" t="s">
        <v>395</v>
      </c>
      <c r="D11" s="5" t="s">
        <v>421</v>
      </c>
      <c r="E11" s="5" t="s">
        <v>422</v>
      </c>
      <c r="F11" s="5" t="s">
        <v>423</v>
      </c>
      <c r="G11" s="5" t="s">
        <v>424</v>
      </c>
    </row>
    <row r="12" spans="1:7" ht="28.05" customHeight="1">
      <c r="A12" s="6" t="s">
        <v>425</v>
      </c>
      <c r="B12" s="6" t="s">
        <v>426</v>
      </c>
      <c r="C12" s="6" t="s">
        <v>427</v>
      </c>
      <c r="D12" s="6" t="s">
        <v>428</v>
      </c>
      <c r="E12" s="6" t="s">
        <v>429</v>
      </c>
      <c r="F12" s="6" t="s">
        <v>430</v>
      </c>
      <c r="G12" s="6" t="s">
        <v>431</v>
      </c>
    </row>
    <row r="13" spans="1:7" ht="28.05" customHeight="1">
      <c r="A13" s="5" t="s">
        <v>432</v>
      </c>
      <c r="B13" s="5" t="s">
        <v>433</v>
      </c>
      <c r="C13" s="5" t="s">
        <v>434</v>
      </c>
      <c r="D13" s="5" t="s">
        <v>435</v>
      </c>
      <c r="E13" s="5" t="s">
        <v>436</v>
      </c>
      <c r="F13" s="5" t="s">
        <v>437</v>
      </c>
      <c r="G13" s="5" t="s">
        <v>438</v>
      </c>
    </row>
    <row r="14" spans="1:7" ht="28.05" customHeight="1">
      <c r="A14" s="6" t="s">
        <v>439</v>
      </c>
      <c r="B14" s="6" t="s">
        <v>440</v>
      </c>
      <c r="C14" s="6" t="s">
        <v>339</v>
      </c>
      <c r="D14" s="6" t="s">
        <v>441</v>
      </c>
      <c r="E14" s="6" t="s">
        <v>442</v>
      </c>
      <c r="F14" s="6" t="s">
        <v>443</v>
      </c>
      <c r="G14" s="6" t="s">
        <v>444</v>
      </c>
    </row>
  </sheetData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1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D11" sqref="D11"/>
    </sheetView>
  </sheetViews>
  <sheetFormatPr defaultRowHeight="13.8"/>
  <cols>
    <col min="1" max="1" width="24" customWidth="1"/>
    <col min="2" max="2" width="45.69921875" customWidth="1"/>
    <col min="3" max="3" width="14" customWidth="1"/>
    <col min="4" max="4" width="40" customWidth="1"/>
    <col min="5" max="5" width="63.8984375" customWidth="1"/>
  </cols>
  <sheetData>
    <row r="1" spans="1:5">
      <c r="A1" s="1"/>
      <c r="B1" s="1"/>
      <c r="C1" s="1"/>
      <c r="D1" s="1"/>
      <c r="E1" s="1"/>
    </row>
    <row r="2" spans="1:5" ht="31.95" customHeight="1">
      <c r="A2" s="2" t="s">
        <v>445</v>
      </c>
      <c r="B2" s="1"/>
      <c r="C2" s="1"/>
      <c r="D2" s="1"/>
      <c r="E2" s="1"/>
    </row>
    <row r="3" spans="1:5">
      <c r="A3" s="3" t="s">
        <v>446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37.950000000000003" customHeight="1">
      <c r="A5" s="4" t="s">
        <v>447</v>
      </c>
      <c r="B5" s="4" t="s">
        <v>448</v>
      </c>
      <c r="C5" s="4" t="s">
        <v>449</v>
      </c>
      <c r="D5" s="4" t="s">
        <v>450</v>
      </c>
      <c r="E5" s="4" t="s">
        <v>451</v>
      </c>
    </row>
    <row r="6" spans="1:5" ht="28.05" customHeight="1">
      <c r="A6" s="6" t="s">
        <v>452</v>
      </c>
      <c r="B6" s="6" t="s">
        <v>133</v>
      </c>
      <c r="C6" s="6" t="s">
        <v>453</v>
      </c>
      <c r="D6" s="6" t="s">
        <v>454</v>
      </c>
      <c r="E6" s="6" t="s">
        <v>455</v>
      </c>
    </row>
    <row r="7" spans="1:5" ht="37.950000000000003" customHeight="1">
      <c r="A7" s="5" t="s">
        <v>456</v>
      </c>
      <c r="B7" s="5" t="s">
        <v>191</v>
      </c>
      <c r="C7" s="5" t="s">
        <v>453</v>
      </c>
      <c r="D7" s="5" t="s">
        <v>457</v>
      </c>
      <c r="E7" s="5" t="s">
        <v>458</v>
      </c>
    </row>
    <row r="8" spans="1:5" ht="28.05" customHeight="1">
      <c r="A8" s="6" t="s">
        <v>459</v>
      </c>
      <c r="B8" s="6" t="s">
        <v>460</v>
      </c>
      <c r="C8" s="6" t="s">
        <v>461</v>
      </c>
      <c r="D8" s="6" t="s">
        <v>462</v>
      </c>
      <c r="E8" s="6" t="s">
        <v>463</v>
      </c>
    </row>
    <row r="9" spans="1:5" ht="37.950000000000003" customHeight="1">
      <c r="A9" s="5" t="s">
        <v>464</v>
      </c>
      <c r="B9" s="5" t="s">
        <v>465</v>
      </c>
      <c r="C9" s="5" t="s">
        <v>461</v>
      </c>
      <c r="D9" s="5" t="s">
        <v>466</v>
      </c>
      <c r="E9" s="5" t="s">
        <v>467</v>
      </c>
    </row>
    <row r="10" spans="1:5" ht="28.05" customHeight="1">
      <c r="A10" s="6" t="s">
        <v>468</v>
      </c>
      <c r="B10" s="6" t="s">
        <v>469</v>
      </c>
      <c r="C10" s="6" t="s">
        <v>461</v>
      </c>
      <c r="D10" s="6" t="s">
        <v>470</v>
      </c>
      <c r="E10" s="6" t="s">
        <v>471</v>
      </c>
    </row>
    <row r="11" spans="1:5" ht="28.05" customHeight="1">
      <c r="A11" s="5" t="s">
        <v>472</v>
      </c>
      <c r="B11" s="5" t="s">
        <v>473</v>
      </c>
      <c r="C11" s="5" t="s">
        <v>461</v>
      </c>
      <c r="D11" s="5" t="s">
        <v>474</v>
      </c>
      <c r="E11" s="5" t="s">
        <v>475</v>
      </c>
    </row>
    <row r="12" spans="1:5" ht="28.05" customHeight="1">
      <c r="A12" s="6" t="s">
        <v>476</v>
      </c>
      <c r="B12" s="6" t="s">
        <v>477</v>
      </c>
      <c r="C12" s="6" t="s">
        <v>461</v>
      </c>
      <c r="D12" s="6" t="s">
        <v>478</v>
      </c>
      <c r="E12" s="6" t="s">
        <v>479</v>
      </c>
    </row>
    <row r="13" spans="1:5" ht="28.05" customHeight="1">
      <c r="A13" s="5" t="s">
        <v>480</v>
      </c>
      <c r="B13" s="5" t="s">
        <v>481</v>
      </c>
      <c r="C13" s="5" t="s">
        <v>482</v>
      </c>
      <c r="D13" s="5" t="s">
        <v>483</v>
      </c>
      <c r="E13" s="5" t="s">
        <v>484</v>
      </c>
    </row>
    <row r="14" spans="1:5" ht="28.05" customHeight="1">
      <c r="A14" s="6" t="s">
        <v>485</v>
      </c>
      <c r="B14" s="6" t="s">
        <v>91</v>
      </c>
      <c r="C14" s="6" t="s">
        <v>486</v>
      </c>
      <c r="D14" s="6" t="s">
        <v>487</v>
      </c>
      <c r="E14" s="6" t="s">
        <v>488</v>
      </c>
    </row>
    <row r="15" spans="1:5" ht="28.05" customHeight="1">
      <c r="A15" s="5" t="s">
        <v>489</v>
      </c>
      <c r="B15" s="5" t="s">
        <v>490</v>
      </c>
      <c r="C15" s="5" t="s">
        <v>491</v>
      </c>
      <c r="D15" s="5" t="s">
        <v>492</v>
      </c>
      <c r="E15" s="5" t="s">
        <v>493</v>
      </c>
    </row>
    <row r="16" spans="1:5" ht="28.05" customHeight="1">
      <c r="A16" s="6" t="s">
        <v>494</v>
      </c>
      <c r="B16" s="6" t="s">
        <v>311</v>
      </c>
      <c r="C16" s="6" t="s">
        <v>495</v>
      </c>
      <c r="D16" s="6" t="s">
        <v>496</v>
      </c>
      <c r="E16" s="6" t="s">
        <v>497</v>
      </c>
    </row>
    <row r="17" spans="1:5" ht="28.05" customHeight="1">
      <c r="A17" s="5" t="s">
        <v>498</v>
      </c>
      <c r="B17" s="5" t="s">
        <v>380</v>
      </c>
      <c r="C17" s="5" t="s">
        <v>499</v>
      </c>
      <c r="D17" s="5" t="s">
        <v>500</v>
      </c>
      <c r="E17" s="5" t="s">
        <v>501</v>
      </c>
    </row>
    <row r="18" spans="1:5" ht="37.950000000000003" customHeight="1">
      <c r="A18" s="6" t="s">
        <v>502</v>
      </c>
      <c r="B18" s="6" t="s">
        <v>503</v>
      </c>
      <c r="C18" s="6" t="s">
        <v>504</v>
      </c>
      <c r="D18" s="6" t="s">
        <v>505</v>
      </c>
      <c r="E18" s="6" t="s">
        <v>506</v>
      </c>
    </row>
    <row r="19" spans="1:5" ht="28.05" customHeight="1">
      <c r="A19" s="5" t="s">
        <v>507</v>
      </c>
      <c r="B19" s="5" t="s">
        <v>508</v>
      </c>
      <c r="C19" s="5" t="s">
        <v>509</v>
      </c>
      <c r="D19" s="5" t="s">
        <v>510</v>
      </c>
      <c r="E19" s="5" t="s">
        <v>511</v>
      </c>
    </row>
    <row r="20" spans="1:5" ht="28.05" customHeight="1">
      <c r="A20" s="6" t="s">
        <v>512</v>
      </c>
      <c r="B20" s="6" t="s">
        <v>513</v>
      </c>
      <c r="C20" s="6" t="s">
        <v>514</v>
      </c>
      <c r="D20" s="6" t="s">
        <v>515</v>
      </c>
      <c r="E20" s="6" t="s">
        <v>516</v>
      </c>
    </row>
    <row r="21" spans="1:5" ht="37.950000000000003" customHeight="1">
      <c r="A21" s="5" t="s">
        <v>517</v>
      </c>
      <c r="B21" s="5" t="s">
        <v>518</v>
      </c>
      <c r="C21" s="5" t="s">
        <v>519</v>
      </c>
      <c r="D21" s="5" t="s">
        <v>520</v>
      </c>
      <c r="E21" s="5" t="s">
        <v>521</v>
      </c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4" customWidth="1"/>
    <col min="2" max="2" width="59" customWidth="1"/>
    <col min="3" max="5" width="26" customWidth="1"/>
  </cols>
  <sheetData>
    <row r="1" spans="1:5">
      <c r="A1" s="1"/>
      <c r="B1" s="1"/>
      <c r="C1" s="1"/>
      <c r="D1" s="1"/>
      <c r="E1" s="1"/>
    </row>
    <row r="2" spans="1:5" ht="31.95" customHeight="1">
      <c r="A2" s="2" t="s">
        <v>522</v>
      </c>
      <c r="B2" s="1"/>
      <c r="C2" s="1"/>
      <c r="D2" s="1"/>
      <c r="E2" s="1"/>
    </row>
    <row r="3" spans="1:5">
      <c r="A3" s="3" t="s">
        <v>523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37.950000000000003" customHeight="1">
      <c r="A5" s="4" t="s">
        <v>2</v>
      </c>
      <c r="B5" s="4" t="s">
        <v>524</v>
      </c>
      <c r="C5" s="4" t="s">
        <v>525</v>
      </c>
      <c r="D5" s="4" t="s">
        <v>526</v>
      </c>
      <c r="E5" s="4" t="s">
        <v>527</v>
      </c>
    </row>
    <row r="6" spans="1:5" ht="28.05" customHeight="1">
      <c r="A6" s="6" t="s">
        <v>528</v>
      </c>
      <c r="B6" s="6" t="s">
        <v>529</v>
      </c>
      <c r="C6" s="9">
        <v>180</v>
      </c>
      <c r="D6" s="9">
        <v>180</v>
      </c>
      <c r="E6" s="11">
        <f t="shared" ref="E6:E18" si="0">D6-C6</f>
        <v>0</v>
      </c>
    </row>
    <row r="7" spans="1:5" ht="28.05" customHeight="1">
      <c r="A7" s="5" t="s">
        <v>530</v>
      </c>
      <c r="B7" s="5" t="s">
        <v>531</v>
      </c>
      <c r="C7" s="10">
        <v>700</v>
      </c>
      <c r="D7" s="18">
        <f>SC01검증!H7</f>
        <v>700</v>
      </c>
      <c r="E7" s="12">
        <f t="shared" si="0"/>
        <v>0</v>
      </c>
    </row>
    <row r="8" spans="1:5" ht="28.05" customHeight="1">
      <c r="A8" s="6" t="s">
        <v>532</v>
      </c>
      <c r="B8" s="6" t="s">
        <v>533</v>
      </c>
      <c r="C8" s="9">
        <v>14000000</v>
      </c>
      <c r="D8" s="17">
        <f>SC01검증!K7</f>
        <v>14000000</v>
      </c>
      <c r="E8" s="11">
        <f t="shared" si="0"/>
        <v>0</v>
      </c>
    </row>
    <row r="9" spans="1:5" ht="28.05" customHeight="1">
      <c r="A9" s="5" t="s">
        <v>534</v>
      </c>
      <c r="B9" s="5" t="s">
        <v>535</v>
      </c>
      <c r="C9" s="10">
        <v>-14000000</v>
      </c>
      <c r="D9" s="18">
        <f>월분기연간!O22</f>
        <v>-14000000</v>
      </c>
      <c r="E9" s="12">
        <f t="shared" si="0"/>
        <v>0</v>
      </c>
    </row>
    <row r="10" spans="1:5" ht="28.05" customHeight="1">
      <c r="A10" s="6" t="s">
        <v>536</v>
      </c>
      <c r="B10" s="6" t="s">
        <v>537</v>
      </c>
      <c r="C10" s="9">
        <v>-14000000</v>
      </c>
      <c r="D10" s="17">
        <f>월분기연간!O20</f>
        <v>-14000000</v>
      </c>
      <c r="E10" s="11">
        <f t="shared" si="0"/>
        <v>0</v>
      </c>
    </row>
    <row r="11" spans="1:5" ht="28.05" customHeight="1">
      <c r="A11" s="5" t="s">
        <v>538</v>
      </c>
      <c r="B11" s="5" t="s">
        <v>539</v>
      </c>
      <c r="C11" s="10">
        <v>0</v>
      </c>
      <c r="D11" s="18">
        <f>월분기연간!E22-SUM(월분기연간!E18:E21)</f>
        <v>0</v>
      </c>
      <c r="E11" s="12">
        <f t="shared" si="0"/>
        <v>0</v>
      </c>
    </row>
    <row r="12" spans="1:5" ht="28.05" customHeight="1">
      <c r="A12" s="6" t="s">
        <v>540</v>
      </c>
      <c r="B12" s="6" t="s">
        <v>541</v>
      </c>
      <c r="C12" s="9">
        <v>0</v>
      </c>
      <c r="D12" s="17">
        <f>월분기연간!N22-SUM(월분기연간!N18:N21)</f>
        <v>0</v>
      </c>
      <c r="E12" s="11">
        <f t="shared" si="0"/>
        <v>0</v>
      </c>
    </row>
    <row r="13" spans="1:5" ht="28.05" customHeight="1">
      <c r="A13" s="5" t="s">
        <v>542</v>
      </c>
      <c r="B13" s="5" t="s">
        <v>543</v>
      </c>
      <c r="C13" s="10">
        <v>0</v>
      </c>
      <c r="D13" s="18">
        <f>SUM(실적!H31:H35)+월분기연간!Q11-SUM(손익계산!F31:F35)</f>
        <v>0</v>
      </c>
      <c r="E13" s="12">
        <f t="shared" si="0"/>
        <v>0</v>
      </c>
    </row>
    <row r="14" spans="1:5" ht="28.05" customHeight="1">
      <c r="A14" s="6" t="s">
        <v>544</v>
      </c>
      <c r="B14" s="6" t="s">
        <v>545</v>
      </c>
      <c r="C14" s="9">
        <v>0</v>
      </c>
      <c r="D14" s="17">
        <f>SC01검증!H6</f>
        <v>0</v>
      </c>
      <c r="E14" s="11">
        <f t="shared" si="0"/>
        <v>0</v>
      </c>
    </row>
    <row r="15" spans="1:5" ht="28.05" customHeight="1">
      <c r="A15" s="5" t="s">
        <v>546</v>
      </c>
      <c r="B15" s="5" t="s">
        <v>547</v>
      </c>
      <c r="C15" s="10">
        <v>0</v>
      </c>
      <c r="D15" s="18">
        <f>SUM(고객원천!G21:G35)-SUM(물량스냅샷!F156:F170)</f>
        <v>0</v>
      </c>
      <c r="E15" s="12">
        <f t="shared" si="0"/>
        <v>0</v>
      </c>
    </row>
    <row r="16" spans="1:5" ht="28.05" customHeight="1">
      <c r="A16" s="6" t="s">
        <v>548</v>
      </c>
      <c r="B16" s="6" t="s">
        <v>549</v>
      </c>
      <c r="C16" s="9">
        <v>0</v>
      </c>
      <c r="D16" s="17">
        <f>SUM(실적!H6:H30)-SUM(물량스냅샷!F126:F150)</f>
        <v>0</v>
      </c>
      <c r="E16" s="11">
        <f t="shared" si="0"/>
        <v>0</v>
      </c>
    </row>
    <row r="17" spans="1:5" ht="28.05" customHeight="1">
      <c r="A17" s="5" t="s">
        <v>550</v>
      </c>
      <c r="B17" s="5" t="s">
        <v>551</v>
      </c>
      <c r="C17" s="10">
        <v>4440000000</v>
      </c>
      <c r="D17" s="18">
        <f>SUM(고정비!I6:I17)</f>
        <v>4440000000</v>
      </c>
      <c r="E17" s="12">
        <f t="shared" si="0"/>
        <v>0</v>
      </c>
    </row>
    <row r="18" spans="1:5" ht="28.05" customHeight="1">
      <c r="A18" s="6" t="s">
        <v>552</v>
      </c>
      <c r="B18" s="6" t="s">
        <v>553</v>
      </c>
      <c r="C18" s="9">
        <v>0</v>
      </c>
      <c r="D18" s="17">
        <f>SUM(단위원가!K6:K65)-SUM(손익계산!I6:I65)</f>
        <v>0</v>
      </c>
      <c r="E18" s="11">
        <f t="shared" si="0"/>
        <v>0</v>
      </c>
    </row>
  </sheetData>
  <phoneticPr fontId="10" type="noConversion"/>
  <conditionalFormatting sqref="E6:E18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설계안</vt:lpstr>
      <vt:lpstr>월분기연간</vt:lpstr>
      <vt:lpstr>SC01검증</vt:lpstr>
      <vt:lpstr>손익계산</vt:lpstr>
      <vt:lpstr>모델기준</vt:lpstr>
      <vt:lpstr>버전기준</vt:lpstr>
      <vt:lpstr>고객원천</vt:lpstr>
      <vt:lpstr>물량스냅샷</vt:lpstr>
      <vt:lpstr>실적</vt:lpstr>
      <vt:lpstr>단위원가</vt:lpstr>
      <vt:lpstr>고정비</vt:lpstr>
      <vt:lpstr>업무이력</vt:lpstr>
      <vt:lpstr>예외케이스</vt:lpstr>
      <vt:lpstr>데이터사전</vt:lpstr>
      <vt:lpstr>정합성검증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임근석</dc:creator>
  <cp:lastModifiedBy>근석 임</cp:lastModifiedBy>
  <dcterms:created xsi:type="dcterms:W3CDTF">2026-10-18T08:35:25Z</dcterms:created>
  <dcterms:modified xsi:type="dcterms:W3CDTF">2026-10-19T01:13:48Z</dcterms:modified>
</cp:coreProperties>
</file>