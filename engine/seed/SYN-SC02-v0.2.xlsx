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4879ffde389603/컨설팅/Managment Reference Model/장면2/"/>
    </mc:Choice>
  </mc:AlternateContent>
  <xr:revisionPtr revIDLastSave="32" documentId="8_{4B8462EF-ED9E-47A3-A294-3D8216169851}" xr6:coauthVersionLast="47" xr6:coauthVersionMax="47" xr10:uidLastSave="{F6352247-36BC-4BEC-864E-D5A428FE75E5}"/>
  <bookViews>
    <workbookView xWindow="-108" yWindow="-108" windowWidth="23256" windowHeight="12456" tabRatio="836" firstSheet="5" activeTab="15" xr2:uid="{00000000-000D-0000-FFFF-FFFF00000000}"/>
  </bookViews>
  <sheets>
    <sheet name="검토요약" sheetId="1" r:id="rId1"/>
    <sheet name="설정" sheetId="2" r:id="rId2"/>
    <sheet name="단가안비교" sheetId="3" r:id="rId3"/>
    <sheet name="통합손익" sheetId="4" r:id="rId4"/>
    <sheet name="월별계산" sheetId="5" r:id="rId5"/>
    <sheet name="물량원가기준" sheetId="6" r:id="rId6"/>
    <sheet name="월고정비" sheetId="7" r:id="rId7"/>
    <sheet name="부품모델매핑" sheetId="8" r:id="rId8"/>
    <sheet name="단가버전" sheetId="9" r:id="rId9"/>
    <sheet name="업무이력" sheetId="10" r:id="rId10"/>
    <sheet name="증빙과협상" sheetId="11" r:id="rId11"/>
    <sheet name="장면3인계" sheetId="12" r:id="rId12"/>
    <sheet name="예외데이터" sheetId="13" r:id="rId13"/>
    <sheet name="검토의견반영" sheetId="14" r:id="rId14"/>
    <sheet name="데이터계약" sheetId="15" r:id="rId15"/>
    <sheet name="정합성검증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6" l="1"/>
  <c r="E21" i="16" s="1"/>
  <c r="F21" i="16" s="1"/>
  <c r="D18" i="16"/>
  <c r="E18" i="16" s="1"/>
  <c r="F18" i="16" s="1"/>
  <c r="I17" i="13"/>
  <c r="H17" i="13"/>
  <c r="I16" i="13"/>
  <c r="H16" i="13"/>
  <c r="I15" i="13"/>
  <c r="H15" i="13"/>
  <c r="I14" i="13"/>
  <c r="H14" i="13"/>
  <c r="I9" i="13"/>
  <c r="H9" i="13"/>
  <c r="I8" i="13"/>
  <c r="H8" i="13"/>
  <c r="B11" i="12"/>
  <c r="H10" i="10"/>
  <c r="H9" i="10"/>
  <c r="G10" i="9"/>
  <c r="F10" i="9"/>
  <c r="E10" i="9"/>
  <c r="G9" i="9"/>
  <c r="F9" i="9"/>
  <c r="D9" i="3" s="1"/>
  <c r="E9" i="9"/>
  <c r="C9" i="3" s="1"/>
  <c r="E9" i="3" s="1"/>
  <c r="J9" i="3" s="1"/>
  <c r="G8" i="9"/>
  <c r="F8" i="9"/>
  <c r="D8" i="3" s="1"/>
  <c r="E8" i="9"/>
  <c r="C8" i="3" s="1"/>
  <c r="G7" i="9"/>
  <c r="F7" i="9"/>
  <c r="E7" i="9"/>
  <c r="G6" i="9"/>
  <c r="F6" i="9"/>
  <c r="E6" i="9"/>
  <c r="F10" i="8"/>
  <c r="G10" i="8" s="1"/>
  <c r="E10" i="8"/>
  <c r="F9" i="8"/>
  <c r="G9" i="8" s="1"/>
  <c r="E9" i="8"/>
  <c r="G8" i="8"/>
  <c r="F8" i="8"/>
  <c r="E8" i="8"/>
  <c r="F7" i="8"/>
  <c r="E7" i="8"/>
  <c r="G7" i="8" s="1"/>
  <c r="F6" i="8"/>
  <c r="G6" i="8" s="1"/>
  <c r="D14" i="16" s="1"/>
  <c r="E14" i="16" s="1"/>
  <c r="F14" i="16" s="1"/>
  <c r="E6" i="8"/>
  <c r="B24" i="7"/>
  <c r="B23" i="7"/>
  <c r="B22" i="7"/>
  <c r="B21" i="7"/>
  <c r="B20" i="7"/>
  <c r="B19" i="7"/>
  <c r="B18" i="7"/>
  <c r="J100" i="6"/>
  <c r="I100" i="6"/>
  <c r="H100" i="6"/>
  <c r="G100" i="6"/>
  <c r="E100" i="6"/>
  <c r="F100" i="6" s="1"/>
  <c r="J99" i="6"/>
  <c r="I99" i="6"/>
  <c r="H99" i="6"/>
  <c r="G99" i="6"/>
  <c r="E99" i="6"/>
  <c r="F99" i="6" s="1"/>
  <c r="J98" i="6"/>
  <c r="I98" i="6"/>
  <c r="T98" i="5" s="1"/>
  <c r="H98" i="6"/>
  <c r="G98" i="5" s="1"/>
  <c r="H98" i="5" s="1"/>
  <c r="G98" i="6"/>
  <c r="F98" i="6"/>
  <c r="J98" i="5" s="1"/>
  <c r="P98" i="5" s="1"/>
  <c r="E98" i="6"/>
  <c r="J97" i="6"/>
  <c r="I97" i="6"/>
  <c r="H97" i="6"/>
  <c r="G97" i="6"/>
  <c r="E97" i="6"/>
  <c r="F97" i="6" s="1"/>
  <c r="J96" i="6"/>
  <c r="I96" i="6"/>
  <c r="H96" i="6"/>
  <c r="G96" i="6"/>
  <c r="E96" i="6"/>
  <c r="F96" i="6" s="1"/>
  <c r="U96" i="5" s="1"/>
  <c r="J95" i="6"/>
  <c r="I95" i="6"/>
  <c r="H95" i="6"/>
  <c r="G95" i="6"/>
  <c r="F95" i="5" s="1"/>
  <c r="F95" i="6"/>
  <c r="E95" i="6"/>
  <c r="D95" i="5" s="1"/>
  <c r="J94" i="6"/>
  <c r="I94" i="6"/>
  <c r="T94" i="5" s="1"/>
  <c r="H94" i="6"/>
  <c r="G94" i="6"/>
  <c r="E94" i="6"/>
  <c r="F94" i="6" s="1"/>
  <c r="J93" i="6"/>
  <c r="I93" i="6"/>
  <c r="H93" i="6"/>
  <c r="G93" i="5" s="1"/>
  <c r="G93" i="6"/>
  <c r="F93" i="5" s="1"/>
  <c r="H93" i="5" s="1"/>
  <c r="E93" i="6"/>
  <c r="J92" i="6"/>
  <c r="I92" i="6"/>
  <c r="H92" i="6"/>
  <c r="G92" i="6"/>
  <c r="F92" i="5" s="1"/>
  <c r="E92" i="6"/>
  <c r="J91" i="6"/>
  <c r="I91" i="6"/>
  <c r="H91" i="6"/>
  <c r="G91" i="5" s="1"/>
  <c r="G91" i="6"/>
  <c r="F91" i="5" s="1"/>
  <c r="H91" i="5" s="1"/>
  <c r="E91" i="6"/>
  <c r="D91" i="5" s="1"/>
  <c r="K91" i="5" s="1"/>
  <c r="J90" i="6"/>
  <c r="I90" i="6"/>
  <c r="H90" i="6"/>
  <c r="G90" i="6"/>
  <c r="E90" i="6"/>
  <c r="F90" i="6" s="1"/>
  <c r="U90" i="5" s="1"/>
  <c r="J89" i="6"/>
  <c r="I89" i="6"/>
  <c r="T89" i="5" s="1"/>
  <c r="H89" i="6"/>
  <c r="G89" i="5" s="1"/>
  <c r="H89" i="5" s="1"/>
  <c r="G89" i="6"/>
  <c r="F89" i="5" s="1"/>
  <c r="F89" i="6"/>
  <c r="E89" i="6"/>
  <c r="J88" i="6"/>
  <c r="I88" i="6"/>
  <c r="H88" i="6"/>
  <c r="G88" i="6"/>
  <c r="E88" i="6"/>
  <c r="J87" i="6"/>
  <c r="I87" i="6"/>
  <c r="H87" i="6"/>
  <c r="G87" i="5" s="1"/>
  <c r="G87" i="6"/>
  <c r="F87" i="5" s="1"/>
  <c r="H87" i="5" s="1"/>
  <c r="K87" i="5" s="1"/>
  <c r="F87" i="6"/>
  <c r="U87" i="5" s="1"/>
  <c r="E87" i="6"/>
  <c r="J86" i="6"/>
  <c r="I86" i="6"/>
  <c r="H86" i="6"/>
  <c r="G86" i="6"/>
  <c r="E86" i="6"/>
  <c r="J85" i="6"/>
  <c r="I85" i="6"/>
  <c r="H85" i="6"/>
  <c r="G85" i="6"/>
  <c r="F85" i="6"/>
  <c r="E85" i="5" s="1"/>
  <c r="E85" i="6"/>
  <c r="D85" i="5" s="1"/>
  <c r="J84" i="6"/>
  <c r="I84" i="6"/>
  <c r="H84" i="6"/>
  <c r="G84" i="6"/>
  <c r="F84" i="6"/>
  <c r="E84" i="6"/>
  <c r="J83" i="6"/>
  <c r="I83" i="6"/>
  <c r="H83" i="6"/>
  <c r="G83" i="6"/>
  <c r="E83" i="6"/>
  <c r="F83" i="6" s="1"/>
  <c r="J82" i="6"/>
  <c r="I82" i="6"/>
  <c r="H82" i="6"/>
  <c r="G82" i="6"/>
  <c r="F82" i="5" s="1"/>
  <c r="H82" i="5" s="1"/>
  <c r="F82" i="6"/>
  <c r="E82" i="6"/>
  <c r="D82" i="5" s="1"/>
  <c r="K82" i="5" s="1"/>
  <c r="J81" i="6"/>
  <c r="G81" i="5" s="1"/>
  <c r="I81" i="6"/>
  <c r="H81" i="6"/>
  <c r="G81" i="6"/>
  <c r="F81" i="5" s="1"/>
  <c r="H81" i="5" s="1"/>
  <c r="K81" i="5" s="1"/>
  <c r="F81" i="6"/>
  <c r="E81" i="6"/>
  <c r="D81" i="5" s="1"/>
  <c r="J80" i="6"/>
  <c r="I80" i="6"/>
  <c r="H80" i="6"/>
  <c r="G80" i="6"/>
  <c r="F80" i="5" s="1"/>
  <c r="H80" i="5" s="1"/>
  <c r="E80" i="6"/>
  <c r="F80" i="6" s="1"/>
  <c r="J79" i="6"/>
  <c r="I79" i="6"/>
  <c r="H79" i="6"/>
  <c r="G79" i="6"/>
  <c r="E79" i="6"/>
  <c r="F79" i="6" s="1"/>
  <c r="E79" i="5" s="1"/>
  <c r="J78" i="6"/>
  <c r="I78" i="6"/>
  <c r="T78" i="5" s="1"/>
  <c r="H78" i="6"/>
  <c r="G78" i="6"/>
  <c r="F78" i="6"/>
  <c r="E78" i="6"/>
  <c r="J77" i="6"/>
  <c r="I77" i="6"/>
  <c r="T77" i="5" s="1"/>
  <c r="H77" i="6"/>
  <c r="G77" i="5" s="1"/>
  <c r="G77" i="6"/>
  <c r="F77" i="5" s="1"/>
  <c r="H77" i="5" s="1"/>
  <c r="E77" i="6"/>
  <c r="F77" i="6" s="1"/>
  <c r="J76" i="6"/>
  <c r="I76" i="6"/>
  <c r="H76" i="6"/>
  <c r="G76" i="5" s="1"/>
  <c r="G76" i="6"/>
  <c r="F76" i="5" s="1"/>
  <c r="F76" i="6"/>
  <c r="E76" i="6"/>
  <c r="J75" i="6"/>
  <c r="I75" i="6"/>
  <c r="H75" i="6"/>
  <c r="G75" i="6"/>
  <c r="E75" i="6"/>
  <c r="J74" i="6"/>
  <c r="I74" i="6"/>
  <c r="H74" i="6"/>
  <c r="G74" i="5" s="1"/>
  <c r="G74" i="6"/>
  <c r="F74" i="5" s="1"/>
  <c r="H74" i="5" s="1"/>
  <c r="F74" i="6"/>
  <c r="E74" i="6"/>
  <c r="D74" i="5" s="1"/>
  <c r="K74" i="5" s="1"/>
  <c r="J73" i="6"/>
  <c r="I73" i="6"/>
  <c r="H73" i="6"/>
  <c r="G73" i="6"/>
  <c r="F73" i="5" s="1"/>
  <c r="F73" i="6"/>
  <c r="E73" i="6"/>
  <c r="J72" i="6"/>
  <c r="I72" i="6"/>
  <c r="H72" i="6"/>
  <c r="G72" i="6"/>
  <c r="E72" i="6"/>
  <c r="F72" i="6" s="1"/>
  <c r="J71" i="6"/>
  <c r="I71" i="6"/>
  <c r="H71" i="6"/>
  <c r="G71" i="5" s="1"/>
  <c r="G71" i="6"/>
  <c r="F71" i="6"/>
  <c r="E71" i="6"/>
  <c r="D71" i="5" s="1"/>
  <c r="J70" i="6"/>
  <c r="I70" i="6"/>
  <c r="H70" i="6"/>
  <c r="G70" i="5" s="1"/>
  <c r="G70" i="6"/>
  <c r="F70" i="5" s="1"/>
  <c r="H70" i="5" s="1"/>
  <c r="K70" i="5" s="1"/>
  <c r="F70" i="6"/>
  <c r="E70" i="6"/>
  <c r="D70" i="5" s="1"/>
  <c r="J69" i="6"/>
  <c r="I69" i="6"/>
  <c r="T69" i="5" s="1"/>
  <c r="H69" i="6"/>
  <c r="G69" i="5" s="1"/>
  <c r="G69" i="6"/>
  <c r="F69" i="5" s="1"/>
  <c r="E69" i="6"/>
  <c r="F69" i="6" s="1"/>
  <c r="E69" i="5" s="1"/>
  <c r="J68" i="6"/>
  <c r="I68" i="6"/>
  <c r="H68" i="6"/>
  <c r="G68" i="6"/>
  <c r="E68" i="6"/>
  <c r="F68" i="6" s="1"/>
  <c r="J67" i="6"/>
  <c r="I67" i="6"/>
  <c r="T67" i="5" s="1"/>
  <c r="H67" i="6"/>
  <c r="G67" i="6"/>
  <c r="F67" i="5" s="1"/>
  <c r="H67" i="5" s="1"/>
  <c r="E67" i="6"/>
  <c r="J66" i="6"/>
  <c r="I66" i="6"/>
  <c r="H66" i="6"/>
  <c r="G66" i="5" s="1"/>
  <c r="G66" i="6"/>
  <c r="F66" i="5" s="1"/>
  <c r="H66" i="5" s="1"/>
  <c r="E66" i="6"/>
  <c r="T100" i="5"/>
  <c r="R100" i="5"/>
  <c r="I100" i="5"/>
  <c r="G100" i="5"/>
  <c r="H100" i="5" s="1"/>
  <c r="F100" i="5"/>
  <c r="D100" i="5"/>
  <c r="C100" i="5"/>
  <c r="B100" i="5"/>
  <c r="A100" i="5"/>
  <c r="R99" i="5"/>
  <c r="I99" i="5"/>
  <c r="T99" i="5" s="1"/>
  <c r="G99" i="5"/>
  <c r="E99" i="5"/>
  <c r="D99" i="5"/>
  <c r="C99" i="5"/>
  <c r="B99" i="5"/>
  <c r="A99" i="5"/>
  <c r="S98" i="5"/>
  <c r="R98" i="5"/>
  <c r="I98" i="5"/>
  <c r="F98" i="5"/>
  <c r="E98" i="5"/>
  <c r="D98" i="5"/>
  <c r="C98" i="5"/>
  <c r="B98" i="5"/>
  <c r="A98" i="5"/>
  <c r="U97" i="5"/>
  <c r="S97" i="5"/>
  <c r="R97" i="5"/>
  <c r="I97" i="5"/>
  <c r="G97" i="5"/>
  <c r="F97" i="5"/>
  <c r="H97" i="5" s="1"/>
  <c r="E97" i="5"/>
  <c r="L97" i="5" s="1"/>
  <c r="C97" i="5"/>
  <c r="B97" i="5"/>
  <c r="A97" i="5"/>
  <c r="T96" i="5"/>
  <c r="R96" i="5"/>
  <c r="I96" i="5"/>
  <c r="F96" i="5"/>
  <c r="C96" i="5"/>
  <c r="B96" i="5"/>
  <c r="A96" i="5"/>
  <c r="R95" i="5"/>
  <c r="I95" i="5"/>
  <c r="E95" i="5"/>
  <c r="C95" i="5"/>
  <c r="B95" i="5"/>
  <c r="A95" i="5"/>
  <c r="U95" i="5" s="1"/>
  <c r="R94" i="5"/>
  <c r="I94" i="5"/>
  <c r="F94" i="5"/>
  <c r="D94" i="5"/>
  <c r="C94" i="5"/>
  <c r="B94" i="5"/>
  <c r="N94" i="5" s="1"/>
  <c r="A94" i="5"/>
  <c r="U94" i="5" s="1"/>
  <c r="R93" i="5"/>
  <c r="I93" i="5"/>
  <c r="C93" i="5"/>
  <c r="B93" i="5"/>
  <c r="A93" i="5"/>
  <c r="R92" i="5"/>
  <c r="I92" i="5"/>
  <c r="C92" i="5"/>
  <c r="B92" i="5"/>
  <c r="A92" i="5"/>
  <c r="T91" i="5"/>
  <c r="R91" i="5"/>
  <c r="I91" i="5"/>
  <c r="C91" i="5"/>
  <c r="B91" i="5"/>
  <c r="N91" i="5" s="1"/>
  <c r="A91" i="5"/>
  <c r="R90" i="5"/>
  <c r="O90" i="5"/>
  <c r="N90" i="5"/>
  <c r="I90" i="5"/>
  <c r="T90" i="5" s="1"/>
  <c r="H90" i="5"/>
  <c r="G90" i="5"/>
  <c r="F90" i="5"/>
  <c r="C90" i="5"/>
  <c r="B90" i="5"/>
  <c r="A90" i="5"/>
  <c r="R89" i="5"/>
  <c r="O89" i="5"/>
  <c r="I89" i="5"/>
  <c r="C89" i="5"/>
  <c r="B89" i="5"/>
  <c r="A89" i="5"/>
  <c r="R88" i="5"/>
  <c r="I88" i="5"/>
  <c r="T88" i="5" s="1"/>
  <c r="H88" i="5"/>
  <c r="G88" i="5"/>
  <c r="F88" i="5"/>
  <c r="C88" i="5"/>
  <c r="B88" i="5"/>
  <c r="A88" i="5"/>
  <c r="S87" i="5"/>
  <c r="R87" i="5"/>
  <c r="I87" i="5"/>
  <c r="E87" i="5"/>
  <c r="D87" i="5"/>
  <c r="C87" i="5"/>
  <c r="B87" i="5"/>
  <c r="A87" i="5"/>
  <c r="R86" i="5"/>
  <c r="N86" i="5"/>
  <c r="I86" i="5"/>
  <c r="T86" i="5" s="1"/>
  <c r="G86" i="5"/>
  <c r="F86" i="5"/>
  <c r="H86" i="5" s="1"/>
  <c r="C86" i="5"/>
  <c r="B86" i="5"/>
  <c r="A86" i="5"/>
  <c r="R85" i="5"/>
  <c r="N85" i="5"/>
  <c r="I85" i="5"/>
  <c r="J85" i="5" s="1"/>
  <c r="P85" i="5" s="1"/>
  <c r="F85" i="5"/>
  <c r="C85" i="5"/>
  <c r="B85" i="5"/>
  <c r="A85" i="5"/>
  <c r="R84" i="5"/>
  <c r="N84" i="5"/>
  <c r="J84" i="5"/>
  <c r="I84" i="5"/>
  <c r="F84" i="5"/>
  <c r="E84" i="5"/>
  <c r="D84" i="5"/>
  <c r="C84" i="5"/>
  <c r="B84" i="5"/>
  <c r="A84" i="5"/>
  <c r="R83" i="5"/>
  <c r="O83" i="5"/>
  <c r="I83" i="5"/>
  <c r="F83" i="5"/>
  <c r="E83" i="5"/>
  <c r="D83" i="5"/>
  <c r="C83" i="5"/>
  <c r="B83" i="5"/>
  <c r="A83" i="5"/>
  <c r="U83" i="5" s="1"/>
  <c r="R82" i="5"/>
  <c r="N82" i="5"/>
  <c r="I82" i="5"/>
  <c r="G82" i="5"/>
  <c r="C82" i="5"/>
  <c r="B82" i="5"/>
  <c r="A82" i="5"/>
  <c r="R81" i="5"/>
  <c r="I81" i="5"/>
  <c r="E81" i="5"/>
  <c r="C81" i="5"/>
  <c r="B81" i="5"/>
  <c r="A81" i="5"/>
  <c r="U80" i="5"/>
  <c r="R80" i="5"/>
  <c r="I80" i="5"/>
  <c r="G80" i="5"/>
  <c r="D80" i="5"/>
  <c r="C80" i="5"/>
  <c r="B80" i="5"/>
  <c r="A80" i="5"/>
  <c r="U79" i="5"/>
  <c r="T79" i="5"/>
  <c r="R79" i="5"/>
  <c r="I79" i="5"/>
  <c r="G79" i="5"/>
  <c r="H79" i="5" s="1"/>
  <c r="K79" i="5" s="1"/>
  <c r="F79" i="5"/>
  <c r="D79" i="5"/>
  <c r="C79" i="5"/>
  <c r="B79" i="5"/>
  <c r="A79" i="5"/>
  <c r="R78" i="5"/>
  <c r="I78" i="5"/>
  <c r="G78" i="5"/>
  <c r="F78" i="5"/>
  <c r="H78" i="5" s="1"/>
  <c r="C78" i="5"/>
  <c r="B78" i="5"/>
  <c r="A78" i="5"/>
  <c r="U77" i="5"/>
  <c r="R77" i="5"/>
  <c r="L77" i="5"/>
  <c r="I77" i="5"/>
  <c r="E77" i="5"/>
  <c r="D77" i="5"/>
  <c r="C77" i="5"/>
  <c r="B77" i="5"/>
  <c r="A77" i="5"/>
  <c r="T76" i="5"/>
  <c r="S76" i="5"/>
  <c r="R76" i="5"/>
  <c r="I76" i="5"/>
  <c r="H76" i="5"/>
  <c r="E76" i="5"/>
  <c r="D76" i="5"/>
  <c r="C76" i="5"/>
  <c r="B76" i="5"/>
  <c r="A76" i="5"/>
  <c r="R75" i="5"/>
  <c r="I75" i="5"/>
  <c r="G75" i="5"/>
  <c r="F75" i="5"/>
  <c r="C75" i="5"/>
  <c r="B75" i="5"/>
  <c r="A75" i="5"/>
  <c r="R74" i="5"/>
  <c r="I74" i="5"/>
  <c r="C74" i="5"/>
  <c r="B74" i="5"/>
  <c r="O74" i="5" s="1"/>
  <c r="A74" i="5"/>
  <c r="U73" i="5"/>
  <c r="T73" i="5"/>
  <c r="S73" i="5"/>
  <c r="R73" i="5"/>
  <c r="N73" i="5"/>
  <c r="I73" i="5"/>
  <c r="E73" i="5"/>
  <c r="D73" i="5"/>
  <c r="C73" i="5"/>
  <c r="B73" i="5"/>
  <c r="A73" i="5"/>
  <c r="U72" i="5"/>
  <c r="T72" i="5"/>
  <c r="R72" i="5"/>
  <c r="O72" i="5"/>
  <c r="N72" i="5"/>
  <c r="I72" i="5"/>
  <c r="G72" i="5"/>
  <c r="F72" i="5"/>
  <c r="D72" i="5"/>
  <c r="C72" i="5"/>
  <c r="B72" i="5"/>
  <c r="A72" i="5"/>
  <c r="R71" i="5"/>
  <c r="N71" i="5"/>
  <c r="I71" i="5"/>
  <c r="F71" i="5"/>
  <c r="H71" i="5" s="1"/>
  <c r="K71" i="5" s="1"/>
  <c r="C71" i="5"/>
  <c r="B71" i="5"/>
  <c r="A71" i="5"/>
  <c r="T70" i="5"/>
  <c r="R70" i="5"/>
  <c r="I70" i="5"/>
  <c r="C70" i="5"/>
  <c r="B70" i="5"/>
  <c r="A70" i="5"/>
  <c r="S69" i="5"/>
  <c r="R69" i="5"/>
  <c r="O69" i="5"/>
  <c r="J69" i="5"/>
  <c r="P69" i="5" s="1"/>
  <c r="I69" i="5"/>
  <c r="D69" i="5"/>
  <c r="C69" i="5"/>
  <c r="B69" i="5"/>
  <c r="A69" i="5"/>
  <c r="R68" i="5"/>
  <c r="O68" i="5"/>
  <c r="I68" i="5"/>
  <c r="T68" i="5" s="1"/>
  <c r="H68" i="5"/>
  <c r="G68" i="5"/>
  <c r="F68" i="5"/>
  <c r="C68" i="5"/>
  <c r="B68" i="5"/>
  <c r="A68" i="5"/>
  <c r="R67" i="5"/>
  <c r="O67" i="5"/>
  <c r="N67" i="5"/>
  <c r="I67" i="5"/>
  <c r="G67" i="5"/>
  <c r="C67" i="5"/>
  <c r="B67" i="5"/>
  <c r="A67" i="5"/>
  <c r="T66" i="5"/>
  <c r="R66" i="5"/>
  <c r="I66" i="5"/>
  <c r="C66" i="5"/>
  <c r="B66" i="5"/>
  <c r="A66" i="5"/>
  <c r="U65" i="5"/>
  <c r="P65" i="5"/>
  <c r="O65" i="5"/>
  <c r="I65" i="5"/>
  <c r="T65" i="5" s="1"/>
  <c r="G65" i="5"/>
  <c r="F65" i="5"/>
  <c r="E65" i="5"/>
  <c r="J65" i="5" s="1"/>
  <c r="D65" i="5"/>
  <c r="C65" i="5"/>
  <c r="B65" i="5"/>
  <c r="A65" i="5"/>
  <c r="U64" i="5"/>
  <c r="T64" i="5"/>
  <c r="P64" i="5"/>
  <c r="O64" i="5"/>
  <c r="N64" i="5"/>
  <c r="J64" i="5"/>
  <c r="I64" i="5"/>
  <c r="G64" i="5"/>
  <c r="F64" i="5"/>
  <c r="H64" i="5" s="1"/>
  <c r="E64" i="5"/>
  <c r="S64" i="5" s="1"/>
  <c r="D64" i="5"/>
  <c r="K64" i="5" s="1"/>
  <c r="C64" i="5"/>
  <c r="B64" i="5"/>
  <c r="A64" i="5"/>
  <c r="T63" i="5"/>
  <c r="N63" i="5"/>
  <c r="I63" i="5"/>
  <c r="G63" i="5"/>
  <c r="F63" i="5"/>
  <c r="H63" i="5" s="1"/>
  <c r="E63" i="5"/>
  <c r="D63" i="5"/>
  <c r="C63" i="5"/>
  <c r="B63" i="5"/>
  <c r="A63" i="5"/>
  <c r="U63" i="5" s="1"/>
  <c r="S62" i="5"/>
  <c r="N62" i="5"/>
  <c r="K62" i="5"/>
  <c r="I62" i="5"/>
  <c r="G62" i="5"/>
  <c r="F62" i="5"/>
  <c r="H62" i="5" s="1"/>
  <c r="E62" i="5"/>
  <c r="J62" i="5" s="1"/>
  <c r="D62" i="5"/>
  <c r="C62" i="5"/>
  <c r="B62" i="5"/>
  <c r="A62" i="5"/>
  <c r="U62" i="5" s="1"/>
  <c r="I61" i="5"/>
  <c r="J61" i="5" s="1"/>
  <c r="G61" i="5"/>
  <c r="H61" i="5" s="1"/>
  <c r="R61" i="5" s="1"/>
  <c r="F61" i="5"/>
  <c r="E61" i="5"/>
  <c r="S61" i="5" s="1"/>
  <c r="D61" i="5"/>
  <c r="K61" i="5" s="1"/>
  <c r="C61" i="5"/>
  <c r="B61" i="5"/>
  <c r="A61" i="5"/>
  <c r="U61" i="5" s="1"/>
  <c r="P60" i="5"/>
  <c r="I60" i="5"/>
  <c r="J60" i="5" s="1"/>
  <c r="G60" i="5"/>
  <c r="H60" i="5" s="1"/>
  <c r="R60" i="5" s="1"/>
  <c r="F60" i="5"/>
  <c r="E60" i="5"/>
  <c r="S60" i="5" s="1"/>
  <c r="D60" i="5"/>
  <c r="K60" i="5" s="1"/>
  <c r="C60" i="5"/>
  <c r="B60" i="5"/>
  <c r="A60" i="5"/>
  <c r="U60" i="5" s="1"/>
  <c r="U59" i="5"/>
  <c r="O59" i="5"/>
  <c r="I59" i="5"/>
  <c r="J59" i="5" s="1"/>
  <c r="G59" i="5"/>
  <c r="F59" i="5"/>
  <c r="H59" i="5" s="1"/>
  <c r="E59" i="5"/>
  <c r="D59" i="5"/>
  <c r="C59" i="5"/>
  <c r="B59" i="5"/>
  <c r="A59" i="5"/>
  <c r="T58" i="5"/>
  <c r="O58" i="5"/>
  <c r="N58" i="5"/>
  <c r="J58" i="5"/>
  <c r="I58" i="5"/>
  <c r="G58" i="5"/>
  <c r="F58" i="5"/>
  <c r="H58" i="5" s="1"/>
  <c r="E58" i="5"/>
  <c r="D58" i="5"/>
  <c r="C58" i="5"/>
  <c r="B58" i="5"/>
  <c r="A58" i="5"/>
  <c r="U58" i="5" s="1"/>
  <c r="U57" i="5"/>
  <c r="I57" i="5"/>
  <c r="T57" i="5" s="1"/>
  <c r="G57" i="5"/>
  <c r="H57" i="5" s="1"/>
  <c r="F57" i="5"/>
  <c r="E57" i="5"/>
  <c r="D57" i="5"/>
  <c r="C57" i="5"/>
  <c r="B57" i="5"/>
  <c r="A57" i="5"/>
  <c r="U56" i="5"/>
  <c r="T56" i="5"/>
  <c r="S56" i="5"/>
  <c r="J56" i="5"/>
  <c r="I56" i="5"/>
  <c r="G56" i="5"/>
  <c r="F56" i="5"/>
  <c r="H56" i="5" s="1"/>
  <c r="R56" i="5" s="1"/>
  <c r="E56" i="5"/>
  <c r="D56" i="5"/>
  <c r="C56" i="5"/>
  <c r="B56" i="5"/>
  <c r="A56" i="5"/>
  <c r="U55" i="5"/>
  <c r="T55" i="5"/>
  <c r="I55" i="5"/>
  <c r="G55" i="5"/>
  <c r="H55" i="5" s="1"/>
  <c r="R55" i="5" s="1"/>
  <c r="F55" i="5"/>
  <c r="E55" i="5"/>
  <c r="D55" i="5"/>
  <c r="C55" i="5"/>
  <c r="B55" i="5"/>
  <c r="A55" i="5"/>
  <c r="J54" i="5"/>
  <c r="P54" i="5" s="1"/>
  <c r="I54" i="5"/>
  <c r="G54" i="5"/>
  <c r="F54" i="5"/>
  <c r="H54" i="5" s="1"/>
  <c r="E54" i="5"/>
  <c r="D54" i="5"/>
  <c r="C54" i="5"/>
  <c r="B54" i="5"/>
  <c r="A54" i="5"/>
  <c r="U54" i="5" s="1"/>
  <c r="R53" i="5"/>
  <c r="I53" i="5"/>
  <c r="G53" i="5"/>
  <c r="F53" i="5"/>
  <c r="H53" i="5" s="1"/>
  <c r="E53" i="5"/>
  <c r="D53" i="5"/>
  <c r="K53" i="5" s="1"/>
  <c r="C53" i="5"/>
  <c r="B53" i="5"/>
  <c r="A53" i="5"/>
  <c r="U53" i="5" s="1"/>
  <c r="U52" i="5"/>
  <c r="T52" i="5"/>
  <c r="R52" i="5"/>
  <c r="O52" i="5"/>
  <c r="N52" i="5"/>
  <c r="I52" i="5"/>
  <c r="H52" i="5"/>
  <c r="G52" i="5"/>
  <c r="F52" i="5"/>
  <c r="E52" i="5"/>
  <c r="D52" i="5"/>
  <c r="C52" i="5"/>
  <c r="B52" i="5"/>
  <c r="A52" i="5"/>
  <c r="U51" i="5"/>
  <c r="T51" i="5"/>
  <c r="O51" i="5"/>
  <c r="I51" i="5"/>
  <c r="G51" i="5"/>
  <c r="H51" i="5" s="1"/>
  <c r="R51" i="5" s="1"/>
  <c r="F51" i="5"/>
  <c r="E51" i="5"/>
  <c r="D51" i="5"/>
  <c r="C51" i="5"/>
  <c r="B51" i="5"/>
  <c r="N51" i="5" s="1"/>
  <c r="A51" i="5"/>
  <c r="S50" i="5"/>
  <c r="I50" i="5"/>
  <c r="G50" i="5"/>
  <c r="F50" i="5"/>
  <c r="E50" i="5"/>
  <c r="J50" i="5" s="1"/>
  <c r="D50" i="5"/>
  <c r="C50" i="5"/>
  <c r="B50" i="5"/>
  <c r="A50" i="5"/>
  <c r="U50" i="5" s="1"/>
  <c r="U49" i="5"/>
  <c r="T49" i="5"/>
  <c r="S49" i="5"/>
  <c r="R49" i="5"/>
  <c r="L49" i="5"/>
  <c r="I49" i="5"/>
  <c r="G49" i="5"/>
  <c r="F49" i="5"/>
  <c r="H49" i="5" s="1"/>
  <c r="K49" i="5" s="1"/>
  <c r="E49" i="5"/>
  <c r="J49" i="5" s="1"/>
  <c r="D49" i="5"/>
  <c r="C49" i="5"/>
  <c r="B49" i="5"/>
  <c r="A49" i="5"/>
  <c r="S48" i="5"/>
  <c r="I48" i="5"/>
  <c r="G48" i="5"/>
  <c r="H48" i="5" s="1"/>
  <c r="R48" i="5" s="1"/>
  <c r="F48" i="5"/>
  <c r="E48" i="5"/>
  <c r="L48" i="5" s="1"/>
  <c r="D48" i="5"/>
  <c r="K48" i="5" s="1"/>
  <c r="C48" i="5"/>
  <c r="B48" i="5"/>
  <c r="A48" i="5"/>
  <c r="U48" i="5" s="1"/>
  <c r="U47" i="5"/>
  <c r="T47" i="5"/>
  <c r="S47" i="5"/>
  <c r="R47" i="5"/>
  <c r="O47" i="5"/>
  <c r="L47" i="5"/>
  <c r="K47" i="5"/>
  <c r="M47" i="5" s="1"/>
  <c r="J47" i="5"/>
  <c r="P47" i="5" s="1"/>
  <c r="Q47" i="5" s="1"/>
  <c r="I47" i="5"/>
  <c r="H47" i="5"/>
  <c r="G47" i="5"/>
  <c r="F47" i="5"/>
  <c r="E47" i="5"/>
  <c r="D47" i="5"/>
  <c r="C47" i="5"/>
  <c r="B47" i="5"/>
  <c r="N47" i="5" s="1"/>
  <c r="A47" i="5"/>
  <c r="U46" i="5"/>
  <c r="T46" i="5"/>
  <c r="S46" i="5"/>
  <c r="O46" i="5"/>
  <c r="N46" i="5"/>
  <c r="I46" i="5"/>
  <c r="J46" i="5" s="1"/>
  <c r="P46" i="5" s="1"/>
  <c r="H46" i="5"/>
  <c r="G46" i="5"/>
  <c r="F46" i="5"/>
  <c r="E46" i="5"/>
  <c r="D46" i="5"/>
  <c r="C46" i="5"/>
  <c r="B46" i="5"/>
  <c r="A46" i="5"/>
  <c r="T45" i="5"/>
  <c r="S45" i="5"/>
  <c r="R45" i="5"/>
  <c r="O45" i="5"/>
  <c r="N45" i="5"/>
  <c r="I45" i="5"/>
  <c r="J45" i="5" s="1"/>
  <c r="G45" i="5"/>
  <c r="H45" i="5" s="1"/>
  <c r="L45" i="5" s="1"/>
  <c r="F45" i="5"/>
  <c r="E45" i="5"/>
  <c r="D45" i="5"/>
  <c r="C45" i="5"/>
  <c r="B45" i="5"/>
  <c r="P45" i="5" s="1"/>
  <c r="Q45" i="5" s="1"/>
  <c r="A45" i="5"/>
  <c r="U45" i="5" s="1"/>
  <c r="R44" i="5"/>
  <c r="O44" i="5"/>
  <c r="N44" i="5"/>
  <c r="I44" i="5"/>
  <c r="T44" i="5" s="1"/>
  <c r="H44" i="5"/>
  <c r="K44" i="5" s="1"/>
  <c r="G44" i="5"/>
  <c r="F44" i="5"/>
  <c r="S44" i="5" s="1"/>
  <c r="E44" i="5"/>
  <c r="D44" i="5"/>
  <c r="C44" i="5"/>
  <c r="B44" i="5"/>
  <c r="A44" i="5"/>
  <c r="U44" i="5" s="1"/>
  <c r="U43" i="5"/>
  <c r="O43" i="5"/>
  <c r="N43" i="5"/>
  <c r="I43" i="5"/>
  <c r="T43" i="5" s="1"/>
  <c r="G43" i="5"/>
  <c r="F43" i="5"/>
  <c r="H43" i="5" s="1"/>
  <c r="E43" i="5"/>
  <c r="D43" i="5"/>
  <c r="C43" i="5"/>
  <c r="B43" i="5"/>
  <c r="A43" i="5"/>
  <c r="U42" i="5"/>
  <c r="T42" i="5"/>
  <c r="I42" i="5"/>
  <c r="G42" i="5"/>
  <c r="F42" i="5"/>
  <c r="H42" i="5" s="1"/>
  <c r="R42" i="5" s="1"/>
  <c r="E42" i="5"/>
  <c r="D42" i="5"/>
  <c r="K42" i="5" s="1"/>
  <c r="C42" i="5"/>
  <c r="B42" i="5"/>
  <c r="A42" i="5"/>
  <c r="I41" i="5"/>
  <c r="T41" i="5" s="1"/>
  <c r="G41" i="5"/>
  <c r="F41" i="5"/>
  <c r="H41" i="5" s="1"/>
  <c r="R41" i="5" s="1"/>
  <c r="E41" i="5"/>
  <c r="J41" i="5" s="1"/>
  <c r="P41" i="5" s="1"/>
  <c r="D41" i="5"/>
  <c r="K41" i="5" s="1"/>
  <c r="C41" i="5"/>
  <c r="B41" i="5"/>
  <c r="A41" i="5"/>
  <c r="U41" i="5" s="1"/>
  <c r="S40" i="5"/>
  <c r="R40" i="5"/>
  <c r="L40" i="5"/>
  <c r="I40" i="5"/>
  <c r="H40" i="5"/>
  <c r="G40" i="5"/>
  <c r="F40" i="5"/>
  <c r="E40" i="5"/>
  <c r="J40" i="5" s="1"/>
  <c r="D40" i="5"/>
  <c r="K40" i="5" s="1"/>
  <c r="C40" i="5"/>
  <c r="B40" i="5"/>
  <c r="A40" i="5"/>
  <c r="U40" i="5" s="1"/>
  <c r="O39" i="5"/>
  <c r="N39" i="5"/>
  <c r="J39" i="5"/>
  <c r="I39" i="5"/>
  <c r="G39" i="5"/>
  <c r="H39" i="5" s="1"/>
  <c r="F39" i="5"/>
  <c r="E39" i="5"/>
  <c r="S39" i="5" s="1"/>
  <c r="D39" i="5"/>
  <c r="C39" i="5"/>
  <c r="B39" i="5"/>
  <c r="A39" i="5"/>
  <c r="U39" i="5" s="1"/>
  <c r="N38" i="5"/>
  <c r="I38" i="5"/>
  <c r="J38" i="5" s="1"/>
  <c r="G38" i="5"/>
  <c r="F38" i="5"/>
  <c r="H38" i="5" s="1"/>
  <c r="E38" i="5"/>
  <c r="D38" i="5"/>
  <c r="C38" i="5"/>
  <c r="B38" i="5"/>
  <c r="P38" i="5" s="1"/>
  <c r="A38" i="5"/>
  <c r="U38" i="5" s="1"/>
  <c r="I37" i="5"/>
  <c r="G37" i="5"/>
  <c r="F37" i="5"/>
  <c r="H37" i="5" s="1"/>
  <c r="E37" i="5"/>
  <c r="D37" i="5"/>
  <c r="C37" i="5"/>
  <c r="B37" i="5"/>
  <c r="A37" i="5"/>
  <c r="U37" i="5" s="1"/>
  <c r="U36" i="5"/>
  <c r="T36" i="5"/>
  <c r="O36" i="5"/>
  <c r="I36" i="5"/>
  <c r="G36" i="5"/>
  <c r="F36" i="5"/>
  <c r="H36" i="5" s="1"/>
  <c r="E36" i="5"/>
  <c r="D36" i="5"/>
  <c r="C36" i="5"/>
  <c r="B36" i="5"/>
  <c r="A36" i="5"/>
  <c r="U35" i="5"/>
  <c r="T35" i="5"/>
  <c r="N35" i="5"/>
  <c r="K35" i="5"/>
  <c r="I35" i="5"/>
  <c r="J35" i="5" s="1"/>
  <c r="G35" i="5"/>
  <c r="F35" i="5"/>
  <c r="H35" i="5" s="1"/>
  <c r="R35" i="5" s="1"/>
  <c r="E35" i="5"/>
  <c r="D35" i="5"/>
  <c r="C35" i="5"/>
  <c r="B35" i="5"/>
  <c r="P35" i="5" s="1"/>
  <c r="A35" i="5"/>
  <c r="U34" i="5"/>
  <c r="R34" i="5"/>
  <c r="I34" i="5"/>
  <c r="G34" i="5"/>
  <c r="F34" i="5"/>
  <c r="H34" i="5" s="1"/>
  <c r="E34" i="5"/>
  <c r="D34" i="5"/>
  <c r="K34" i="5" s="1"/>
  <c r="C34" i="5"/>
  <c r="B34" i="5"/>
  <c r="A34" i="5"/>
  <c r="U33" i="5"/>
  <c r="T33" i="5"/>
  <c r="I33" i="5"/>
  <c r="G33" i="5"/>
  <c r="F33" i="5"/>
  <c r="H33" i="5" s="1"/>
  <c r="R33" i="5" s="1"/>
  <c r="E33" i="5"/>
  <c r="D33" i="5"/>
  <c r="C33" i="5"/>
  <c r="B33" i="5"/>
  <c r="A33" i="5"/>
  <c r="T32" i="5"/>
  <c r="S32" i="5"/>
  <c r="P32" i="5"/>
  <c r="J32" i="5"/>
  <c r="I32" i="5"/>
  <c r="G32" i="5"/>
  <c r="F32" i="5"/>
  <c r="H32" i="5" s="1"/>
  <c r="R32" i="5" s="1"/>
  <c r="E32" i="5"/>
  <c r="D32" i="5"/>
  <c r="K32" i="5" s="1"/>
  <c r="C32" i="5"/>
  <c r="B32" i="5"/>
  <c r="A32" i="5"/>
  <c r="U32" i="5" s="1"/>
  <c r="U31" i="5"/>
  <c r="S31" i="5"/>
  <c r="O31" i="5"/>
  <c r="I31" i="5"/>
  <c r="J31" i="5" s="1"/>
  <c r="G31" i="5"/>
  <c r="F31" i="5"/>
  <c r="E31" i="5"/>
  <c r="D31" i="5"/>
  <c r="C31" i="5"/>
  <c r="B31" i="5"/>
  <c r="A31" i="5"/>
  <c r="N30" i="5"/>
  <c r="I30" i="5"/>
  <c r="H30" i="5"/>
  <c r="R30" i="5" s="1"/>
  <c r="G30" i="5"/>
  <c r="F30" i="5"/>
  <c r="E30" i="5"/>
  <c r="D30" i="5"/>
  <c r="K30" i="5" s="1"/>
  <c r="C30" i="5"/>
  <c r="B30" i="5"/>
  <c r="A30" i="5"/>
  <c r="U30" i="5" s="1"/>
  <c r="U29" i="5"/>
  <c r="I29" i="5"/>
  <c r="H29" i="5"/>
  <c r="R29" i="5" s="1"/>
  <c r="G29" i="5"/>
  <c r="F29" i="5"/>
  <c r="E29" i="5"/>
  <c r="D29" i="5"/>
  <c r="K29" i="5" s="1"/>
  <c r="C29" i="5"/>
  <c r="B29" i="5"/>
  <c r="A29" i="5"/>
  <c r="T28" i="5"/>
  <c r="S28" i="5"/>
  <c r="R28" i="5"/>
  <c r="P28" i="5"/>
  <c r="O28" i="5"/>
  <c r="N28" i="5"/>
  <c r="L28" i="5"/>
  <c r="I28" i="5"/>
  <c r="G28" i="5"/>
  <c r="F28" i="5"/>
  <c r="H28" i="5" s="1"/>
  <c r="E28" i="5"/>
  <c r="J28" i="5" s="1"/>
  <c r="D28" i="5"/>
  <c r="K28" i="5" s="1"/>
  <c r="C28" i="5"/>
  <c r="B28" i="5"/>
  <c r="A28" i="5"/>
  <c r="U28" i="5" s="1"/>
  <c r="U27" i="5"/>
  <c r="T27" i="5"/>
  <c r="R27" i="5"/>
  <c r="N27" i="5"/>
  <c r="K27" i="5"/>
  <c r="I27" i="5"/>
  <c r="G27" i="5"/>
  <c r="F27" i="5"/>
  <c r="H27" i="5" s="1"/>
  <c r="E27" i="5"/>
  <c r="D27" i="5"/>
  <c r="C27" i="5"/>
  <c r="B27" i="5"/>
  <c r="P27" i="5" s="1"/>
  <c r="A27" i="5"/>
  <c r="U26" i="5"/>
  <c r="I26" i="5"/>
  <c r="G26" i="5"/>
  <c r="H26" i="5" s="1"/>
  <c r="R26" i="5" s="1"/>
  <c r="F26" i="5"/>
  <c r="E26" i="5"/>
  <c r="D26" i="5"/>
  <c r="K26" i="5" s="1"/>
  <c r="C26" i="5"/>
  <c r="B26" i="5"/>
  <c r="A26" i="5"/>
  <c r="T25" i="5"/>
  <c r="S25" i="5"/>
  <c r="R25" i="5"/>
  <c r="P25" i="5"/>
  <c r="L25" i="5"/>
  <c r="Q25" i="5" s="1"/>
  <c r="K25" i="5"/>
  <c r="J25" i="5"/>
  <c r="I25" i="5"/>
  <c r="H25" i="5"/>
  <c r="G25" i="5"/>
  <c r="F25" i="5"/>
  <c r="E25" i="5"/>
  <c r="D25" i="5"/>
  <c r="C25" i="5"/>
  <c r="B25" i="5"/>
  <c r="N25" i="5" s="1"/>
  <c r="A25" i="5"/>
  <c r="U25" i="5" s="1"/>
  <c r="U24" i="5"/>
  <c r="T24" i="5"/>
  <c r="S24" i="5"/>
  <c r="O24" i="5"/>
  <c r="J24" i="5"/>
  <c r="I24" i="5"/>
  <c r="H24" i="5"/>
  <c r="G24" i="5"/>
  <c r="F24" i="5"/>
  <c r="E24" i="5"/>
  <c r="D24" i="5"/>
  <c r="C24" i="5"/>
  <c r="B24" i="5"/>
  <c r="N24" i="5" s="1"/>
  <c r="A24" i="5"/>
  <c r="S23" i="5"/>
  <c r="I23" i="5"/>
  <c r="J23" i="5" s="1"/>
  <c r="G23" i="5"/>
  <c r="H23" i="5" s="1"/>
  <c r="F23" i="5"/>
  <c r="E23" i="5"/>
  <c r="D23" i="5"/>
  <c r="C23" i="5"/>
  <c r="B23" i="5"/>
  <c r="A23" i="5"/>
  <c r="U23" i="5" s="1"/>
  <c r="T22" i="5"/>
  <c r="P22" i="5"/>
  <c r="O22" i="5"/>
  <c r="I22" i="5"/>
  <c r="J22" i="5" s="1"/>
  <c r="G22" i="5"/>
  <c r="F22" i="5"/>
  <c r="E22" i="5"/>
  <c r="D22" i="5"/>
  <c r="C22" i="5"/>
  <c r="B22" i="5"/>
  <c r="A22" i="5"/>
  <c r="U22" i="5" s="1"/>
  <c r="U21" i="5"/>
  <c r="T21" i="5"/>
  <c r="S21" i="5"/>
  <c r="P21" i="5"/>
  <c r="N21" i="5"/>
  <c r="I21" i="5"/>
  <c r="G21" i="5"/>
  <c r="H21" i="5" s="1"/>
  <c r="F21" i="5"/>
  <c r="E21" i="5"/>
  <c r="J21" i="5" s="1"/>
  <c r="D21" i="5"/>
  <c r="C21" i="5"/>
  <c r="B21" i="5"/>
  <c r="A21" i="5"/>
  <c r="U20" i="5"/>
  <c r="T20" i="5"/>
  <c r="R20" i="5"/>
  <c r="P20" i="5"/>
  <c r="O20" i="5"/>
  <c r="N20" i="5"/>
  <c r="I20" i="5"/>
  <c r="G20" i="5"/>
  <c r="F20" i="5"/>
  <c r="H20" i="5" s="1"/>
  <c r="K20" i="5" s="1"/>
  <c r="E20" i="5"/>
  <c r="D20" i="5"/>
  <c r="C20" i="5"/>
  <c r="B20" i="5"/>
  <c r="A20" i="5"/>
  <c r="T19" i="5"/>
  <c r="S19" i="5"/>
  <c r="P19" i="5"/>
  <c r="N19" i="5"/>
  <c r="J19" i="5"/>
  <c r="I19" i="5"/>
  <c r="G19" i="5"/>
  <c r="F19" i="5"/>
  <c r="E19" i="5"/>
  <c r="D19" i="5"/>
  <c r="C19" i="5"/>
  <c r="B19" i="5"/>
  <c r="A19" i="5"/>
  <c r="U19" i="5" s="1"/>
  <c r="O18" i="5"/>
  <c r="N18" i="5"/>
  <c r="I18" i="5"/>
  <c r="H18" i="5"/>
  <c r="R18" i="5" s="1"/>
  <c r="G18" i="5"/>
  <c r="F18" i="5"/>
  <c r="E18" i="5"/>
  <c r="D18" i="5"/>
  <c r="K18" i="5" s="1"/>
  <c r="C18" i="5"/>
  <c r="B18" i="5"/>
  <c r="A18" i="5"/>
  <c r="U18" i="5" s="1"/>
  <c r="O17" i="5"/>
  <c r="I17" i="5"/>
  <c r="G17" i="5"/>
  <c r="H17" i="5" s="1"/>
  <c r="R17" i="5" s="1"/>
  <c r="F17" i="5"/>
  <c r="E17" i="5"/>
  <c r="D17" i="5"/>
  <c r="C17" i="5"/>
  <c r="B17" i="5"/>
  <c r="N17" i="5" s="1"/>
  <c r="A17" i="5"/>
  <c r="U17" i="5" s="1"/>
  <c r="N16" i="5"/>
  <c r="I16" i="5"/>
  <c r="J16" i="5" s="1"/>
  <c r="H16" i="5"/>
  <c r="G16" i="5"/>
  <c r="F16" i="5"/>
  <c r="E16" i="5"/>
  <c r="S16" i="5" s="1"/>
  <c r="D16" i="5"/>
  <c r="K16" i="5" s="1"/>
  <c r="C16" i="5"/>
  <c r="B16" i="5"/>
  <c r="A16" i="5"/>
  <c r="U16" i="5" s="1"/>
  <c r="U15" i="5"/>
  <c r="P15" i="5"/>
  <c r="J15" i="5"/>
  <c r="I15" i="5"/>
  <c r="G15" i="5"/>
  <c r="H15" i="5" s="1"/>
  <c r="R15" i="5" s="1"/>
  <c r="F15" i="5"/>
  <c r="E15" i="5"/>
  <c r="D15" i="5"/>
  <c r="C15" i="5"/>
  <c r="B15" i="5"/>
  <c r="A15" i="5"/>
  <c r="T14" i="5"/>
  <c r="O14" i="5"/>
  <c r="N14" i="5"/>
  <c r="I14" i="5"/>
  <c r="J14" i="5" s="1"/>
  <c r="H14" i="5"/>
  <c r="R14" i="5" s="1"/>
  <c r="G14" i="5"/>
  <c r="F14" i="5"/>
  <c r="E14" i="5"/>
  <c r="D14" i="5"/>
  <c r="C14" i="5"/>
  <c r="B14" i="5"/>
  <c r="P14" i="5" s="1"/>
  <c r="A14" i="5"/>
  <c r="U14" i="5" s="1"/>
  <c r="T13" i="5"/>
  <c r="N13" i="5"/>
  <c r="I13" i="5"/>
  <c r="G13" i="5"/>
  <c r="F13" i="5"/>
  <c r="E13" i="5"/>
  <c r="D13" i="5"/>
  <c r="C13" i="5"/>
  <c r="B13" i="5"/>
  <c r="P13" i="5" s="1"/>
  <c r="A13" i="5"/>
  <c r="U13" i="5" s="1"/>
  <c r="U12" i="5"/>
  <c r="T12" i="5"/>
  <c r="S12" i="5"/>
  <c r="J12" i="5"/>
  <c r="I12" i="5"/>
  <c r="G12" i="5"/>
  <c r="F12" i="5"/>
  <c r="E12" i="5"/>
  <c r="D12" i="5"/>
  <c r="C12" i="5"/>
  <c r="B12" i="5"/>
  <c r="A12" i="5"/>
  <c r="T11" i="5"/>
  <c r="I11" i="5"/>
  <c r="G11" i="5"/>
  <c r="F11" i="5"/>
  <c r="H11" i="5" s="1"/>
  <c r="E11" i="5"/>
  <c r="D11" i="5"/>
  <c r="C11" i="5"/>
  <c r="B11" i="5"/>
  <c r="A11" i="5"/>
  <c r="U11" i="5" s="1"/>
  <c r="I10" i="5"/>
  <c r="G10" i="5"/>
  <c r="F10" i="5"/>
  <c r="H10" i="5" s="1"/>
  <c r="R10" i="5" s="1"/>
  <c r="E10" i="5"/>
  <c r="D10" i="5"/>
  <c r="K10" i="5" s="1"/>
  <c r="C10" i="5"/>
  <c r="B10" i="5"/>
  <c r="A10" i="5"/>
  <c r="U10" i="5" s="1"/>
  <c r="U9" i="5"/>
  <c r="S9" i="5"/>
  <c r="O9" i="5"/>
  <c r="I9" i="5"/>
  <c r="G9" i="5"/>
  <c r="F9" i="5"/>
  <c r="H9" i="5" s="1"/>
  <c r="R9" i="5" s="1"/>
  <c r="E9" i="5"/>
  <c r="L9" i="5" s="1"/>
  <c r="D9" i="5"/>
  <c r="K9" i="5" s="1"/>
  <c r="C9" i="5"/>
  <c r="B9" i="5"/>
  <c r="A9" i="5"/>
  <c r="U8" i="5"/>
  <c r="T8" i="5"/>
  <c r="P8" i="5"/>
  <c r="O8" i="5"/>
  <c r="N8" i="5"/>
  <c r="I8" i="5"/>
  <c r="H8" i="5"/>
  <c r="R8" i="5" s="1"/>
  <c r="G8" i="5"/>
  <c r="F8" i="5"/>
  <c r="E8" i="5"/>
  <c r="D8" i="5"/>
  <c r="K8" i="5" s="1"/>
  <c r="C8" i="5"/>
  <c r="B8" i="5"/>
  <c r="A8" i="5"/>
  <c r="U7" i="5"/>
  <c r="T7" i="5"/>
  <c r="S7" i="5"/>
  <c r="P7" i="5"/>
  <c r="O7" i="5"/>
  <c r="N7" i="5"/>
  <c r="I7" i="5"/>
  <c r="G7" i="5"/>
  <c r="H7" i="5" s="1"/>
  <c r="R7" i="5" s="1"/>
  <c r="F7" i="5"/>
  <c r="E7" i="5"/>
  <c r="D7" i="5"/>
  <c r="C7" i="5"/>
  <c r="B7" i="5"/>
  <c r="A7" i="5"/>
  <c r="T6" i="5"/>
  <c r="S6" i="5"/>
  <c r="O6" i="5"/>
  <c r="N6" i="5"/>
  <c r="I6" i="5"/>
  <c r="G6" i="5"/>
  <c r="F6" i="5"/>
  <c r="E6" i="5"/>
  <c r="J6" i="5" s="1"/>
  <c r="D6" i="5"/>
  <c r="C6" i="5"/>
  <c r="B6" i="5"/>
  <c r="A6" i="5"/>
  <c r="U6" i="5" s="1"/>
  <c r="C22" i="4"/>
  <c r="B22" i="4"/>
  <c r="F21" i="4"/>
  <c r="F20" i="4"/>
  <c r="B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D10" i="3"/>
  <c r="C10" i="3"/>
  <c r="E10" i="3" s="1"/>
  <c r="J10" i="3" s="1"/>
  <c r="J8" i="3"/>
  <c r="E8" i="3"/>
  <c r="D7" i="3"/>
  <c r="C7" i="3"/>
  <c r="D6" i="3"/>
  <c r="C6" i="3"/>
  <c r="E6" i="3" s="1"/>
  <c r="J6" i="3" s="1"/>
  <c r="B24" i="2"/>
  <c r="O86" i="5" s="1"/>
  <c r="B23" i="2"/>
  <c r="N79" i="5" s="1"/>
  <c r="R58" i="5" l="1"/>
  <c r="L58" i="5"/>
  <c r="K58" i="5"/>
  <c r="R11" i="5"/>
  <c r="K11" i="5"/>
  <c r="R54" i="5"/>
  <c r="K54" i="5"/>
  <c r="M13" i="4"/>
  <c r="L56" i="5"/>
  <c r="S34" i="5"/>
  <c r="E11" i="4" s="1"/>
  <c r="J34" i="5"/>
  <c r="L34" i="5"/>
  <c r="R38" i="5"/>
  <c r="L38" i="5"/>
  <c r="K38" i="5"/>
  <c r="L51" i="5"/>
  <c r="J51" i="5"/>
  <c r="P51" i="5" s="1"/>
  <c r="U74" i="5"/>
  <c r="L13" i="5"/>
  <c r="S13" i="5"/>
  <c r="J13" i="5"/>
  <c r="M25" i="5"/>
  <c r="T40" i="5"/>
  <c r="N40" i="5"/>
  <c r="P40" i="5"/>
  <c r="Q40" i="5" s="1"/>
  <c r="O40" i="5"/>
  <c r="L23" i="5"/>
  <c r="K23" i="5"/>
  <c r="R23" i="5"/>
  <c r="P34" i="5"/>
  <c r="O34" i="5"/>
  <c r="N34" i="5"/>
  <c r="T34" i="5"/>
  <c r="L14" i="5"/>
  <c r="S20" i="5"/>
  <c r="L20" i="5"/>
  <c r="J20" i="5"/>
  <c r="Q28" i="5"/>
  <c r="M28" i="5"/>
  <c r="J11" i="5"/>
  <c r="L11" i="5"/>
  <c r="U91" i="5"/>
  <c r="D27" i="4"/>
  <c r="B30" i="4"/>
  <c r="D28" i="4"/>
  <c r="M9" i="5"/>
  <c r="Q9" i="5"/>
  <c r="J27" i="5"/>
  <c r="S27" i="5"/>
  <c r="K6" i="5"/>
  <c r="G6" i="4" s="1"/>
  <c r="P61" i="5"/>
  <c r="T61" i="5"/>
  <c r="O61" i="5"/>
  <c r="N61" i="5"/>
  <c r="N15" i="5"/>
  <c r="T15" i="5"/>
  <c r="O15" i="5"/>
  <c r="R36" i="5"/>
  <c r="L36" i="5"/>
  <c r="K36" i="5"/>
  <c r="J100" i="5"/>
  <c r="P100" i="5" s="1"/>
  <c r="E100" i="5"/>
  <c r="J44" i="5"/>
  <c r="P44" i="5" s="1"/>
  <c r="M49" i="5"/>
  <c r="J9" i="5"/>
  <c r="L44" i="5"/>
  <c r="S11" i="5"/>
  <c r="E7" i="4" s="1"/>
  <c r="H22" i="5"/>
  <c r="S22" i="5"/>
  <c r="E9" i="4" s="1"/>
  <c r="L27" i="5"/>
  <c r="S51" i="5"/>
  <c r="E19" i="4" s="1"/>
  <c r="J55" i="5"/>
  <c r="S55" i="5"/>
  <c r="L55" i="5"/>
  <c r="H15" i="4" s="1"/>
  <c r="H65" i="5"/>
  <c r="S65" i="5"/>
  <c r="F66" i="6"/>
  <c r="D66" i="5"/>
  <c r="K66" i="5" s="1"/>
  <c r="J74" i="5"/>
  <c r="P74" i="5" s="1"/>
  <c r="E74" i="5"/>
  <c r="E82" i="5"/>
  <c r="J82" i="5"/>
  <c r="F86" i="6"/>
  <c r="U86" i="5" s="1"/>
  <c r="D86" i="5"/>
  <c r="K86" i="5" s="1"/>
  <c r="E90" i="5"/>
  <c r="J90" i="5"/>
  <c r="P90" i="5" s="1"/>
  <c r="R24" i="5"/>
  <c r="L24" i="5"/>
  <c r="K24" i="5"/>
  <c r="R46" i="5"/>
  <c r="L46" i="5"/>
  <c r="K46" i="5"/>
  <c r="G14" i="4" s="1"/>
  <c r="L53" i="5"/>
  <c r="J53" i="5"/>
  <c r="P53" i="5" s="1"/>
  <c r="S53" i="5"/>
  <c r="T95" i="5"/>
  <c r="P95" i="5"/>
  <c r="K17" i="5"/>
  <c r="J43" i="5"/>
  <c r="P43" i="5" s="1"/>
  <c r="J13" i="4" s="1"/>
  <c r="S43" i="5"/>
  <c r="M77" i="5"/>
  <c r="N80" i="5"/>
  <c r="O80" i="5"/>
  <c r="T80" i="5"/>
  <c r="L39" i="5"/>
  <c r="K39" i="5"/>
  <c r="B29" i="4" s="1"/>
  <c r="R43" i="5"/>
  <c r="K43" i="5"/>
  <c r="B28" i="4" s="1"/>
  <c r="O48" i="5"/>
  <c r="P48" i="5"/>
  <c r="T48" i="5"/>
  <c r="N48" i="5"/>
  <c r="R57" i="5"/>
  <c r="K57" i="5"/>
  <c r="T62" i="5"/>
  <c r="P62" i="5"/>
  <c r="O62" i="5"/>
  <c r="H85" i="5"/>
  <c r="K85" i="5" s="1"/>
  <c r="S95" i="5"/>
  <c r="O26" i="5"/>
  <c r="P26" i="5"/>
  <c r="N26" i="5"/>
  <c r="T26" i="5"/>
  <c r="T18" i="5"/>
  <c r="P18" i="5"/>
  <c r="S83" i="5"/>
  <c r="L83" i="5"/>
  <c r="J83" i="5"/>
  <c r="P83" i="5" s="1"/>
  <c r="N95" i="5"/>
  <c r="L10" i="5"/>
  <c r="S10" i="5"/>
  <c r="J10" i="5"/>
  <c r="S37" i="5"/>
  <c r="J37" i="5"/>
  <c r="L37" i="5"/>
  <c r="L43" i="5"/>
  <c r="R64" i="5"/>
  <c r="L64" i="5"/>
  <c r="O93" i="5"/>
  <c r="T93" i="5"/>
  <c r="N93" i="5"/>
  <c r="O95" i="5"/>
  <c r="R37" i="5"/>
  <c r="K37" i="5"/>
  <c r="B27" i="4" s="1"/>
  <c r="R62" i="5"/>
  <c r="L62" i="5"/>
  <c r="E8" i="4"/>
  <c r="H12" i="4"/>
  <c r="S18" i="5"/>
  <c r="L18" i="5"/>
  <c r="J18" i="5"/>
  <c r="K21" i="5"/>
  <c r="R21" i="5"/>
  <c r="K33" i="5"/>
  <c r="L41" i="5"/>
  <c r="O60" i="5"/>
  <c r="T60" i="5"/>
  <c r="N60" i="5"/>
  <c r="E78" i="5"/>
  <c r="E94" i="5"/>
  <c r="J94" i="5"/>
  <c r="F22" i="4"/>
  <c r="K83" i="5"/>
  <c r="M48" i="5"/>
  <c r="Q48" i="5"/>
  <c r="E12" i="4"/>
  <c r="M16" i="4"/>
  <c r="P23" i="5"/>
  <c r="O23" i="5"/>
  <c r="T23" i="5"/>
  <c r="N23" i="5"/>
  <c r="T30" i="5"/>
  <c r="P30" i="5"/>
  <c r="O30" i="5"/>
  <c r="R39" i="5"/>
  <c r="S41" i="5"/>
  <c r="E18" i="4" s="1"/>
  <c r="L54" i="5"/>
  <c r="S54" i="5"/>
  <c r="U70" i="5"/>
  <c r="E70" i="5"/>
  <c r="J70" i="5" s="1"/>
  <c r="P70" i="5" s="1"/>
  <c r="U78" i="5"/>
  <c r="D78" i="5"/>
  <c r="K78" i="5" s="1"/>
  <c r="H73" i="5"/>
  <c r="L73" i="5" s="1"/>
  <c r="S85" i="5"/>
  <c r="E89" i="5"/>
  <c r="J89" i="5"/>
  <c r="P89" i="5" s="1"/>
  <c r="K13" i="5"/>
  <c r="R16" i="5"/>
  <c r="L16" i="5"/>
  <c r="O96" i="5"/>
  <c r="N96" i="5"/>
  <c r="G73" i="5"/>
  <c r="O10" i="5"/>
  <c r="N10" i="5"/>
  <c r="E14" i="4"/>
  <c r="P10" i="5"/>
  <c r="J6" i="4" s="1"/>
  <c r="J9" i="4"/>
  <c r="H13" i="5"/>
  <c r="R13" i="5" s="1"/>
  <c r="O29" i="5"/>
  <c r="N29" i="5"/>
  <c r="S38" i="5"/>
  <c r="K55" i="5"/>
  <c r="T85" i="5"/>
  <c r="T75" i="5"/>
  <c r="N75" i="5"/>
  <c r="O75" i="5"/>
  <c r="S81" i="5"/>
  <c r="J81" i="5"/>
  <c r="P81" i="5" s="1"/>
  <c r="E17" i="4"/>
  <c r="K7" i="5"/>
  <c r="P12" i="5"/>
  <c r="O12" i="5"/>
  <c r="N12" i="5"/>
  <c r="S26" i="5"/>
  <c r="E10" i="4" s="1"/>
  <c r="L26" i="5"/>
  <c r="J26" i="5"/>
  <c r="M10" i="4"/>
  <c r="S42" i="5"/>
  <c r="L42" i="5"/>
  <c r="J42" i="5"/>
  <c r="P42" i="5" s="1"/>
  <c r="R59" i="5"/>
  <c r="L59" i="5"/>
  <c r="S63" i="5"/>
  <c r="L63" i="5"/>
  <c r="G10" i="4"/>
  <c r="K15" i="5"/>
  <c r="R63" i="5"/>
  <c r="K63" i="5"/>
  <c r="P73" i="5"/>
  <c r="U92" i="5"/>
  <c r="D67" i="5"/>
  <c r="K67" i="5" s="1"/>
  <c r="U67" i="5"/>
  <c r="F67" i="6"/>
  <c r="E71" i="5"/>
  <c r="J71" i="5"/>
  <c r="F75" i="6"/>
  <c r="D75" i="5"/>
  <c r="L79" i="5"/>
  <c r="S79" i="5"/>
  <c r="J95" i="5"/>
  <c r="F99" i="5"/>
  <c r="U99" i="5"/>
  <c r="H12" i="5"/>
  <c r="L15" i="5"/>
  <c r="P29" i="5"/>
  <c r="J10" i="4" s="1"/>
  <c r="P56" i="5"/>
  <c r="O56" i="5"/>
  <c r="N56" i="5"/>
  <c r="O92" i="5"/>
  <c r="T92" i="5"/>
  <c r="N92" i="5"/>
  <c r="F91" i="6"/>
  <c r="L7" i="5"/>
  <c r="J7" i="5"/>
  <c r="S17" i="5"/>
  <c r="L17" i="5"/>
  <c r="K50" i="5"/>
  <c r="U69" i="5"/>
  <c r="L85" i="5"/>
  <c r="T97" i="5"/>
  <c r="N97" i="5"/>
  <c r="O97" i="5"/>
  <c r="T10" i="5"/>
  <c r="K14" i="5"/>
  <c r="L35" i="5"/>
  <c r="S35" i="5"/>
  <c r="J79" i="5"/>
  <c r="L81" i="5"/>
  <c r="S14" i="5"/>
  <c r="J17" i="5"/>
  <c r="T29" i="5"/>
  <c r="J33" i="5"/>
  <c r="S33" i="5"/>
  <c r="L33" i="5"/>
  <c r="P39" i="5"/>
  <c r="D29" i="4" s="1"/>
  <c r="T39" i="5"/>
  <c r="M40" i="5"/>
  <c r="K59" i="5"/>
  <c r="J63" i="5"/>
  <c r="P63" i="5" s="1"/>
  <c r="J17" i="4" s="1"/>
  <c r="T83" i="5"/>
  <c r="G83" i="5"/>
  <c r="H83" i="5" s="1"/>
  <c r="O81" i="5"/>
  <c r="N81" i="5"/>
  <c r="T81" i="5"/>
  <c r="G85" i="5"/>
  <c r="T50" i="5"/>
  <c r="P50" i="5"/>
  <c r="O50" i="5"/>
  <c r="U71" i="5"/>
  <c r="K76" i="5"/>
  <c r="T74" i="5"/>
  <c r="E7" i="3"/>
  <c r="J7" i="3" s="1"/>
  <c r="O16" i="5"/>
  <c r="T16" i="5"/>
  <c r="P16" i="5"/>
  <c r="J8" i="4" s="1"/>
  <c r="H19" i="5"/>
  <c r="P24" i="5"/>
  <c r="N37" i="5"/>
  <c r="T37" i="5"/>
  <c r="P37" i="5"/>
  <c r="O37" i="5"/>
  <c r="T53" i="5"/>
  <c r="N53" i="5"/>
  <c r="O53" i="5"/>
  <c r="S58" i="5"/>
  <c r="P71" i="5"/>
  <c r="T71" i="5"/>
  <c r="J99" i="5"/>
  <c r="K80" i="5"/>
  <c r="P82" i="5"/>
  <c r="O82" i="5"/>
  <c r="P84" i="5"/>
  <c r="O84" i="5"/>
  <c r="U98" i="5"/>
  <c r="E68" i="5"/>
  <c r="U68" i="5"/>
  <c r="J96" i="5"/>
  <c r="P96" i="5" s="1"/>
  <c r="E80" i="5"/>
  <c r="E96" i="5"/>
  <c r="O98" i="5"/>
  <c r="N98" i="5"/>
  <c r="F88" i="6"/>
  <c r="D88" i="5"/>
  <c r="K88" i="5" s="1"/>
  <c r="D92" i="5"/>
  <c r="F92" i="6"/>
  <c r="O91" i="5"/>
  <c r="O66" i="5"/>
  <c r="O41" i="5"/>
  <c r="O88" i="5"/>
  <c r="O25" i="5"/>
  <c r="O85" i="5"/>
  <c r="O63" i="5"/>
  <c r="O27" i="5"/>
  <c r="O21" i="5"/>
  <c r="E13" i="4"/>
  <c r="E15" i="4"/>
  <c r="P6" i="5"/>
  <c r="O19" i="5"/>
  <c r="L29" i="5"/>
  <c r="J29" i="5"/>
  <c r="S29" i="5"/>
  <c r="T31" i="5"/>
  <c r="N31" i="5"/>
  <c r="P31" i="5"/>
  <c r="N50" i="5"/>
  <c r="O71" i="5"/>
  <c r="L87" i="5"/>
  <c r="H96" i="5"/>
  <c r="P36" i="5"/>
  <c r="J20" i="4" s="1"/>
  <c r="N36" i="5"/>
  <c r="H75" i="5"/>
  <c r="S84" i="5"/>
  <c r="H94" i="5"/>
  <c r="K94" i="5" s="1"/>
  <c r="K98" i="5"/>
  <c r="O100" i="5"/>
  <c r="N100" i="5"/>
  <c r="O54" i="5"/>
  <c r="N54" i="5"/>
  <c r="T54" i="5"/>
  <c r="O38" i="5"/>
  <c r="T38" i="5"/>
  <c r="M11" i="4"/>
  <c r="T9" i="5"/>
  <c r="N9" i="5"/>
  <c r="D11" i="16" s="1"/>
  <c r="E11" i="16" s="1"/>
  <c r="F11" i="16" s="1"/>
  <c r="P9" i="5"/>
  <c r="L31" i="5"/>
  <c r="O42" i="5"/>
  <c r="K45" i="5"/>
  <c r="M45" i="5" s="1"/>
  <c r="L57" i="5"/>
  <c r="S57" i="5"/>
  <c r="E16" i="4" s="1"/>
  <c r="J57" i="5"/>
  <c r="P57" i="5" s="1"/>
  <c r="J16" i="4" s="1"/>
  <c r="L60" i="5"/>
  <c r="J68" i="5"/>
  <c r="P68" i="5" s="1"/>
  <c r="O73" i="5"/>
  <c r="K77" i="5"/>
  <c r="O87" i="5"/>
  <c r="O94" i="5"/>
  <c r="K100" i="5"/>
  <c r="H6" i="5"/>
  <c r="P17" i="5"/>
  <c r="T17" i="5"/>
  <c r="H31" i="5"/>
  <c r="R31" i="5" s="1"/>
  <c r="P59" i="5"/>
  <c r="O70" i="5"/>
  <c r="N70" i="5"/>
  <c r="S77" i="5"/>
  <c r="P79" i="5"/>
  <c r="P94" i="5"/>
  <c r="U81" i="5"/>
  <c r="D89" i="5"/>
  <c r="K89" i="5" s="1"/>
  <c r="U89" i="5"/>
  <c r="D93" i="5"/>
  <c r="K93" i="5" s="1"/>
  <c r="F93" i="6"/>
  <c r="K51" i="5"/>
  <c r="G15" i="4" s="1"/>
  <c r="P58" i="5"/>
  <c r="N65" i="5"/>
  <c r="H72" i="5"/>
  <c r="K72" i="5" s="1"/>
  <c r="O78" i="5"/>
  <c r="N78" i="5"/>
  <c r="U84" i="5"/>
  <c r="D96" i="5"/>
  <c r="U100" i="5"/>
  <c r="J97" i="5"/>
  <c r="P97" i="5" s="1"/>
  <c r="Q97" i="5" s="1"/>
  <c r="S30" i="5"/>
  <c r="L30" i="5"/>
  <c r="J30" i="5"/>
  <c r="P33" i="5"/>
  <c r="O33" i="5"/>
  <c r="N33" i="5"/>
  <c r="P49" i="5"/>
  <c r="Q49" i="5" s="1"/>
  <c r="H50" i="5"/>
  <c r="N68" i="5"/>
  <c r="O77" i="5"/>
  <c r="N77" i="5"/>
  <c r="N89" i="5"/>
  <c r="L98" i="5"/>
  <c r="T82" i="5"/>
  <c r="G94" i="5"/>
  <c r="N74" i="5"/>
  <c r="U76" i="5"/>
  <c r="N88" i="5"/>
  <c r="E72" i="5"/>
  <c r="J72" i="5"/>
  <c r="P72" i="5" s="1"/>
  <c r="T87" i="5"/>
  <c r="G95" i="5"/>
  <c r="H95" i="5" s="1"/>
  <c r="K12" i="5"/>
  <c r="G7" i="4" s="1"/>
  <c r="O32" i="5"/>
  <c r="N32" i="5"/>
  <c r="S36" i="5"/>
  <c r="N42" i="5"/>
  <c r="K56" i="5"/>
  <c r="L61" i="5"/>
  <c r="O76" i="5"/>
  <c r="N76" i="5"/>
  <c r="U82" i="5"/>
  <c r="D97" i="5"/>
  <c r="K97" i="5" s="1"/>
  <c r="M97" i="5" s="1"/>
  <c r="J76" i="5"/>
  <c r="P76" i="5" s="1"/>
  <c r="N69" i="5"/>
  <c r="U85" i="5"/>
  <c r="N59" i="5"/>
  <c r="T59" i="5"/>
  <c r="S8" i="5"/>
  <c r="L8" i="5"/>
  <c r="J8" i="5"/>
  <c r="P11" i="5"/>
  <c r="O11" i="5"/>
  <c r="N11" i="5"/>
  <c r="N41" i="5"/>
  <c r="J48" i="5"/>
  <c r="N49" i="5"/>
  <c r="K52" i="5"/>
  <c r="N57" i="5"/>
  <c r="N66" i="5"/>
  <c r="L76" i="5"/>
  <c r="H92" i="5"/>
  <c r="L32" i="5"/>
  <c r="M15" i="4"/>
  <c r="S15" i="5"/>
  <c r="O49" i="5"/>
  <c r="S52" i="5"/>
  <c r="L52" i="5"/>
  <c r="J52" i="5"/>
  <c r="P52" i="5" s="1"/>
  <c r="J15" i="4" s="1"/>
  <c r="P55" i="5"/>
  <c r="O55" i="5"/>
  <c r="N55" i="5"/>
  <c r="P99" i="5"/>
  <c r="O99" i="5"/>
  <c r="N99" i="5"/>
  <c r="G84" i="5"/>
  <c r="H84" i="5" s="1"/>
  <c r="T84" i="5"/>
  <c r="G92" i="5"/>
  <c r="L21" i="5"/>
  <c r="N22" i="5"/>
  <c r="J36" i="5"/>
  <c r="S59" i="5"/>
  <c r="N83" i="5"/>
  <c r="N87" i="5"/>
  <c r="H69" i="5"/>
  <c r="K69" i="5" s="1"/>
  <c r="J73" i="5"/>
  <c r="J77" i="5"/>
  <c r="P77" i="5" s="1"/>
  <c r="Q77" i="5" s="1"/>
  <c r="G96" i="5"/>
  <c r="O13" i="5"/>
  <c r="O35" i="5"/>
  <c r="O57" i="5"/>
  <c r="D68" i="5"/>
  <c r="K68" i="5" s="1"/>
  <c r="O79" i="5"/>
  <c r="D90" i="5"/>
  <c r="K90" i="5" s="1"/>
  <c r="J87" i="5"/>
  <c r="P87" i="5" s="1"/>
  <c r="J21" i="4" l="1"/>
  <c r="K15" i="4"/>
  <c r="I15" i="4"/>
  <c r="L84" i="5"/>
  <c r="K84" i="5"/>
  <c r="J19" i="4"/>
  <c r="M9" i="4"/>
  <c r="K95" i="5"/>
  <c r="L95" i="5"/>
  <c r="M73" i="5"/>
  <c r="Q73" i="5"/>
  <c r="G22" i="4"/>
  <c r="G17" i="4"/>
  <c r="K12" i="4"/>
  <c r="I12" i="4"/>
  <c r="G18" i="4"/>
  <c r="M60" i="5"/>
  <c r="Q60" i="5"/>
  <c r="K73" i="5"/>
  <c r="Q35" i="5"/>
  <c r="M35" i="5"/>
  <c r="L89" i="5"/>
  <c r="S89" i="5"/>
  <c r="Q83" i="5"/>
  <c r="M83" i="5"/>
  <c r="E66" i="5"/>
  <c r="J66" i="5"/>
  <c r="P66" i="5" s="1"/>
  <c r="M36" i="5"/>
  <c r="Q36" i="5"/>
  <c r="Q34" i="5"/>
  <c r="M34" i="5"/>
  <c r="J7" i="4"/>
  <c r="M12" i="4"/>
  <c r="S80" i="5"/>
  <c r="L80" i="5"/>
  <c r="S68" i="5"/>
  <c r="L68" i="5"/>
  <c r="G16" i="4"/>
  <c r="M53" i="5"/>
  <c r="Q53" i="5"/>
  <c r="S72" i="5"/>
  <c r="L72" i="5"/>
  <c r="M52" i="5"/>
  <c r="Q52" i="5"/>
  <c r="Q15" i="5"/>
  <c r="M15" i="5"/>
  <c r="H19" i="4"/>
  <c r="M46" i="5"/>
  <c r="Q46" i="5"/>
  <c r="M27" i="5"/>
  <c r="Q27" i="5"/>
  <c r="B26" i="4"/>
  <c r="K96" i="5"/>
  <c r="M33" i="5"/>
  <c r="Q33" i="5"/>
  <c r="R12" i="5"/>
  <c r="M7" i="4" s="1"/>
  <c r="L12" i="5"/>
  <c r="L94" i="5"/>
  <c r="S94" i="5"/>
  <c r="D26" i="4"/>
  <c r="J18" i="4"/>
  <c r="Q62" i="5"/>
  <c r="M62" i="5"/>
  <c r="Q57" i="5"/>
  <c r="M57" i="5"/>
  <c r="J80" i="5"/>
  <c r="P80" i="5" s="1"/>
  <c r="Q39" i="5"/>
  <c r="E29" i="4" s="1"/>
  <c r="M39" i="5"/>
  <c r="C29" i="4" s="1"/>
  <c r="Q23" i="5"/>
  <c r="M23" i="5"/>
  <c r="E21" i="4"/>
  <c r="M30" i="5"/>
  <c r="Q30" i="5"/>
  <c r="G13" i="4"/>
  <c r="M26" i="5"/>
  <c r="Q26" i="5"/>
  <c r="M55" i="5"/>
  <c r="Q55" i="5"/>
  <c r="Q56" i="5"/>
  <c r="M56" i="5"/>
  <c r="M87" i="5"/>
  <c r="Q87" i="5"/>
  <c r="L70" i="5"/>
  <c r="S70" i="5"/>
  <c r="M54" i="5"/>
  <c r="Q54" i="5"/>
  <c r="L78" i="5"/>
  <c r="S78" i="5"/>
  <c r="K22" i="5"/>
  <c r="G21" i="4" s="1"/>
  <c r="D6" i="16" s="1"/>
  <c r="E6" i="16" s="1"/>
  <c r="F6" i="16" s="1"/>
  <c r="L22" i="5"/>
  <c r="H9" i="4" s="1"/>
  <c r="R22" i="5"/>
  <c r="Q63" i="5"/>
  <c r="M63" i="5"/>
  <c r="R6" i="5"/>
  <c r="L6" i="5"/>
  <c r="M32" i="5"/>
  <c r="Q32" i="5"/>
  <c r="M98" i="5"/>
  <c r="Q98" i="5"/>
  <c r="S99" i="5"/>
  <c r="H99" i="5"/>
  <c r="Q59" i="5"/>
  <c r="M59" i="5"/>
  <c r="M44" i="5"/>
  <c r="Q44" i="5"/>
  <c r="H13" i="4"/>
  <c r="Q17" i="5"/>
  <c r="M17" i="5"/>
  <c r="Q43" i="5"/>
  <c r="M43" i="5"/>
  <c r="S90" i="5"/>
  <c r="L90" i="5"/>
  <c r="Q13" i="5"/>
  <c r="M13" i="5"/>
  <c r="M76" i="5"/>
  <c r="Q76" i="5"/>
  <c r="L69" i="5"/>
  <c r="M29" i="5"/>
  <c r="Q29" i="5"/>
  <c r="K92" i="5"/>
  <c r="Q16" i="5"/>
  <c r="M16" i="5"/>
  <c r="M41" i="5"/>
  <c r="Q41" i="5"/>
  <c r="Q37" i="5"/>
  <c r="M37" i="5"/>
  <c r="E20" i="4"/>
  <c r="M79" i="5"/>
  <c r="Q79" i="5"/>
  <c r="Q42" i="5"/>
  <c r="M42" i="5"/>
  <c r="M8" i="4"/>
  <c r="Q61" i="5"/>
  <c r="M61" i="5"/>
  <c r="J12" i="4"/>
  <c r="E88" i="5"/>
  <c r="J88" i="5" s="1"/>
  <c r="P88" i="5" s="1"/>
  <c r="J14" i="4"/>
  <c r="Q7" i="5"/>
  <c r="M7" i="5"/>
  <c r="K75" i="5"/>
  <c r="U88" i="5"/>
  <c r="S82" i="5"/>
  <c r="L82" i="5"/>
  <c r="E93" i="5"/>
  <c r="J93" i="5"/>
  <c r="P93" i="5" s="1"/>
  <c r="U93" i="5"/>
  <c r="Q81" i="5"/>
  <c r="M81" i="5"/>
  <c r="J78" i="5"/>
  <c r="P78" i="5" s="1"/>
  <c r="M14" i="5"/>
  <c r="Q14" i="5"/>
  <c r="Q51" i="5"/>
  <c r="M51" i="5"/>
  <c r="M58" i="5"/>
  <c r="Q58" i="5"/>
  <c r="U66" i="5"/>
  <c r="E6" i="4"/>
  <c r="E91" i="5"/>
  <c r="J91" i="5"/>
  <c r="P91" i="5" s="1"/>
  <c r="S71" i="5"/>
  <c r="L71" i="5"/>
  <c r="Q18" i="5"/>
  <c r="M18" i="5"/>
  <c r="M10" i="5"/>
  <c r="Q10" i="5"/>
  <c r="S74" i="5"/>
  <c r="L74" i="5"/>
  <c r="L100" i="5"/>
  <c r="S100" i="5"/>
  <c r="K65" i="5"/>
  <c r="G20" i="4" s="1"/>
  <c r="R65" i="5"/>
  <c r="L65" i="5"/>
  <c r="M8" i="5"/>
  <c r="Q8" i="5"/>
  <c r="R19" i="5"/>
  <c r="L19" i="5"/>
  <c r="K19" i="5"/>
  <c r="G8" i="4" s="1"/>
  <c r="Q31" i="5"/>
  <c r="H11" i="4"/>
  <c r="J11" i="4"/>
  <c r="H16" i="4"/>
  <c r="Q85" i="5"/>
  <c r="M85" i="5"/>
  <c r="M24" i="5"/>
  <c r="Q24" i="5"/>
  <c r="M11" i="5"/>
  <c r="Q11" i="5"/>
  <c r="Q64" i="5"/>
  <c r="M64" i="5"/>
  <c r="E92" i="5"/>
  <c r="E86" i="5"/>
  <c r="J86" i="5" s="1"/>
  <c r="P86" i="5" s="1"/>
  <c r="G12" i="4"/>
  <c r="D30" i="4"/>
  <c r="D13" i="16" s="1"/>
  <c r="E13" i="16" s="1"/>
  <c r="F13" i="16" s="1"/>
  <c r="M20" i="5"/>
  <c r="Q20" i="5"/>
  <c r="Q21" i="5"/>
  <c r="M21" i="5"/>
  <c r="K31" i="5"/>
  <c r="G11" i="4" s="1"/>
  <c r="J75" i="5"/>
  <c r="P75" i="5" s="1"/>
  <c r="E75" i="5"/>
  <c r="U75" i="5"/>
  <c r="H10" i="4"/>
  <c r="R50" i="5"/>
  <c r="M20" i="4" s="1"/>
  <c r="L50" i="5"/>
  <c r="S96" i="5"/>
  <c r="L96" i="5"/>
  <c r="E67" i="5"/>
  <c r="J67" i="5"/>
  <c r="P67" i="5" s="1"/>
  <c r="Q38" i="5"/>
  <c r="M38" i="5"/>
  <c r="K9" i="4" l="1"/>
  <c r="Q50" i="5"/>
  <c r="E30" i="4" s="1"/>
  <c r="M50" i="5"/>
  <c r="C30" i="4" s="1"/>
  <c r="H22" i="4"/>
  <c r="H14" i="4"/>
  <c r="S92" i="5"/>
  <c r="L92" i="5"/>
  <c r="D10" i="16"/>
  <c r="E10" i="16" s="1"/>
  <c r="F10" i="16" s="1"/>
  <c r="L67" i="5"/>
  <c r="S67" i="5"/>
  <c r="M90" i="5"/>
  <c r="Q90" i="5"/>
  <c r="F6" i="3"/>
  <c r="H6" i="3" s="1"/>
  <c r="O12" i="4"/>
  <c r="L12" i="4"/>
  <c r="M96" i="5"/>
  <c r="Q96" i="5"/>
  <c r="M100" i="5"/>
  <c r="Q100" i="5"/>
  <c r="M74" i="5"/>
  <c r="Q74" i="5"/>
  <c r="Q82" i="5"/>
  <c r="M82" i="5"/>
  <c r="K13" i="4"/>
  <c r="I13" i="4"/>
  <c r="S66" i="5"/>
  <c r="L66" i="5"/>
  <c r="Q95" i="5"/>
  <c r="M95" i="5"/>
  <c r="L75" i="5"/>
  <c r="S75" i="5"/>
  <c r="F7" i="3"/>
  <c r="H7" i="3" s="1"/>
  <c r="C27" i="4"/>
  <c r="C26" i="4"/>
  <c r="G6" i="3"/>
  <c r="I6" i="3" s="1"/>
  <c r="G9" i="4"/>
  <c r="I9" i="4" s="1"/>
  <c r="Q84" i="5"/>
  <c r="M84" i="5"/>
  <c r="Q19" i="5"/>
  <c r="M19" i="5"/>
  <c r="H8" i="4"/>
  <c r="Q94" i="5"/>
  <c r="M94" i="5"/>
  <c r="H20" i="4"/>
  <c r="M68" i="5"/>
  <c r="Q68" i="5"/>
  <c r="O15" i="4"/>
  <c r="L15" i="4"/>
  <c r="E26" i="4"/>
  <c r="Q78" i="5"/>
  <c r="M78" i="5"/>
  <c r="K19" i="4"/>
  <c r="I19" i="4"/>
  <c r="G10" i="3"/>
  <c r="I10" i="3" s="1"/>
  <c r="E27" i="4"/>
  <c r="N9" i="4"/>
  <c r="Q72" i="5"/>
  <c r="M72" i="5"/>
  <c r="L99" i="5"/>
  <c r="K99" i="5"/>
  <c r="D22" i="16"/>
  <c r="E22" i="16" s="1"/>
  <c r="F22" i="16" s="1"/>
  <c r="Q69" i="5"/>
  <c r="M69" i="5"/>
  <c r="Q12" i="5"/>
  <c r="M12" i="5"/>
  <c r="H7" i="4"/>
  <c r="Q6" i="5"/>
  <c r="H21" i="4"/>
  <c r="M6" i="5"/>
  <c r="H6" i="4"/>
  <c r="M80" i="5"/>
  <c r="Q80" i="5"/>
  <c r="F10" i="3"/>
  <c r="H10" i="3" s="1"/>
  <c r="D19" i="16" s="1"/>
  <c r="E19" i="16" s="1"/>
  <c r="F19" i="16" s="1"/>
  <c r="Q89" i="5"/>
  <c r="M89" i="5"/>
  <c r="C28" i="4"/>
  <c r="S86" i="5"/>
  <c r="L86" i="5"/>
  <c r="Q65" i="5"/>
  <c r="M65" i="5"/>
  <c r="H17" i="4"/>
  <c r="S88" i="5"/>
  <c r="L88" i="5"/>
  <c r="M21" i="4"/>
  <c r="M6" i="4"/>
  <c r="G19" i="4"/>
  <c r="M22" i="5"/>
  <c r="Q22" i="5"/>
  <c r="H18" i="4"/>
  <c r="M14" i="4"/>
  <c r="M18" i="4"/>
  <c r="I10" i="4"/>
  <c r="K10" i="4"/>
  <c r="L93" i="5"/>
  <c r="S93" i="5"/>
  <c r="K16" i="4"/>
  <c r="I16" i="4"/>
  <c r="Q71" i="5"/>
  <c r="M71" i="5"/>
  <c r="K11" i="4"/>
  <c r="I11" i="4"/>
  <c r="M70" i="5"/>
  <c r="Q70" i="5"/>
  <c r="L91" i="5"/>
  <c r="S91" i="5"/>
  <c r="M31" i="5"/>
  <c r="E28" i="4"/>
  <c r="J92" i="5"/>
  <c r="P92" i="5" s="1"/>
  <c r="J22" i="4" s="1"/>
  <c r="M17" i="4"/>
  <c r="M19" i="4"/>
  <c r="N19" i="4" s="1"/>
  <c r="N15" i="4"/>
  <c r="N12" i="4"/>
  <c r="B15" i="12"/>
  <c r="C12" i="1"/>
  <c r="M99" i="5" l="1"/>
  <c r="Q99" i="5"/>
  <c r="O11" i="4"/>
  <c r="L11" i="4"/>
  <c r="N11" i="4"/>
  <c r="Q86" i="5"/>
  <c r="M86" i="5"/>
  <c r="K6" i="3"/>
  <c r="L6" i="3" s="1"/>
  <c r="N10" i="3"/>
  <c r="N7" i="3"/>
  <c r="O6" i="3"/>
  <c r="N6" i="3"/>
  <c r="M6" i="3"/>
  <c r="O16" i="4"/>
  <c r="L16" i="4"/>
  <c r="N16" i="4"/>
  <c r="B18" i="12"/>
  <c r="M10" i="3"/>
  <c r="K10" i="3"/>
  <c r="L10" i="3" s="1"/>
  <c r="D20" i="16"/>
  <c r="E20" i="16" s="1"/>
  <c r="F20" i="16" s="1"/>
  <c r="O10" i="3"/>
  <c r="Q93" i="5"/>
  <c r="M93" i="5"/>
  <c r="L19" i="4"/>
  <c r="O19" i="4"/>
  <c r="M75" i="5"/>
  <c r="Q75" i="5"/>
  <c r="Q67" i="5"/>
  <c r="M67" i="5"/>
  <c r="L10" i="4"/>
  <c r="O10" i="4"/>
  <c r="N10" i="4"/>
  <c r="Q92" i="5"/>
  <c r="M92" i="5"/>
  <c r="N18" i="4"/>
  <c r="M66" i="5"/>
  <c r="Q66" i="5"/>
  <c r="N14" i="4"/>
  <c r="I6" i="4"/>
  <c r="K6" i="4"/>
  <c r="E22" i="4"/>
  <c r="I14" i="4"/>
  <c r="K14" i="4"/>
  <c r="K18" i="4"/>
  <c r="I18" i="4"/>
  <c r="K22" i="4"/>
  <c r="I22" i="4"/>
  <c r="K21" i="4"/>
  <c r="D7" i="16"/>
  <c r="E7" i="16" s="1"/>
  <c r="F7" i="16" s="1"/>
  <c r="I21" i="4"/>
  <c r="O13" i="4"/>
  <c r="L13" i="4"/>
  <c r="N13" i="4"/>
  <c r="K20" i="4"/>
  <c r="I20" i="4"/>
  <c r="G9" i="3"/>
  <c r="O9" i="4"/>
  <c r="L9" i="4"/>
  <c r="F8" i="3"/>
  <c r="H8" i="3" s="1"/>
  <c r="C7" i="1" s="1"/>
  <c r="D9" i="16"/>
  <c r="E9" i="16" s="1"/>
  <c r="F9" i="16" s="1"/>
  <c r="N21" i="4"/>
  <c r="F9" i="3"/>
  <c r="H9" i="3" s="1"/>
  <c r="G8" i="3"/>
  <c r="I8" i="3" s="1"/>
  <c r="N8" i="3" s="1"/>
  <c r="M91" i="5"/>
  <c r="Q91" i="5"/>
  <c r="Q88" i="5"/>
  <c r="M88" i="5"/>
  <c r="G7" i="3"/>
  <c r="I7" i="3" s="1"/>
  <c r="K7" i="4"/>
  <c r="I7" i="4"/>
  <c r="K8" i="4"/>
  <c r="I8" i="4"/>
  <c r="K17" i="4"/>
  <c r="I17" i="4"/>
  <c r="D16" i="16" l="1"/>
  <c r="E16" i="16" s="1"/>
  <c r="F16" i="16" s="1"/>
  <c r="C9" i="1"/>
  <c r="O6" i="4"/>
  <c r="L6" i="4"/>
  <c r="B17" i="12"/>
  <c r="C14" i="1"/>
  <c r="O17" i="4"/>
  <c r="L17" i="4"/>
  <c r="D8" i="16"/>
  <c r="E8" i="16" s="1"/>
  <c r="F8" i="16" s="1"/>
  <c r="C11" i="1"/>
  <c r="B14" i="12"/>
  <c r="D15" i="16"/>
  <c r="E15" i="16" s="1"/>
  <c r="F15" i="16" s="1"/>
  <c r="O8" i="3"/>
  <c r="C8" i="1"/>
  <c r="D17" i="16"/>
  <c r="E17" i="16" s="1"/>
  <c r="F17" i="16" s="1"/>
  <c r="M8" i="3"/>
  <c r="K8" i="3"/>
  <c r="L8" i="3" s="1"/>
  <c r="L7" i="4"/>
  <c r="O7" i="4"/>
  <c r="N7" i="4"/>
  <c r="L21" i="4"/>
  <c r="C13" i="1"/>
  <c r="B16" i="12"/>
  <c r="O21" i="4"/>
  <c r="N17" i="4"/>
  <c r="E7" i="13"/>
  <c r="I9" i="3"/>
  <c r="O20" i="4"/>
  <c r="L20" i="4"/>
  <c r="N20" i="4"/>
  <c r="L8" i="4"/>
  <c r="O8" i="4"/>
  <c r="N8" i="4"/>
  <c r="N6" i="4"/>
  <c r="K7" i="3"/>
  <c r="L7" i="3" s="1"/>
  <c r="O7" i="3"/>
  <c r="M7" i="3"/>
  <c r="B19" i="12"/>
  <c r="O22" i="4"/>
  <c r="L22" i="4"/>
  <c r="O18" i="4"/>
  <c r="L18" i="4"/>
  <c r="L14" i="4"/>
  <c r="O14" i="4"/>
  <c r="K9" i="3" l="1"/>
  <c r="L9" i="3" s="1"/>
  <c r="C10" i="1" s="1"/>
  <c r="M9" i="3"/>
  <c r="O9" i="3"/>
  <c r="N9" i="3"/>
  <c r="I7" i="13"/>
  <c r="H7" i="13"/>
  <c r="D12" i="16"/>
  <c r="E12" i="16" s="1"/>
  <c r="F12" i="16" s="1"/>
</calcChain>
</file>

<file path=xl/sharedStrings.xml><?xml version="1.0" encoding="utf-8"?>
<sst xmlns="http://schemas.openxmlformats.org/spreadsheetml/2006/main" count="1463" uniqueCount="878">
  <si>
    <t>INNONOW 통합 가상 데이터 확장 v0.2</t>
  </si>
  <si>
    <t>장면 1·2 연결 / 기존사업 A제품·울산공장 / 전 항목 가상 데이터 / 기본안은 2027-07-01 적용</t>
  </si>
  <si>
    <t>구분</t>
  </si>
  <si>
    <t>핵심 항목</t>
  </si>
  <si>
    <t>값·결과</t>
  </si>
  <si>
    <t>설명</t>
  </si>
  <si>
    <t>검토</t>
  </si>
  <si>
    <t>공통부품 기존 → 요청 → 협상</t>
  </si>
  <si>
    <t>2,000 → 2,200 → 2,120원</t>
  </si>
  <si>
    <t>이번 가상값 제안. 기존단가 대비 요청10%, 협상6%. a·b 각1개 사용.</t>
  </si>
  <si>
    <t>구매</t>
  </si>
  <si>
    <t>당해연도 잔여 구매 증가</t>
  </si>
  <si>
    <t>협상안 / 2027-07~12 / 원</t>
  </si>
  <si>
    <t>향후12개월 구매 증가</t>
  </si>
  <si>
    <t>협상안 / 2027-07~2028-06 / 원</t>
  </si>
  <si>
    <t>협상</t>
  </si>
  <si>
    <t>요청 대비 12개월 부담 감소</t>
  </si>
  <si>
    <t>원. 가격 인상 부담은 남아 있으며 위험 해소로 보지 않음.</t>
  </si>
  <si>
    <t>판단</t>
  </si>
  <si>
    <t>종합위험 / 대표 승인</t>
  </si>
  <si>
    <t>비율 위험은 관심, 구매 증가액 위험은 중요. 결재 기준은 별도 적용.</t>
  </si>
  <si>
    <t>손익</t>
  </si>
  <si>
    <t>2027 물량 감소 순영향</t>
  </si>
  <si>
    <t>장면1 F01→F02 차이 / 원</t>
  </si>
  <si>
    <t>2027 단가 인상 추가 영향</t>
  </si>
  <si>
    <t>장면2 F02 수량 × 승인단가 인상 / 원</t>
  </si>
  <si>
    <t>2027 통합 관리손익</t>
  </si>
  <si>
    <t>고정비 차감 후 공장 범위 / 원</t>
  </si>
  <si>
    <t>2027 Target 대비 부족</t>
  </si>
  <si>
    <t>Target은 변경하지 않음 / 원</t>
  </si>
  <si>
    <t>가정</t>
  </si>
  <si>
    <t>2028 내부가정</t>
  </si>
  <si>
    <t>동일월 F01의 97%</t>
  </si>
  <si>
    <t>2028-01~07 제공. 판매단가·원가·월고정비는 유지. 실제 고객계획 아님.</t>
  </si>
  <si>
    <t>시연</t>
  </si>
  <si>
    <t>단계별 적재</t>
  </si>
  <si>
    <t>D00 초기, 이후 실행 시 생성</t>
  </si>
  <si>
    <t>향후 승인·협상 기록은 기대 fixture이며 시작 화면에 미리 노출하지 않음.</t>
  </si>
  <si>
    <t>외부 협상기한</t>
  </si>
  <si>
    <t>담당자가 건별 입력</t>
  </si>
  <si>
    <t>가상 기본 기한 2027-06-21 18:00. 내부 SLA와 구분.</t>
  </si>
  <si>
    <t>개발</t>
  </si>
  <si>
    <t>인계 범위</t>
  </si>
  <si>
    <t>단가·물량·원가·손익·증빙·상태·예외</t>
  </si>
  <si>
    <t>U21~27, S01~14, CT21~30, D00~12 연결. 권한/API 상세는 다음 구현명세.</t>
  </si>
  <si>
    <t>확인</t>
  </si>
  <si>
    <t>검토 권장 위치</t>
  </si>
  <si>
    <t>설정 / 단가안비교 / 통합손익</t>
  </si>
  <si>
    <t>가상 가격·2028 감소가정·기본 업무일정의 자연스러움을 우선 검토.</t>
  </si>
  <si>
    <t>한계</t>
  </si>
  <si>
    <t>구매 증가와 CM 감소의 동일성</t>
  </si>
  <si>
    <t>시차0·재고0 단순화</t>
  </si>
  <si>
    <t>일반 회계 등식이 아님. 두 지표는 별도 보관. 향후12개월 Target은 미설정.</t>
  </si>
  <si>
    <t>통합 가상 데이터 설정</t>
  </si>
  <si>
    <t>노란 값은 이번 데이터 설계의 가상 입력값입니다. 날짜·금액·내부가정 변경 시 계산표가 갱신됩니다.</t>
  </si>
  <si>
    <t>key</t>
  </si>
  <si>
    <t>value</t>
  </si>
  <si>
    <t>의미</t>
  </si>
  <si>
    <t>기준 및 사용법</t>
  </si>
  <si>
    <t>effective_date</t>
  </si>
  <si>
    <t>기본 적용일</t>
  </si>
  <si>
    <t>월초만 지원. 월중 적용은 구현 확장 필요</t>
  </si>
  <si>
    <t>next_year_factor</t>
  </si>
  <si>
    <t>2028 물량 가정</t>
  </si>
  <si>
    <t>2027 동일월 F01 ×97%, 정수 반올림. 2028-01~07 내부가정</t>
  </si>
  <si>
    <t>rate_attention</t>
  </si>
  <si>
    <t>단가 인상률 관심</t>
  </si>
  <si>
    <t>품목별 기존단가 대비</t>
  </si>
  <si>
    <t>rate_critical</t>
  </si>
  <si>
    <t>단가 인상률 중요</t>
  </si>
  <si>
    <t>정확히 경계값 포함</t>
  </si>
  <si>
    <t>amount_attention</t>
  </si>
  <si>
    <t>구매 증가액 관심</t>
  </si>
  <si>
    <t>향후12개월·공급사 요청건 합계·VAT 제외</t>
  </si>
  <si>
    <t>amount_critical</t>
  </si>
  <si>
    <t>구매 증가액 중요</t>
  </si>
  <si>
    <t>손익 감소액과 구분</t>
  </si>
  <si>
    <t>ceo_threshold</t>
  </si>
  <si>
    <t>대표 승인 기준</t>
  </si>
  <si>
    <t>최종 기안 향후12개월 구매 증가액 이상</t>
  </si>
  <si>
    <t>old_price</t>
  </si>
  <si>
    <t>기존 공통부품 단가</t>
  </si>
  <si>
    <t>C01 외주비에 이미 포함된 부품 P-COM01·원/개</t>
  </si>
  <si>
    <t>request_price</t>
  </si>
  <si>
    <t>공급사 요청 단가</t>
  </si>
  <si>
    <t>가상값·10% 인상</t>
  </si>
  <si>
    <t>internal_offer</t>
  </si>
  <si>
    <t>내부 협상 제시 단가</t>
  </si>
  <si>
    <t>가상값·실제 합의와 구분</t>
  </si>
  <si>
    <t>negotiated_price</t>
  </si>
  <si>
    <t>1차 협상 잠정 단가</t>
  </si>
  <si>
    <t>가상값·6% 인상·대표 승인 시연 유지</t>
  </si>
  <si>
    <t>proposal_price</t>
  </si>
  <si>
    <t>상신 단가</t>
  </si>
  <si>
    <t>협상안과 다르면 사유 입력 및 새 분석 필요</t>
  </si>
  <si>
    <t>approved_price</t>
  </si>
  <si>
    <t>승인 결과 예정값</t>
  </si>
  <si>
    <t>시연 D09 이후 생성할 기대값. 초기 시드에 승인값 적재 금지</t>
  </si>
  <si>
    <t>negotiation_due</t>
  </si>
  <si>
    <t>2027-06-21 18:00:00 KST</t>
  </si>
  <si>
    <t>외부협상 기한</t>
  </si>
  <si>
    <t>구매담당 수동 입력. 건별 변경 가능·내부 SLA와 별도</t>
  </si>
  <si>
    <t>selected_price_version</t>
  </si>
  <si>
    <t>PV-APP01</t>
  </si>
  <si>
    <t>장면3 최종 비교안</t>
  </si>
  <si>
    <t>승인 결과 기준 기대 데이터. 초기화 시 아직 존재하지 않음</t>
  </si>
  <si>
    <t>fixed_monthly</t>
  </si>
  <si>
    <t>2028 월 고정비 가정</t>
  </si>
  <si>
    <t>2027 월 기준 유지. 원가·판매단가도 C01 유지</t>
  </si>
  <si>
    <t>purchase_lag</t>
  </si>
  <si>
    <t>구매·생산·납품 시차</t>
  </si>
  <si>
    <t>기발주·재고 없음. 구매 증가와 공헌이익 감소가 같은 단순화</t>
  </si>
  <si>
    <t>analysis_period_end</t>
  </si>
  <si>
    <t>향후12개월 종료 경계</t>
  </si>
  <si>
    <t>종료일 미포함. 2027-07-01~2028-06-30</t>
  </si>
  <si>
    <t>remaining_year_end</t>
  </si>
  <si>
    <t>당해연도 종료 경계</t>
  </si>
  <si>
    <t>종료일 미포함</t>
  </si>
  <si>
    <t>expected_model_months</t>
  </si>
  <si>
    <t>12개월 필수 원가·물량 행수</t>
  </si>
  <si>
    <t>5모델 ×12개월. 중복키·누락값 별도 검사</t>
  </si>
  <si>
    <t>요청부터 승인까지 구매 증가액 비교</t>
  </si>
  <si>
    <t>동일 F02·EXT28-v1 물량. H: 2027 잔여기간, I: 적용일부터12개월. 승인선은 최종 기안안으로 확정하며 다른 안의 값은 사전 미리보기입니다.</t>
  </si>
  <si>
    <t>price_version</t>
  </si>
  <si>
    <t>종류</t>
  </si>
  <si>
    <t>기존가</t>
  </si>
  <si>
    <t>단가</t>
  </si>
  <si>
    <t>인상률</t>
  </si>
  <si>
    <t>잔여구매량</t>
  </si>
  <si>
    <t>12개월구매량</t>
  </si>
  <si>
    <t>잔여구매증가</t>
  </si>
  <si>
    <t>12개월구매증가</t>
  </si>
  <si>
    <t>비율위험</t>
  </si>
  <si>
    <t>금액위험</t>
  </si>
  <si>
    <t>종합위험</t>
  </si>
  <si>
    <t>승인선미리보기</t>
  </si>
  <si>
    <t>요청대비부담감소</t>
  </si>
  <si>
    <t>12개월CM영향</t>
  </si>
  <si>
    <t>PV-REQ01</t>
  </si>
  <si>
    <t>요청안</t>
  </si>
  <si>
    <t>PV-OFFER01</t>
  </si>
  <si>
    <t>내부제시안</t>
  </si>
  <si>
    <t>PV-NEG01</t>
  </si>
  <si>
    <t>1차협상안</t>
  </si>
  <si>
    <t>PV-PROP01</t>
  </si>
  <si>
    <t>기안안</t>
  </si>
  <si>
    <t>승인안</t>
  </si>
  <si>
    <t>장면 1·2 통합 관리손익</t>
  </si>
  <si>
    <t>모든 금액 원. 관리손익=공헌이익−공장고정비. 본사비·금융비·세금 제외. 향후12개월 Target은 미설정이며 당해연도 Target을 혼용하지 않습니다.</t>
  </si>
  <si>
    <t>기간</t>
  </si>
  <si>
    <t>시작일</t>
  </si>
  <si>
    <t>종료경계</t>
  </si>
  <si>
    <t>F02매출</t>
  </si>
  <si>
    <t>공장고정비</t>
  </si>
  <si>
    <t>F01기준손익</t>
  </si>
  <si>
    <t>물량반영손익</t>
  </si>
  <si>
    <t>장면1물량영향</t>
  </si>
  <si>
    <t>장면2원가영향</t>
  </si>
  <si>
    <t>통합손익</t>
  </si>
  <si>
    <t>전체변동</t>
  </si>
  <si>
    <t>Target손익</t>
  </si>
  <si>
    <t>Target부족</t>
  </si>
  <si>
    <t>브리지차이</t>
  </si>
  <si>
    <t>2027-01</t>
  </si>
  <si>
    <t>월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</si>
  <si>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</si>
  <si>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</si>
  <si>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</si>
  <si>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</si>
  <si>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</si>
  <si>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</si>
  <si>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</si>
  <si>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</si>
  <si>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</si>
  <si>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</si>
  <si>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</si>
  <si>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2027 Q3</t>
  </si>
  <si>
    <t>분기</t>
  </si>
  <si>
    <t>2027 Q4</t>
  </si>
  <si>
    <t>2027 잔여</t>
  </si>
  <si>
    <t>잔여</t>
  </si>
  <si>
    <t>2027 연간</t>
  </si>
  <si>
    <t>연간</t>
  </si>
  <si>
    <t>향후12개월</t>
  </si>
  <si>
    <t>12개월</t>
  </si>
  <si>
    <t>2027 Q3 모델</t>
  </si>
  <si>
    <t>F01 공헌이익</t>
  </si>
  <si>
    <t>물량영향</t>
  </si>
  <si>
    <t>원가영향</t>
  </si>
  <si>
    <t>통합 공헌이익</t>
  </si>
  <si>
    <t>고정비 처리</t>
  </si>
  <si>
    <t>A-a</t>
  </si>
  <si>
    <t>공장 합계에서만 차감</t>
  </si>
  <si>
    <t>A-b</t>
  </si>
  <si>
    <t>A-c</t>
  </si>
  <si>
    <t>A-d</t>
  </si>
  <si>
    <t>A-e</t>
  </si>
  <si>
    <t>월별·모델별 손익 및 구매수량</t>
  </si>
  <si>
    <t>금액 원, 수량 개/대분. 가격 인상은 적용일 이후에만 반영합니다. 2028년 비교안은 모두 같은 내부가정·원가·고정비 범위를 사용합니다.</t>
  </si>
  <si>
    <t>row_key</t>
  </si>
  <si>
    <t>period</t>
  </si>
  <si>
    <t>model_id</t>
  </si>
  <si>
    <t>F01_qty</t>
  </si>
  <si>
    <t>F02_qty</t>
  </si>
  <si>
    <t>판매단가</t>
  </si>
  <si>
    <t>C01변동비</t>
  </si>
  <si>
    <t>기준단위CM</t>
  </si>
  <si>
    <t>부품소요량</t>
  </si>
  <si>
    <t>부품구매량</t>
  </si>
  <si>
    <t>F01_CM</t>
  </si>
  <si>
    <t>F02_CM</t>
  </si>
  <si>
    <t>물량순영향</t>
  </si>
  <si>
    <t>12개월포함</t>
  </si>
  <si>
    <t>당해잔여포함</t>
  </si>
  <si>
    <t>승인안원가증가</t>
  </si>
  <si>
    <t>통합_CM</t>
  </si>
  <si>
    <t>Target_CM</t>
  </si>
  <si>
    <t>승인안외주비</t>
  </si>
  <si>
    <t>원천유효</t>
  </si>
  <si>
    <t>2027 기준 및 2028 내부가정</t>
  </si>
  <si>
    <t>출처: INNONOW_SC01_통합가상데이터설계_v0.1.xlsx 손익계산·단위원가. 2027 값 보존. 수량은 당사 배정 대분이며 40%를 재적용하지 않습니다.</t>
  </si>
  <si>
    <t>T01_qty</t>
  </si>
  <si>
    <t>재료비</t>
  </si>
  <si>
    <t>기존외주비</t>
  </si>
  <si>
    <t>변동가공비</t>
  </si>
  <si>
    <t>실적수량</t>
  </si>
  <si>
    <t>기간성격</t>
  </si>
  <si>
    <t>source_ref</t>
  </si>
  <si>
    <t>확실성</t>
  </si>
  <si>
    <t>2027-01|A-a</t>
  </si>
  <si>
    <t>확정실적 포함</t>
  </si>
  <si>
    <t>SC01 v0.1 / F01·F02·C01</t>
  </si>
  <si>
    <t>내부전망 또는 실적</t>
  </si>
  <si>
    <t>2027-01|A-b</t>
  </si>
  <si>
    <t>2027-01|A-c</t>
  </si>
  <si>
    <t>2027-01|A-d</t>
  </si>
  <si>
    <t>2027-01|A-e</t>
  </si>
  <si>
    <t>2027-02|A-a</t>
  </si>
  <si>
    <t>2027-02|A-b</t>
  </si>
  <si>
    <t>2027-02|A-c</t>
  </si>
  <si>
    <t>2027-02|A-d</t>
  </si>
  <si>
    <t>2027-02|A-e</t>
  </si>
  <si>
    <t>2027-03|A-a</t>
  </si>
  <si>
    <t>2027-03|A-b</t>
  </si>
  <si>
    <t>2027-03|A-c</t>
  </si>
  <si>
    <t>2027-03|A-d</t>
  </si>
  <si>
    <t>2027-03|A-e</t>
  </si>
  <si>
    <t>2027-04|A-a</t>
  </si>
  <si>
    <t>2027-04|A-b</t>
  </si>
  <si>
    <t>2027-04|A-c</t>
  </si>
  <si>
    <t>2027-04|A-d</t>
  </si>
  <si>
    <t>2027-04|A-e</t>
  </si>
  <si>
    <t>2027-05|A-a</t>
  </si>
  <si>
    <t>2027-05|A-b</t>
  </si>
  <si>
    <t>2027-05|A-c</t>
  </si>
  <si>
    <t>2027-05|A-d</t>
  </si>
  <si>
    <t>2027-05|A-e</t>
  </si>
  <si>
    <t>2027-06|A-a</t>
  </si>
  <si>
    <t>6/15 실적+잔여전망</t>
  </si>
  <si>
    <t>2027-06|A-b</t>
  </si>
  <si>
    <t>2027-06|A-c</t>
  </si>
  <si>
    <t>2027-06|A-d</t>
  </si>
  <si>
    <t>2027-06|A-e</t>
  </si>
  <si>
    <t>2027-07|A-a</t>
  </si>
  <si>
    <t>미래전망</t>
  </si>
  <si>
    <t>CP02 확인물량</t>
  </si>
  <si>
    <t>2027-07|A-b</t>
  </si>
  <si>
    <t>2027-07|A-c</t>
  </si>
  <si>
    <t>2027-07|A-d</t>
  </si>
  <si>
    <t>2027-07|A-e</t>
  </si>
  <si>
    <t>2027-08|A-a</t>
  </si>
  <si>
    <t>2027-08|A-b</t>
  </si>
  <si>
    <t>2027-08|A-c</t>
  </si>
  <si>
    <t>2027-08|A-d</t>
  </si>
  <si>
    <t>2027-08|A-e</t>
  </si>
  <si>
    <t>2027-09|A-a</t>
  </si>
  <si>
    <t>2027-09|A-b</t>
  </si>
  <si>
    <t>2027-09|A-c</t>
  </si>
  <si>
    <t>2027-09|A-d</t>
  </si>
  <si>
    <t>2027-09|A-e</t>
  </si>
  <si>
    <t>2027-10|A-a</t>
  </si>
  <si>
    <t>2027-10|A-b</t>
  </si>
  <si>
    <t>2027-10|A-c</t>
  </si>
  <si>
    <t>2027-10|A-d</t>
  </si>
  <si>
    <t>2027-10|A-e</t>
  </si>
  <si>
    <t>2027-11|A-a</t>
  </si>
  <si>
    <t>2027-11|A-b</t>
  </si>
  <si>
    <t>2027-11|A-c</t>
  </si>
  <si>
    <t>2027-11|A-d</t>
  </si>
  <si>
    <t>2027-11|A-e</t>
  </si>
  <si>
    <t>2027-12|A-a</t>
  </si>
  <si>
    <t>2027-12|A-b</t>
  </si>
  <si>
    <t>2027-12|A-c</t>
  </si>
  <si>
    <t>2027-12|A-d</t>
  </si>
  <si>
    <t>2027-12|A-e</t>
  </si>
  <si>
    <t>2028-01|A-a</t>
  </si>
  <si>
    <t>내부가정·미승인</t>
  </si>
  <si>
    <t>EXT28-v1 / C01 유지</t>
  </si>
  <si>
    <t>고객확정 아님</t>
  </si>
  <si>
    <t>2028-01|A-b</t>
  </si>
  <si>
    <t>2028-01|A-c</t>
  </si>
  <si>
    <t>2028-01|A-d</t>
  </si>
  <si>
    <t>2028-01|A-e</t>
  </si>
  <si>
    <t>2028-02|A-a</t>
  </si>
  <si>
    <t>2028-02|A-b</t>
  </si>
  <si>
    <t>2028-02|A-c</t>
  </si>
  <si>
    <t>2028-02|A-d</t>
  </si>
  <si>
    <t>2028-02|A-e</t>
  </si>
  <si>
    <t>2028-03|A-a</t>
  </si>
  <si>
    <t>2028-03|A-b</t>
  </si>
  <si>
    <t>2028-03|A-c</t>
  </si>
  <si>
    <t>2028-03|A-d</t>
  </si>
  <si>
    <t>2028-03|A-e</t>
  </si>
  <si>
    <t>2028-04|A-a</t>
  </si>
  <si>
    <t>2028-04|A-b</t>
  </si>
  <si>
    <t>2028-04|A-c</t>
  </si>
  <si>
    <t>2028-04|A-d</t>
  </si>
  <si>
    <t>2028-04|A-e</t>
  </si>
  <si>
    <t>2028-05|A-a</t>
  </si>
  <si>
    <t>2028-05|A-b</t>
  </si>
  <si>
    <t>2028-05|A-c</t>
  </si>
  <si>
    <t>2028-05|A-d</t>
  </si>
  <si>
    <t>2028-05|A-e</t>
  </si>
  <si>
    <t>2028-06|A-a</t>
  </si>
  <si>
    <t>2028-06|A-b</t>
  </si>
  <si>
    <t>2028-06|A-c</t>
  </si>
  <si>
    <t>2028-06|A-d</t>
  </si>
  <si>
    <t>2028-06|A-e</t>
  </si>
  <si>
    <t>2028-07|A-a</t>
  </si>
  <si>
    <t>2028-07|A-b</t>
  </si>
  <si>
    <t>2028-07|A-c</t>
  </si>
  <si>
    <t>2028-07|A-d</t>
  </si>
  <si>
    <t>2028-07|A-e</t>
  </si>
  <si>
    <t>공장 고정비</t>
  </si>
  <si>
    <t>울산 A제품 범위. 모델별 고정비 배부는 하지 않으며 공장 합계에서 한 번만 차감합니다.</t>
  </si>
  <si>
    <t>fixed_cost</t>
  </si>
  <si>
    <t>actual_fixed</t>
  </si>
  <si>
    <t>SC01 v0.1 / 고정비</t>
  </si>
  <si>
    <t>내부가정: 2027 기준 유지</t>
  </si>
  <si>
    <t>공통부품 소요량 및 외주비 구성</t>
  </si>
  <si>
    <t>P-COM01은 가상의 외주 공통부품입니다. a·b 각1개, c·d·e는 미사용. 기존 단가는 전체 외주비의 일부입니다.</t>
  </si>
  <si>
    <t>part_id</t>
  </si>
  <si>
    <t>supplier_id</t>
  </si>
  <si>
    <t>소요량</t>
  </si>
  <si>
    <t>기존부품단가</t>
  </si>
  <si>
    <t>잔여외주비</t>
  </si>
  <si>
    <t>산식 및 소속</t>
  </si>
  <si>
    <t>P-COM01</t>
  </si>
  <si>
    <t>SUP-01</t>
  </si>
  <si>
    <t>C01 외주비 = 기존부품단가×소요량 + 잔여외주비</t>
  </si>
  <si>
    <t>단가안과 분석 버전</t>
  </si>
  <si>
    <t>동일 요청의 순차 이력입니다. 요청·협상·기안·승인안을 합산하지 않습니다. 아래는 단계 실행 시 생성할 기대 데이터입니다.</t>
  </si>
  <si>
    <t>request_id</t>
  </si>
  <si>
    <t>new_price</t>
  </si>
  <si>
    <t>run_id</t>
  </si>
  <si>
    <t>생성시연</t>
  </si>
  <si>
    <t>상태</t>
  </si>
  <si>
    <t>REQ-2706-01</t>
  </si>
  <si>
    <t>RUN-REQ01</t>
  </si>
  <si>
    <t>D01</t>
  </si>
  <si>
    <t>접수·미승인</t>
  </si>
  <si>
    <t>RUN-OFFER01</t>
  </si>
  <si>
    <t>D03</t>
  </si>
  <si>
    <t>내부검토·미합의</t>
  </si>
  <si>
    <t>RUN-NEG01</t>
  </si>
  <si>
    <t>D04</t>
  </si>
  <si>
    <t>잠정합의·미승인</t>
  </si>
  <si>
    <t>RUN-PROP01</t>
  </si>
  <si>
    <t>D06</t>
  </si>
  <si>
    <t>승인대기</t>
  </si>
  <si>
    <t>RUN-APP01</t>
  </si>
  <si>
    <t>D09</t>
  </si>
  <si>
    <t>승인완료·적용예정</t>
  </si>
  <si>
    <t>시연 단계별 이벤트와 상태</t>
  </si>
  <si>
    <t>모든 날짜·사용자 역할은 가상 시연값입니다. 처음에는 D00까지만 적재하고 단계 실행 시 후속 기록을 생성합니다. 기본 경로와 X01은 동시에 실행하지 않습니다.</t>
  </si>
  <si>
    <t>demo_id</t>
  </si>
  <si>
    <t>step_id</t>
  </si>
  <si>
    <t>event_at</t>
  </si>
  <si>
    <t>actor_role</t>
  </si>
  <si>
    <t>screen_id</t>
  </si>
  <si>
    <t>action</t>
  </si>
  <si>
    <t>state_after</t>
  </si>
  <si>
    <t>due_at</t>
  </si>
  <si>
    <t>evidence_id</t>
  </si>
  <si>
    <t>완료조건·주의</t>
  </si>
  <si>
    <t>fixture_kind</t>
  </si>
  <si>
    <t>control_id</t>
  </si>
  <si>
    <t>업무단계</t>
  </si>
  <si>
    <t>D00</t>
  </si>
  <si>
    <t>S0</t>
  </si>
  <si>
    <t>2027-06-17 08:50:00 KST</t>
  </si>
  <si>
    <t>경영관리</t>
  </si>
  <si>
    <t>공통</t>
  </si>
  <si>
    <t>ISSUE-B07 확인</t>
  </si>
  <si>
    <t>SC01_REVIEW_PENDING</t>
  </si>
  <si>
    <t>NONE</t>
  </si>
  <si>
    <t>RUN-F02-001</t>
  </si>
  <si>
    <t>장면1 기본 완료·F02 미승인</t>
  </si>
  <si>
    <t>초기</t>
  </si>
  <si>
    <t>S01</t>
  </si>
  <si>
    <t>2027-06-17 09:00:00 KST</t>
  </si>
  <si>
    <t>구매담당</t>
  </si>
  <si>
    <t>U21</t>
  </si>
  <si>
    <t>REQ-2706-01 접수</t>
  </si>
  <si>
    <t>RECEIVED</t>
  </si>
  <si>
    <t>2027-06-18 18:00:00 KST</t>
  </si>
  <si>
    <t>DOC-REQ01</t>
  </si>
  <si>
    <t>요청가 확인·승인값 없음</t>
  </si>
  <si>
    <t>실행</t>
  </si>
  <si>
    <t>CT21</t>
  </si>
  <si>
    <t>인상 요청 접수</t>
  </si>
  <si>
    <t>D02</t>
  </si>
  <si>
    <t>S02</t>
  </si>
  <si>
    <t>2027-06-17 10:00:00 KST</t>
  </si>
  <si>
    <t>구매담당·팀장</t>
  </si>
  <si>
    <t>U22</t>
  </si>
  <si>
    <t>구두보고 기록</t>
  </si>
  <si>
    <t>PRE_REVIEW</t>
  </si>
  <si>
    <t>NOTE-REPORT01</t>
  </si>
  <si>
    <t>분석 착수, 별도 전자승인 없음</t>
  </si>
  <si>
    <t>CT22</t>
  </si>
  <si>
    <t>팀장 보고 및 협의</t>
  </si>
  <si>
    <t>S03</t>
  </si>
  <si>
    <t>2027-06-18 11:00:00 KST</t>
  </si>
  <si>
    <t>요청안 분석·내부 제시안</t>
  </si>
  <si>
    <t>NEGOTIATION_READY</t>
  </si>
  <si>
    <t>NOTE-ANALYSIS01</t>
  </si>
  <si>
    <t>RUN-REQ01/RUN-OFFER01</t>
  </si>
  <si>
    <t>12개월 증가액·가정 확인</t>
  </si>
  <si>
    <t>CT23·CT24</t>
  </si>
  <si>
    <t>사전 영향분석</t>
  </si>
  <si>
    <t>S04</t>
  </si>
  <si>
    <t>2027-06-21 15:00:00 KST</t>
  </si>
  <si>
    <t>U23</t>
  </si>
  <si>
    <t>1차 협상 기록</t>
  </si>
  <si>
    <t>TENTATIVE_AGREEMENT</t>
  </si>
  <si>
    <t>NOTE-NEG01</t>
  </si>
  <si>
    <t>협상가 입력·미승인</t>
  </si>
  <si>
    <t>CT25</t>
  </si>
  <si>
    <t>1차 협상</t>
  </si>
  <si>
    <t>D05</t>
  </si>
  <si>
    <t>S05</t>
  </si>
  <si>
    <t>2027-06-22 10:00:00 KST</t>
  </si>
  <si>
    <t>협상안 재분석</t>
  </si>
  <si>
    <t>PROPOSAL_READY</t>
  </si>
  <si>
    <t>2027-06-23 18:00:00 KST</t>
  </si>
  <si>
    <t>최신 버전·조건 일치 확인</t>
  </si>
  <si>
    <t>CT24·CT26</t>
  </si>
  <si>
    <t>협상안 영향 재분석</t>
  </si>
  <si>
    <t>S06</t>
  </si>
  <si>
    <t>2027-06-22 11:00:00 KST</t>
  </si>
  <si>
    <t>U24</t>
  </si>
  <si>
    <t>PROP01-v1 상신</t>
  </si>
  <si>
    <t>TEAM_APPROVAL_PENDING</t>
  </si>
  <si>
    <t>DOC-PROP01</t>
  </si>
  <si>
    <t>기안 단가2120·협상안 일치</t>
  </si>
  <si>
    <t>CT26</t>
  </si>
  <si>
    <t>가격인상 보고 기안</t>
  </si>
  <si>
    <t>D07</t>
  </si>
  <si>
    <t>S07</t>
  </si>
  <si>
    <t>2027-06-22 14:00:00 KST</t>
  </si>
  <si>
    <t>구매팀장</t>
  </si>
  <si>
    <t>U25</t>
  </si>
  <si>
    <t>APP-T01 승인</t>
  </si>
  <si>
    <t>EXEC_APPROVAL_PENDING</t>
  </si>
  <si>
    <t>APP-T01</t>
  </si>
  <si>
    <t>동일 PROP01-v1 승인</t>
  </si>
  <si>
    <t>CT27</t>
  </si>
  <si>
    <t>구매팀장 승인</t>
  </si>
  <si>
    <t>D08</t>
  </si>
  <si>
    <t>S08/S09</t>
  </si>
  <si>
    <t>2027-06-23 10:00:00 KST</t>
  </si>
  <si>
    <t>구매임원</t>
  </si>
  <si>
    <t>APP-E01 승인·대표 판정</t>
  </si>
  <si>
    <t>CEO_APPROVAL_PENDING</t>
  </si>
  <si>
    <t>2027-06-24 18:00:00 KST</t>
  </si>
  <si>
    <t>APP-E01</t>
  </si>
  <si>
    <t>최종12개월 구매증가 ≥10백만원</t>
  </si>
  <si>
    <t>CT27·CT28 / CT28</t>
  </si>
  <si>
    <t>구매임원 승인 / 대표 승인 대상 판단</t>
  </si>
  <si>
    <t>S10</t>
  </si>
  <si>
    <t>2027-06-23 14:00:00 KST</t>
  </si>
  <si>
    <t>대표</t>
  </si>
  <si>
    <t>APP-C01 승인</t>
  </si>
  <si>
    <t>APPROVED</t>
  </si>
  <si>
    <t>APP-C01</t>
  </si>
  <si>
    <t>승인 단가 확정·공식 F02 승인 아님</t>
  </si>
  <si>
    <t>CT27·CT28</t>
  </si>
  <si>
    <t>대표 승인</t>
  </si>
  <si>
    <t>D10</t>
  </si>
  <si>
    <t>S11</t>
  </si>
  <si>
    <t>2027-06-23 15:00:00 KST</t>
  </si>
  <si>
    <t>U26</t>
  </si>
  <si>
    <t>C02-APP01 원가 등록</t>
  </si>
  <si>
    <t>REGISTERED_FUTURE</t>
  </si>
  <si>
    <t>REG-C02</t>
  </si>
  <si>
    <t>7/1 적용예정·C01 보존</t>
  </si>
  <si>
    <t>CT29</t>
  </si>
  <si>
    <t>승인 조건 및 원가 등록</t>
  </si>
  <si>
    <t>D11</t>
  </si>
  <si>
    <t>S12</t>
  </si>
  <si>
    <t>2027-06-23 16:00:00 KST</t>
  </si>
  <si>
    <t>U27</t>
  </si>
  <si>
    <t>MR-2706-01 검토자료 갱신</t>
  </si>
  <si>
    <t>FINANCE_PENDING</t>
  </si>
  <si>
    <t>HANDOFF-01</t>
  </si>
  <si>
    <t>물량·원가 별도 사건 연결</t>
  </si>
  <si>
    <t>CT30</t>
  </si>
  <si>
    <t>장면 3 검토자료 연결</t>
  </si>
  <si>
    <t>D12</t>
  </si>
  <si>
    <t>S13</t>
  </si>
  <si>
    <t>2027-06-24 10:00:00 KST</t>
  </si>
  <si>
    <t>수신 확인</t>
  </si>
  <si>
    <t>HANDED_OFF</t>
  </si>
  <si>
    <t>2027-06-28 18:00:00 KST</t>
  </si>
  <si>
    <t>ACK-01</t>
  </si>
  <si>
    <t>SC02 완료·SC03 분석대기·위험 미해소</t>
  </si>
  <si>
    <t>경영관리 인수</t>
  </si>
  <si>
    <t>X01</t>
  </si>
  <si>
    <t>S14</t>
  </si>
  <si>
    <t>추가 협상지시</t>
  </si>
  <si>
    <t>NEEDS_RENEGOTIATION</t>
  </si>
  <si>
    <t>2027-06-25 18:00:00 KST</t>
  </si>
  <si>
    <t>INSTR-RENEG01</t>
  </si>
  <si>
    <t>D08 기본승인 대신 분기·C02 생성 금지</t>
  </si>
  <si>
    <t>별도분기</t>
  </si>
  <si>
    <t>CT27·CT30</t>
  </si>
  <si>
    <t>추가 협상지시 기록</t>
  </si>
  <si>
    <t>화면을 채울 가상 증빙과 협상 내용</t>
  </si>
  <si>
    <t>외부 전송·실제 공문 파일이 아닌 데모 본문 데이터입니다. 담당자 검토 후 기록하는 문안이며 Agent는 승인하지 않습니다.</t>
  </si>
  <si>
    <t>record_id</t>
  </si>
  <si>
    <t>record_type</t>
  </si>
  <si>
    <t>actor</t>
  </si>
  <si>
    <t>내용</t>
  </si>
  <si>
    <t>연결·필수항목</t>
  </si>
  <si>
    <t>요청공문</t>
  </si>
  <si>
    <t>SUP-01 가상 정밀부품</t>
  </si>
  <si>
    <t>원재료 및 가공비 상승으로 P-COM01의 공급단가를 2,000원에서 2,200원으로 조정 요청. 2027-07-01 적용 희망. VAT 별도.</t>
  </si>
  <si>
    <t>REQ-2706-01 / P-COM01 / PV-REQ01</t>
  </si>
  <si>
    <t>구두보고</t>
  </si>
  <si>
    <t>구매담당·구매팀장</t>
  </si>
  <si>
    <t>수요 감소와 원가 상승이 중첩되어 사전 손익분석 후 1차 협상 진행. 내부 제시가 2,100원으로 검토.</t>
  </si>
  <si>
    <t>보고일 6/17 10:00 / 보고자·참석자·결론</t>
  </si>
  <si>
    <t>Agent 요약 초안</t>
  </si>
  <si>
    <t>구매담당 확인</t>
  </si>
  <si>
    <t>a·b에 공통 사용. 요청안은 기존 대비 10% 인상. 2028년 물량은 내부가정으로 향후12개월 금액을 추정하며 물량 감소 사건과 함께 검토 필요.</t>
  </si>
  <si>
    <t>RUN-REQ01 / 검토자 확인 후 채택</t>
  </si>
  <si>
    <t>1차 협상 결과</t>
  </si>
  <si>
    <t>구매담당·공급사 영업담당</t>
  </si>
  <si>
    <t>6/21 협상. 내부 제시 2,100원, 공급사 최종 잠정 2,120원. 적용일 7/1 유지. 내부 승인 전 잠정안임을 확인.</t>
  </si>
  <si>
    <t>가격·일자·대상·참석자·회신근거 / 담당자가 협상기한 입력</t>
  </si>
  <si>
    <t>가격인상 기안</t>
  </si>
  <si>
    <t>공통부품 단가 2,120원으로 인상 상신. 요청 대비 인상폭을 10%에서 6%로 축소. 품목별 연 구매액 증가를 필수 첨부하고 손익 분석은 참고자료로 연결.</t>
  </si>
  <si>
    <t>PROP01-v1 / PV-PROP01 / RUN-PROP01</t>
  </si>
  <si>
    <t>팀장 승인</t>
  </si>
  <si>
    <t>ROLE-BUY-LEAD</t>
  </si>
  <si>
    <t>요청사유·협상결과·기안 일치 및 물량 가정을 검토하고 승인.</t>
  </si>
  <si>
    <t>PROP01-v1 / 6/22 14:00</t>
  </si>
  <si>
    <t>임원 승인</t>
  </si>
  <si>
    <t>ROLE-BUY-EXEC</t>
  </si>
  <si>
    <t>공급 안정과 잔여 원가 부담을 고려해 승인. 대표 승인 및 경영관리 통합검토 필요.</t>
  </si>
  <si>
    <t>PROP01-v1 / 6/23 10:00</t>
  </si>
  <si>
    <t>ROLE-CEO</t>
  </si>
  <si>
    <t>단가 인상안을 승인하고 통합 손익 영향과 후속 개선대책은 장면3에서 검토하도록 함.</t>
  </si>
  <si>
    <t>PROP01-v1 / 6/23 14:00</t>
  </si>
  <si>
    <t>대체 공급처 견적과 인상 사유 증빙을 확보하여 추가 협상. 구매담당 배정, 협의기한 6/25 18:00.</t>
  </si>
  <si>
    <t>X01 전용 / 미승인·재협상대기 / 2차 상세 후속범위</t>
  </si>
  <si>
    <t>BG-REQ02</t>
  </si>
  <si>
    <t>배경 거래</t>
  </si>
  <si>
    <t>REQ-BG02</t>
  </si>
  <si>
    <t>SUP-02 가상 소재</t>
  </si>
  <si>
    <t>A-c용 외주 단가 확인 건. 인상 요청 없음, 기존 계약 유지.</t>
  </si>
  <si>
    <t>정상 거래 / 계산범위 제외 / 추가 위험 생성 없음</t>
  </si>
  <si>
    <t>BG-REQ03</t>
  </si>
  <si>
    <t>REQ-BG03</t>
  </si>
  <si>
    <t>SUP-03 가상 가공</t>
  </si>
  <si>
    <t>A-d·A-e 정기 거래 검토 완료. 가격·수량 추가 변경 없음.</t>
  </si>
  <si>
    <t>정상 거래 / 계산범위 제외 / 요청건 합산 금지</t>
  </si>
  <si>
    <t>장면 3 인계 데이터 계약</t>
  </si>
  <si>
    <t>동일 상위 검토건에 두 사건을 유지합니다. 아래는 D12 이후 기대 레코드이며 승인 전에는 provisional=true로 별도 구분합니다.</t>
  </si>
  <si>
    <t>field</t>
  </si>
  <si>
    <t>정의 및 처리</t>
  </si>
  <si>
    <t>review_id</t>
  </si>
  <si>
    <t>MR-2706-01</t>
  </si>
  <si>
    <t>울산 A제품 수익성 통합검토건</t>
  </si>
  <si>
    <t>quantity_issue_id</t>
  </si>
  <si>
    <t>ISSUE-B07</t>
  </si>
  <si>
    <t>장면1 기존 물량 감소 이슈 보존</t>
  </si>
  <si>
    <t>price_issue_id</t>
  </si>
  <si>
    <t>ISSUE-COST01</t>
  </si>
  <si>
    <t>장면2 가격 인상 신규 이슈</t>
  </si>
  <si>
    <t>quantity_run_id</t>
  </si>
  <si>
    <t>장면1 추가 물량 감소 -700대분</t>
  </si>
  <si>
    <t>price_run_id</t>
  </si>
  <si>
    <t>선택안은 승인안 한 개만 적용</t>
  </si>
  <si>
    <t>D09 승인 후 생성. 요청·협상안 중복 합산 금지</t>
  </si>
  <si>
    <t>cost_version</t>
  </si>
  <si>
    <t>C02-APP01</t>
  </si>
  <si>
    <t>C01+공통부품 인상분. 적용일 2027-07-01</t>
  </si>
  <si>
    <t>qty_version</t>
  </si>
  <si>
    <t>F02 + EXT28-v1</t>
  </si>
  <si>
    <t>F02 검토중 유지. 2028은 내부가정</t>
  </si>
  <si>
    <t>year_volume_impact</t>
  </si>
  <si>
    <t>2027 물량 순영향·원</t>
  </si>
  <si>
    <t>year_cost_impact</t>
  </si>
  <si>
    <t>2027 승인안 추가 원가 영향·원</t>
  </si>
  <si>
    <t>year_combined_profit</t>
  </si>
  <si>
    <t>2027 통합 관리손익·원</t>
  </si>
  <si>
    <t>year_target_gap</t>
  </si>
  <si>
    <t>2027 Target 대비 부족·원</t>
  </si>
  <si>
    <t>next12_purchase_increase</t>
  </si>
  <si>
    <t>대표 승인과 금액 위험 판단 기준·원</t>
  </si>
  <si>
    <t>next12_combined_profit</t>
  </si>
  <si>
    <t>동일12개월 비교·Target 없음</t>
  </si>
  <si>
    <t>approval_status</t>
  </si>
  <si>
    <t>단가안 승인 상태</t>
  </si>
  <si>
    <t>risk_status</t>
  </si>
  <si>
    <t>OPEN</t>
  </si>
  <si>
    <t>단가 승인·인계완료가 위험 해소 아님</t>
  </si>
  <si>
    <t>forecast_status</t>
  </si>
  <si>
    <t>REVIEW_PENDING</t>
  </si>
  <si>
    <t>공식 Forecast·Target 자동 변경 없음</t>
  </si>
  <si>
    <t>scene_status</t>
  </si>
  <si>
    <t>SC02_HANDED_OFF / SC03_PENDING</t>
  </si>
  <si>
    <t>D12 인수 확인 이후</t>
  </si>
  <si>
    <t>accepted_by_at</t>
  </si>
  <si>
    <t>ROLE-FIN / 2027-06-24 10:00:00 KST</t>
  </si>
  <si>
    <t>실사용자 계정 매핑은 구현명세에서 확정</t>
  </si>
  <si>
    <t>source_bundle</t>
  </si>
  <si>
    <t>REQ-2706-01 / PROP01-v1 / HANDOFF-01</t>
  </si>
  <si>
    <t>요청·분석·협상·승인·등록·인수 이력 모두 참조</t>
  </si>
  <si>
    <t>분기 및 경계 검증 데이터</t>
  </si>
  <si>
    <t>X02~X05 등은 기본 시드 복제 후 단독 실행합니다. 규칙 fixture는 계산 기준 검증용이며 실제 거래·손익에 합산하지 않습니다.</t>
  </si>
  <si>
    <t>case_id</t>
  </si>
  <si>
    <t>목적</t>
  </si>
  <si>
    <t>변경 입력</t>
  </si>
  <si>
    <t>연구매증가</t>
  </si>
  <si>
    <t>기대 결과</t>
  </si>
  <si>
    <t>처리 기준</t>
  </si>
  <si>
    <t>계산 위험</t>
  </si>
  <si>
    <t>계산 승인선</t>
  </si>
  <si>
    <t>D08 결정을 추가협상으로 변경</t>
  </si>
  <si>
    <t>NEEDS_RENEGOTIATION / C02 없음</t>
  </si>
  <si>
    <t>S14 지시 사유·담당·기한 입력. 상세 2차 협상 제외</t>
  </si>
  <si>
    <t>업무 검증</t>
  </si>
  <si>
    <t>해당 없음</t>
  </si>
  <si>
    <t>X02</t>
  </si>
  <si>
    <t>대표 비대상</t>
  </si>
  <si>
    <t>기안단가 2,050원으로 별도 실행</t>
  </si>
  <si>
    <t>기안액 기준 재판정</t>
  </si>
  <si>
    <t>새 협상·기안·run 생성, 기본안 덮어쓰기 금지</t>
  </si>
  <si>
    <t>X03-A</t>
  </si>
  <si>
    <t>대표 경계 직전</t>
  </si>
  <si>
    <t>규칙 단위검증용 금액</t>
  </si>
  <si>
    <t>기본 구매수량 역산에 쓰지 않는 규칙 fixture</t>
  </si>
  <si>
    <t>X03-B</t>
  </si>
  <si>
    <t>대표 경계 포함</t>
  </si>
  <si>
    <t>대표 대상</t>
  </si>
  <si>
    <t>정확한 원 단위 비교</t>
  </si>
  <si>
    <t>X04</t>
  </si>
  <si>
    <t>적용일 변경</t>
  </si>
  <si>
    <t>설정 B6=2027-08-01</t>
  </si>
  <si>
    <t>2027-08~2028-07 재계산</t>
  </si>
  <si>
    <t>2028-07 5모델·원가·고정비 추가 제공. 재분석 전 상신 차단</t>
  </si>
  <si>
    <t>X05</t>
  </si>
  <si>
    <t>기안가 변경</t>
  </si>
  <si>
    <t>기안가=2130, 협상가=2120</t>
  </si>
  <si>
    <t>차이 사유·RUN-PROP02 필요</t>
  </si>
  <si>
    <t>이전 run·승인 재사용 금지</t>
  </si>
  <si>
    <t>X06</t>
  </si>
  <si>
    <t>협상미합의</t>
  </si>
  <si>
    <t>잠정단가 NULL</t>
  </si>
  <si>
    <t>NEGOTIATION_UNRESOLVED</t>
  </si>
  <si>
    <t>0원으로 계산하거나 자동 상신하지 않음</t>
  </si>
  <si>
    <t>X07</t>
  </si>
  <si>
    <t>보완 또는 반려</t>
  </si>
  <si>
    <t>U25 보완/반려 선택</t>
  </si>
  <si>
    <t>RETURNED 또는 REJECTED</t>
  </si>
  <si>
    <t>보완 시 신규기안버전·승인경로 재시작. 기한 재기산 구현명세</t>
  </si>
  <si>
    <t>X08-A</t>
  </si>
  <si>
    <t>비율 관심 경계</t>
  </si>
  <si>
    <t>5% 인상·금액위험 없음</t>
  </si>
  <si>
    <t>관심</t>
  </si>
  <si>
    <t>비율만 시험</t>
  </si>
  <si>
    <t>X08-B</t>
  </si>
  <si>
    <t>비율 중요 경계</t>
  </si>
  <si>
    <t>10% 인상·금액위험 없음</t>
  </si>
  <si>
    <t>중요</t>
  </si>
  <si>
    <t>X08-C</t>
  </si>
  <si>
    <t>금액 관심 경계</t>
  </si>
  <si>
    <t>연 증가액 5백만원</t>
  </si>
  <si>
    <t>금액만 시험</t>
  </si>
  <si>
    <t>X08-D</t>
  </si>
  <si>
    <t>금액 중요 경계</t>
  </si>
  <si>
    <t>연 증가액 10백만원</t>
  </si>
  <si>
    <t>X09-A</t>
  </si>
  <si>
    <t>월수량 누락</t>
  </si>
  <si>
    <t>2028-06 A-b 수량 NULL</t>
  </si>
  <si>
    <t>미산출·상신 차단</t>
  </si>
  <si>
    <t>0 대분과 구분. 필수 60행과 값 유효성 검사</t>
  </si>
  <si>
    <t>X09-B</t>
  </si>
  <si>
    <t>Agent 실패</t>
  </si>
  <si>
    <t>요약 생성 실패</t>
  </si>
  <si>
    <t>수치 계산 유지·수동 요약 가능</t>
  </si>
  <si>
    <t>Agent 완료를 승인으로 대체하지 않음</t>
  </si>
  <si>
    <t>X10</t>
  </si>
  <si>
    <t>중복 데이터</t>
  </si>
  <si>
    <t>동일 month/model 키 복제</t>
  </si>
  <si>
    <t>중복키 오류·계산 승인 차단</t>
  </si>
  <si>
    <t>SUM으로 중복행 자동 합산 금지</t>
  </si>
  <si>
    <t>v0.2 후속확정 검토의견 반영</t>
  </si>
  <si>
    <t>출처: INNONOW_SC02_화면구성_시연순서_v0.2.xlsx 후속확정. 아래 검토 의견은 원문을 보존했습니다.</t>
  </si>
  <si>
    <t>ID</t>
  </si>
  <si>
    <t>항목</t>
  </si>
  <si>
    <t>검토 의견 원문</t>
  </si>
  <si>
    <t>이번 반영 위치</t>
  </si>
  <si>
    <t>NEXT01</t>
  </si>
  <si>
    <t>확정된 위험 비율</t>
  </si>
  <si>
    <t>OK</t>
  </si>
  <si>
    <t>단가안비교 E·J / 예외 X08</t>
  </si>
  <si>
    <t>반영</t>
  </si>
  <si>
    <t>NEXT02</t>
  </si>
  <si>
    <t>확정된 위험 금액</t>
  </si>
  <si>
    <t>단가안비교 I·K·M / 공급사 요청건 집계</t>
  </si>
  <si>
    <t>NEXT03</t>
  </si>
  <si>
    <t>연도와 시점</t>
  </si>
  <si>
    <t>업무이력 2027-06-17~24 가상 일정</t>
  </si>
  <si>
    <t>NEXT04</t>
  </si>
  <si>
    <t>공통 부품 가격</t>
  </si>
  <si>
    <t>시연 목적상 협상 이후에도 12개월 구매 증가액 &gt;= 10백만원이 되도록 협상가 수치 설정</t>
  </si>
  <si>
    <t>설정 B16=2120 / 12개월 증가 1천만원 이상</t>
  </si>
  <si>
    <t>기준 확정·수치 가상 설정</t>
  </si>
  <si>
    <t>NEXT05</t>
  </si>
  <si>
    <t>12개월 데이터 확장</t>
  </si>
  <si>
    <t>28년 데이터는 내부가정으로 생성</t>
  </si>
  <si>
    <t>물량원가기준 2028-01~07 내부가정·97%</t>
  </si>
  <si>
    <t>NEXT06</t>
  </si>
  <si>
    <t>재고와 기존 외주비</t>
  </si>
  <si>
    <t>부품모델매핑 잔여외주비 / 월별계산 T</t>
  </si>
  <si>
    <t>NEXT07</t>
  </si>
  <si>
    <t>기간 표시</t>
  </si>
  <si>
    <t>단가안비교 F~I / 월초 적용</t>
  </si>
  <si>
    <t>NEXT08</t>
  </si>
  <si>
    <t>기한과 권한</t>
  </si>
  <si>
    <t>OK. 외부협상 기한은 Case마다 달라질 수 있으므로 담당자가 일정을 입력하도록 함</t>
  </si>
  <si>
    <t>설정 B19 수동입력 / 업무이력 due_at</t>
  </si>
  <si>
    <t>NEXT09</t>
  </si>
  <si>
    <t>상태별 데이터 준비</t>
  </si>
  <si>
    <t>업무이력 S01~14·CT21~30·U21~27·D00~12</t>
  </si>
  <si>
    <t>NEXT10</t>
  </si>
  <si>
    <t>장면 3 인계 계약</t>
  </si>
  <si>
    <t>장면3인계 상위검토건·두 사건·단일 선택안</t>
  </si>
  <si>
    <t>개발 적재·계산·표시 기준</t>
  </si>
  <si>
    <t>본 파일은 장면1 기준을 포함한 장면2 확장 데이터입니다. 실제 업무 실행·권한·API·오류처리 명세는 다음 구현명세에서 확정합니다.</t>
  </si>
  <si>
    <t>entity / 항목</t>
  </si>
  <si>
    <t>key / 자료형</t>
  </si>
  <si>
    <t>연결 및 처리</t>
  </si>
  <si>
    <t>화면·검증</t>
  </si>
  <si>
    <t>물량원가기준</t>
  </si>
  <si>
    <t>period DATE + model_id TEXT, 복합PK</t>
  </si>
  <si>
    <t>95행: 2027 60행 +2028 35행. F01/F02 평면 열은 적재 시 version_id 기준 정규화 가능. T01은 2027만.</t>
  </si>
  <si>
    <t>U22/U27. 초기 F02 검토중 유지</t>
  </si>
  <si>
    <t>EXT28-v1 / 가정계수0.97</t>
  </si>
  <si>
    <t>2027 동일월 F01에 계수 적용·정수 반올림. 2027-07의 -700을 다음해에 자동 복제하지 않음. 판매가·원가·고정비 동결.</t>
  </si>
  <si>
    <t>내부가정 표시·고객공유 화면에 CP02로 표시 금지</t>
  </si>
  <si>
    <t>월고정비</t>
  </si>
  <si>
    <t>plant_id=ULS + period</t>
  </si>
  <si>
    <t>공장별 월1행. 모델 합계에서 한번 차감. 2028 실적은 NULL.</t>
  </si>
  <si>
    <t>U27 공장손익</t>
  </si>
  <si>
    <t>부품모델매핑</t>
  </si>
  <si>
    <t>part_id + model_id</t>
  </si>
  <si>
    <t>P-COM01 / SUP-01 / a,b 각1. c,d,e 명시적0. C01 외주비 내 기존2천원 포함.</t>
  </si>
  <si>
    <t>U21/U22/U26</t>
  </si>
  <si>
    <t>가격 원천</t>
  </si>
  <si>
    <t>price_version + part_id</t>
  </si>
  <si>
    <t>기존·요청·내부제시·협상·기안·승인 구분. 금액 KRW 정수·VAT 제외.</t>
  </si>
  <si>
    <t>U21~U26</t>
  </si>
  <si>
    <t>적용일</t>
  </si>
  <si>
    <t>effective_date DATE</t>
  </si>
  <si>
    <t>기본 월초 7/1. 8/1 예외까지 데이터 지원. 월중 적용/2028-08 이후는 범위 밖·추가 데이터 요구.</t>
  </si>
  <si>
    <t>불충분 기간을0으로 계산 금지</t>
  </si>
  <si>
    <t>구매증가 산식</t>
  </si>
  <si>
    <t>DECIMAL / KRW</t>
  </si>
  <si>
    <t>Σ(기안단가−기존단가)×적용기간 F02 소요량. 동일 공급사·요청건 부품 합산. 여러 품목 추가 시 상세행·매핑·집계범위 확장.</t>
  </si>
  <si>
    <t>현재 기본은 공통부품1종</t>
  </si>
  <si>
    <t>위험 규칙</t>
  </si>
  <si>
    <t>R02-v1</t>
  </si>
  <si>
    <t>품목 인상률 최고수준과 요청건 구매 증가액 수준 중 높은 등급. 5%/10%,5백만/1천만 경계 포함.</t>
  </si>
  <si>
    <t>승인권한 AUTH02-v1과 분리</t>
  </si>
  <si>
    <t>승인권한</t>
  </si>
  <si>
    <t>AUTH02-v1</t>
  </si>
  <si>
    <t>최종 기안 연 구매증가 ≥1천만원이면 대표 필요. 팀장·임원·대표 순서, 동일기안버전.</t>
  </si>
  <si>
    <t>단가 변경 시 이전 승인 무효화 후 새 버전</t>
  </si>
  <si>
    <t>손익 브리지</t>
  </si>
  <si>
    <t>F01+C01 → F02+C01 → F02+C02</t>
  </si>
  <si>
    <t>장면1=(F02−F01)×기준CM. 장면2=−F02×단가차이×소요량. 상호작용은 원가단계에 포함.</t>
  </si>
  <si>
    <t>요청/협상/승인안 동시합산 금지</t>
  </si>
  <si>
    <t>구매액과 손익</t>
  </si>
  <si>
    <t>서로 다른 지표</t>
  </si>
  <si>
    <t>무재고·무기발주·시차0이므로 본 데모에서 증가액=CM감소 절대값. 회계상 일반 등식으로 사용하지 않음.</t>
  </si>
  <si>
    <t>U22는 별도 항목·기간 표시</t>
  </si>
  <si>
    <t>기안·협상</t>
  </si>
  <si>
    <t>request_id + negotiation_seq / proposal_version</t>
  </si>
  <si>
    <t>REQ-2706-01, NEG01, PROP01-v1. due_at 담당자 수동입력. 가격/일자/조건 변경 시 새 run.</t>
  </si>
  <si>
    <t>U23 기한 필수·예외 S14</t>
  </si>
  <si>
    <t>업무 이벤트</t>
  </si>
  <si>
    <t>event_id / demo_id</t>
  </si>
  <si>
    <t>업무이력은 기대 이벤트 정의. D00 초기 적재 후 순차 생성. 미래 승인·원가·인계기록은 선노출 금지.</t>
  </si>
  <si>
    <t>새 실행은 execution_id 분리·이벤트 중복방지</t>
  </si>
  <si>
    <t>결재 상태와 위험</t>
  </si>
  <si>
    <t>approval_status / risk_status / scene_status</t>
  </si>
  <si>
    <t>APPROVED,OPEN,HANDED_OFF를 분리. 인수 이후에도 SC03 분석대기.</t>
  </si>
  <si>
    <t>U25/U27</t>
  </si>
  <si>
    <t>업무일 달력</t>
  </si>
  <si>
    <t>Asia/Seoul / 월~금09~18</t>
  </si>
  <si>
    <t>본 가상 일정은 주말 제외·공휴일 미반영. 익일검토/2영업일분석, 외부협상은 별도기한.</t>
  </si>
  <si>
    <t>실달력·보완재기산·계정 권한은 구현명세</t>
  </si>
  <si>
    <t>증빙과 Agent</t>
  </si>
  <si>
    <t>evidence_id / checked_by / checked_at</t>
  </si>
  <si>
    <t>가상 본문은 화면용. 계산은 규칙엔진; Agent는 요약·기안문 지원. 사람 검토·승인 기록 필요.</t>
  </si>
  <si>
    <t>DOC/NOTE/APP 식별자 참조</t>
  </si>
  <si>
    <t>정밀도와 NULL</t>
  </si>
  <si>
    <t>integer/decimal; NULL과0 구분</t>
  </si>
  <si>
    <t>금액은 원 단위 비교, 비율 원값으로 경계판정. 실제 미발생·미설정은 NULL; 문자열 NONE은 UI fixture 표현.</t>
  </si>
  <si>
    <t>실제 DB에서는 NONE→NULL</t>
  </si>
  <si>
    <t>분기 초기화</t>
  </si>
  <si>
    <t>case_id + execution_id</t>
  </si>
  <si>
    <t>X01은 D08 승인 대체. X02~는 기본데이터 별도복제. 기본 이력에 누적 적용 금지.</t>
  </si>
  <si>
    <t>검증 데이터가 본 손익에 합산되지 않음</t>
  </si>
  <si>
    <t>배경 표시</t>
  </si>
  <si>
    <t>a~e 및 BG-REQ02/03</t>
  </si>
  <si>
    <t>c,d,e 가격변경0으로 월/분기 손익 배경 구성. 별도 거래2건은 표시용·금액 집계 제외.</t>
  </si>
  <si>
    <t>고객계획 원본은 SC01 CP01/CP02 재사용</t>
  </si>
  <si>
    <t>선행 원본</t>
  </si>
  <si>
    <t>SC01 v0.1 / SC02 화면 v0.2</t>
  </si>
  <si>
    <t>2027 수량·원가·실적은 SC01 손익계산/단위원가/고정비의 값 보존. CP 원문·장면1 업무이력은 기존 파일이 원본.</t>
  </si>
  <si>
    <t>원본 파일 수정 없음</t>
  </si>
  <si>
    <t>계산 및 원본 정합성 검증</t>
  </si>
  <si>
    <t>기본안 기준 기대값과 수식을 비교합니다. 입력을 바꾸면 기본안 검증은 달라질 수 있습니다. 검증표는 계산 결과를 읽으며 계산의 입력으로 쓰지 않습니다.</t>
  </si>
  <si>
    <t>검증항목</t>
  </si>
  <si>
    <t>기대값</t>
  </si>
  <si>
    <t>계산값</t>
  </si>
  <si>
    <t>차이</t>
  </si>
  <si>
    <t>결과</t>
  </si>
  <si>
    <t>V01</t>
  </si>
  <si>
    <t>2027 F01 관리손익</t>
  </si>
  <si>
    <t>V02</t>
  </si>
  <si>
    <t>2027 F02 관리손익</t>
  </si>
  <si>
    <t>V03</t>
  </si>
  <si>
    <t>장면1 물량 순영향</t>
  </si>
  <si>
    <t>V04</t>
  </si>
  <si>
    <t>2027 Target 관리손익</t>
  </si>
  <si>
    <t>V05</t>
  </si>
  <si>
    <t>12개월 유효 모델월</t>
  </si>
  <si>
    <t>V06</t>
  </si>
  <si>
    <t>12개월 행수</t>
  </si>
  <si>
    <t>V07</t>
  </si>
  <si>
    <t>손익 브리지 오차</t>
  </si>
  <si>
    <t>V08</t>
  </si>
  <si>
    <t>c~e 승인원가 영향</t>
  </si>
  <si>
    <t>V09</t>
  </si>
  <si>
    <t>기존부품 외주비 초과</t>
  </si>
  <si>
    <t>V10</t>
  </si>
  <si>
    <t>협상 후 대표 승인 대상</t>
  </si>
  <si>
    <t>V11</t>
  </si>
  <si>
    <t>요청 대비 부담 감소</t>
  </si>
  <si>
    <t>V12</t>
  </si>
  <si>
    <t>협상 후 원가 부담 잔존</t>
  </si>
  <si>
    <t>V13</t>
  </si>
  <si>
    <t>기안과 협상 단가 차이</t>
  </si>
  <si>
    <t>V14</t>
  </si>
  <si>
    <t>2027 증가와 손익영향 연결</t>
  </si>
  <si>
    <t>V15</t>
  </si>
  <si>
    <t>향후12개월 증가와 손익 연결</t>
  </si>
  <si>
    <t>V16</t>
  </si>
  <si>
    <t>2027 실적수량 보존</t>
  </si>
  <si>
    <t>V17</t>
  </si>
  <si>
    <t>전체 원천 행 유효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</si>
</sst>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#,##0;[Red]\(#,##0\);&quot;-&quot;"/>
    <numFmt numFmtId="179" formatCode="yyyy\-mm"/>
  </numFmts>
  <fonts count="11">
    <font>
      <sz val="11"/>
      <name val="Carlito"/>
    </font>
    <font>
      <sz val="10"/>
      <color rgb="FF172B4D"/>
      <name val="Noto Sans CJK KR"/>
    </font>
    <font>
      <b/>
      <sz val="16"/>
      <color rgb="FFFFFFFF"/>
      <name val="Noto Sans CJK KR"/>
    </font>
    <font>
      <sz val="10"/>
      <color rgb="FF52677B"/>
      <name val="Noto Sans CJK KR"/>
    </font>
    <font>
      <b/>
      <sz val="10"/>
      <color rgb="FFFFFFFF"/>
      <name val="Noto Sans CJK KR"/>
    </font>
    <font>
      <sz val="10"/>
      <color rgb="FF185ABD"/>
      <name val="Noto Sans CJK KR"/>
    </font>
    <font>
      <sz val="10"/>
      <color rgb="FF187044"/>
      <name val="Noto Sans CJK KR"/>
    </font>
    <font>
      <b/>
      <sz val="11"/>
      <color rgb="FFFFFFFF"/>
      <name val="Noto Sans CJK KR"/>
    </font>
    <font>
      <sz val="10"/>
      <name val="Noto Sans CJK KR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5324F"/>
      </patternFill>
    </fill>
    <fill>
      <patternFill patternType="solid">
        <fgColor rgb="FF236278"/>
      </patternFill>
    </fill>
    <fill>
      <patternFill patternType="solid">
        <fgColor rgb="FFF1F6F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1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1" fillId="5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176" fontId="1" fillId="5" borderId="0" xfId="1" applyNumberFormat="1" applyFont="1" applyFill="1" applyAlignment="1">
      <alignment vertical="center" wrapText="1"/>
    </xf>
    <xf numFmtId="177" fontId="5" fillId="5" borderId="0" xfId="1" applyNumberFormat="1" applyFont="1" applyFill="1" applyAlignment="1">
      <alignment vertical="center" wrapText="1"/>
    </xf>
    <xf numFmtId="178" fontId="5" fillId="5" borderId="0" xfId="1" applyNumberFormat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4" borderId="0" xfId="1" applyFont="1" applyFill="1" applyAlignment="1">
      <alignment vertical="center" wrapText="1"/>
    </xf>
    <xf numFmtId="179" fontId="1" fillId="4" borderId="0" xfId="1" applyNumberFormat="1" applyFont="1" applyFill="1" applyAlignment="1">
      <alignment vertical="center" wrapText="1"/>
    </xf>
    <xf numFmtId="179" fontId="1" fillId="0" borderId="0" xfId="1" applyNumberFormat="1" applyFont="1" applyAlignment="1">
      <alignment vertical="center" wrapText="1"/>
    </xf>
    <xf numFmtId="178" fontId="5" fillId="4" borderId="0" xfId="1" applyNumberFormat="1" applyFont="1" applyFill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178" fontId="1" fillId="4" borderId="0" xfId="1" applyNumberFormat="1" applyFont="1" applyFill="1" applyAlignment="1">
      <alignment vertical="center" wrapText="1"/>
    </xf>
    <xf numFmtId="178" fontId="1" fillId="0" borderId="0" xfId="1" applyNumberFormat="1" applyFont="1" applyAlignment="1">
      <alignment vertical="center" wrapText="1"/>
    </xf>
    <xf numFmtId="178" fontId="6" fillId="4" borderId="0" xfId="1" applyNumberFormat="1" applyFont="1" applyFill="1" applyAlignment="1">
      <alignment vertical="center" wrapText="1"/>
    </xf>
    <xf numFmtId="178" fontId="6" fillId="0" borderId="0" xfId="1" applyNumberFormat="1" applyFont="1" applyAlignment="1">
      <alignment vertical="center" wrapText="1"/>
    </xf>
    <xf numFmtId="176" fontId="6" fillId="4" borderId="0" xfId="1" applyNumberFormat="1" applyFont="1" applyFill="1" applyAlignment="1">
      <alignment vertical="center" wrapText="1"/>
    </xf>
    <xf numFmtId="176" fontId="6" fillId="0" borderId="0" xfId="1" applyNumberFormat="1" applyFont="1" applyAlignment="1">
      <alignment vertical="center" wrapText="1"/>
    </xf>
    <xf numFmtId="179" fontId="6" fillId="4" borderId="0" xfId="1" applyNumberFormat="1" applyFont="1" applyFill="1" applyAlignment="1">
      <alignment vertical="center" wrapText="1"/>
    </xf>
    <xf numFmtId="179" fontId="6" fillId="0" borderId="0" xfId="1" applyNumberFormat="1" applyFont="1" applyAlignment="1">
      <alignment vertical="center" wrapText="1"/>
    </xf>
    <xf numFmtId="10" fontId="1" fillId="4" borderId="0" xfId="1" applyNumberFormat="1" applyFont="1" applyFill="1" applyAlignment="1">
      <alignment vertical="center" wrapText="1"/>
    </xf>
    <xf numFmtId="10" fontId="1" fillId="0" borderId="0" xfId="1" applyNumberFormat="1" applyFont="1" applyAlignment="1">
      <alignment vertical="center" wrapText="1"/>
    </xf>
    <xf numFmtId="176" fontId="1" fillId="4" borderId="0" xfId="1" applyNumberFormat="1" applyFont="1" applyFill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0" fontId="7" fillId="3" borderId="0" xfId="1" applyFont="1" applyFill="1" applyAlignment="1">
      <alignment wrapText="1"/>
    </xf>
    <xf numFmtId="0" fontId="8" fillId="0" borderId="0" xfId="1" applyFont="1" applyAlignment="1">
      <alignment wrapText="1"/>
    </xf>
    <xf numFmtId="178" fontId="8" fillId="0" borderId="0" xfId="1" applyNumberFormat="1" applyFont="1" applyAlignment="1">
      <alignment wrapText="1"/>
    </xf>
    <xf numFmtId="10" fontId="5" fillId="0" borderId="0" xfId="1" applyNumberFormat="1" applyFont="1" applyAlignment="1">
      <alignment vertical="center" wrapText="1"/>
    </xf>
    <xf numFmtId="10" fontId="5" fillId="4" borderId="0" xfId="1" applyNumberFormat="1" applyFont="1" applyFill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4" fillId="3" borderId="0" xfId="1" applyFont="1" applyFill="1" applyAlignment="1">
      <alignment horizontal="right" vertical="center" wrapText="1"/>
    </xf>
    <xf numFmtId="178" fontId="6" fillId="4" borderId="0" xfId="1" applyNumberFormat="1" applyFont="1" applyFill="1" applyAlignment="1">
      <alignment horizontal="right" vertical="center" wrapText="1"/>
    </xf>
    <xf numFmtId="10" fontId="1" fillId="4" borderId="0" xfId="1" applyNumberFormat="1" applyFont="1" applyFill="1" applyAlignment="1">
      <alignment horizontal="right" vertical="center" wrapText="1"/>
    </xf>
    <xf numFmtId="178" fontId="1" fillId="4" borderId="0" xfId="1" applyNumberFormat="1" applyFont="1" applyFill="1" applyAlignment="1">
      <alignment horizontal="right" vertical="center" wrapText="1"/>
    </xf>
    <xf numFmtId="0" fontId="6" fillId="4" borderId="0" xfId="1" applyFont="1" applyFill="1" applyAlignment="1">
      <alignment horizontal="right" vertical="center" wrapText="1"/>
    </xf>
    <xf numFmtId="0" fontId="1" fillId="4" borderId="0" xfId="1" applyFont="1" applyFill="1" applyAlignment="1">
      <alignment horizontal="right" vertical="center" wrapText="1"/>
    </xf>
    <xf numFmtId="178" fontId="6" fillId="0" borderId="0" xfId="1" applyNumberFormat="1" applyFont="1" applyAlignment="1">
      <alignment horizontal="right" vertical="center" wrapText="1"/>
    </xf>
    <xf numFmtId="10" fontId="1" fillId="0" borderId="0" xfId="1" applyNumberFormat="1" applyFont="1" applyAlignment="1">
      <alignment horizontal="right" vertical="center" wrapText="1"/>
    </xf>
    <xf numFmtId="178" fontId="1" fillId="0" borderId="0" xfId="1" applyNumberFormat="1" applyFont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0" fontId="1" fillId="0" borderId="0" xfId="1" applyFont="1" applyAlignment="1">
      <alignment horizontal="right" vertical="center" wrapText="1"/>
    </xf>
    <xf numFmtId="0" fontId="4" fillId="3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workbookViewId="0">
      <pane xSplit="1" ySplit="5" topLeftCell="B20" activePane="bottomRight" state="frozen"/>
      <selection pane="topRight"/>
      <selection pane="bottomLeft"/>
      <selection pane="bottomRight" sqref="A1:D2"/>
    </sheetView>
  </sheetViews>
  <sheetFormatPr defaultRowHeight="13.8"/>
  <cols>
    <col min="1" max="1" width="17" customWidth="1"/>
    <col min="2" max="2" width="41" customWidth="1"/>
    <col min="3" max="3" width="43" customWidth="1"/>
    <col min="4" max="4" width="102" customWidth="1"/>
  </cols>
  <sheetData>
    <row r="1" spans="1:4" ht="30" customHeight="1">
      <c r="A1" s="32" t="s">
        <v>0</v>
      </c>
      <c r="B1" s="32"/>
      <c r="C1" s="32"/>
      <c r="D1" s="32"/>
    </row>
    <row r="2" spans="1:4" ht="30" customHeight="1">
      <c r="A2" s="32"/>
      <c r="B2" s="32"/>
      <c r="C2" s="32"/>
      <c r="D2" s="32"/>
    </row>
    <row r="3" spans="1:4" ht="33.6" customHeight="1">
      <c r="A3" s="33" t="s">
        <v>1</v>
      </c>
      <c r="B3" s="34"/>
      <c r="C3" s="34"/>
      <c r="D3" s="34"/>
    </row>
    <row r="4" spans="1:4" ht="16.2" customHeight="1">
      <c r="A4" s="1"/>
      <c r="B4" s="1"/>
      <c r="C4" s="1"/>
      <c r="D4" s="1"/>
    </row>
    <row r="5" spans="1:4" ht="42" customHeight="1">
      <c r="A5" s="2" t="s">
        <v>2</v>
      </c>
      <c r="B5" s="2" t="s">
        <v>3</v>
      </c>
      <c r="C5" s="2" t="s">
        <v>4</v>
      </c>
      <c r="D5" s="2" t="s">
        <v>5</v>
      </c>
    </row>
    <row r="6" spans="1:4" ht="30" customHeight="1">
      <c r="A6" s="3" t="s">
        <v>6</v>
      </c>
      <c r="B6" s="3" t="s">
        <v>7</v>
      </c>
      <c r="C6" s="3" t="s">
        <v>8</v>
      </c>
      <c r="D6" s="3" t="s">
        <v>9</v>
      </c>
    </row>
    <row r="7" spans="1:4" ht="30" customHeight="1">
      <c r="A7" s="1" t="s">
        <v>10</v>
      </c>
      <c r="B7" s="1" t="s">
        <v>11</v>
      </c>
      <c r="C7" s="16">
        <f>단가안비교!H8</f>
        <v>9364320</v>
      </c>
      <c r="D7" s="1" t="s">
        <v>12</v>
      </c>
    </row>
    <row r="8" spans="1:4" ht="30" customHeight="1">
      <c r="A8" s="3" t="s">
        <v>10</v>
      </c>
      <c r="B8" s="3" t="s">
        <v>13</v>
      </c>
      <c r="C8" s="15">
        <f>단가안비교!I8</f>
        <v>18817440</v>
      </c>
      <c r="D8" s="3" t="s">
        <v>14</v>
      </c>
    </row>
    <row r="9" spans="1:4" ht="30" customHeight="1">
      <c r="A9" s="1" t="s">
        <v>15</v>
      </c>
      <c r="B9" s="1" t="s">
        <v>16</v>
      </c>
      <c r="C9" s="16">
        <f>단가안비교!N8</f>
        <v>12544960</v>
      </c>
      <c r="D9" s="1" t="s">
        <v>17</v>
      </c>
    </row>
    <row r="10" spans="1:4" ht="30" customHeight="1">
      <c r="A10" s="3" t="s">
        <v>18</v>
      </c>
      <c r="B10" s="3" t="s">
        <v>19</v>
      </c>
      <c r="C10" s="3" t="str">
        <f>단가안비교!L9&amp;" / "&amp;단가안비교!M9</f>
        <v>중요 / 대표 대상</v>
      </c>
      <c r="D10" s="3" t="s">
        <v>20</v>
      </c>
    </row>
    <row r="11" spans="1:4" ht="30" customHeight="1">
      <c r="A11" s="1" t="s">
        <v>21</v>
      </c>
      <c r="B11" s="1" t="s">
        <v>22</v>
      </c>
      <c r="C11" s="16">
        <f>통합손익!I21</f>
        <v>-14000000</v>
      </c>
      <c r="D11" s="1" t="s">
        <v>23</v>
      </c>
    </row>
    <row r="12" spans="1:4" ht="30" customHeight="1">
      <c r="A12" s="3" t="s">
        <v>21</v>
      </c>
      <c r="B12" s="3" t="s">
        <v>24</v>
      </c>
      <c r="C12" s="15">
        <f>통합손익!J21</f>
        <v>-9364320</v>
      </c>
      <c r="D12" s="3" t="s">
        <v>25</v>
      </c>
    </row>
    <row r="13" spans="1:4" ht="30" customHeight="1">
      <c r="A13" s="1" t="s">
        <v>21</v>
      </c>
      <c r="B13" s="1" t="s">
        <v>26</v>
      </c>
      <c r="C13" s="16">
        <f>통합손익!K21</f>
        <v>3299986680</v>
      </c>
      <c r="D13" s="1" t="s">
        <v>27</v>
      </c>
    </row>
    <row r="14" spans="1:4" ht="30" customHeight="1">
      <c r="A14" s="3" t="s">
        <v>21</v>
      </c>
      <c r="B14" s="3" t="s">
        <v>28</v>
      </c>
      <c r="C14" s="15">
        <f>통합손익!N21</f>
        <v>177303320</v>
      </c>
      <c r="D14" s="3" t="s">
        <v>29</v>
      </c>
    </row>
    <row r="15" spans="1:4" ht="30" customHeight="1">
      <c r="A15" s="1" t="s">
        <v>30</v>
      </c>
      <c r="B15" s="1" t="s">
        <v>31</v>
      </c>
      <c r="C15" s="1" t="s">
        <v>32</v>
      </c>
      <c r="D15" s="1" t="s">
        <v>33</v>
      </c>
    </row>
    <row r="16" spans="1:4" ht="30" customHeight="1">
      <c r="A16" s="3" t="s">
        <v>34</v>
      </c>
      <c r="B16" s="3" t="s">
        <v>35</v>
      </c>
      <c r="C16" s="3" t="s">
        <v>36</v>
      </c>
      <c r="D16" s="3" t="s">
        <v>37</v>
      </c>
    </row>
    <row r="17" spans="1:4" ht="30" customHeight="1">
      <c r="A17" s="1" t="s">
        <v>34</v>
      </c>
      <c r="B17" s="1" t="s">
        <v>38</v>
      </c>
      <c r="C17" s="1" t="s">
        <v>39</v>
      </c>
      <c r="D17" s="1" t="s">
        <v>40</v>
      </c>
    </row>
    <row r="18" spans="1:4" ht="30" customHeight="1">
      <c r="A18" s="3" t="s">
        <v>41</v>
      </c>
      <c r="B18" s="3" t="s">
        <v>42</v>
      </c>
      <c r="C18" s="3" t="s">
        <v>43</v>
      </c>
      <c r="D18" s="3" t="s">
        <v>44</v>
      </c>
    </row>
    <row r="19" spans="1:4" ht="30" customHeight="1">
      <c r="A19" s="1" t="s">
        <v>45</v>
      </c>
      <c r="B19" s="1" t="s">
        <v>46</v>
      </c>
      <c r="C19" s="1" t="s">
        <v>47</v>
      </c>
      <c r="D19" s="1" t="s">
        <v>48</v>
      </c>
    </row>
    <row r="20" spans="1:4" ht="30" customHeight="1">
      <c r="A20" s="3" t="s">
        <v>49</v>
      </c>
      <c r="B20" s="3" t="s">
        <v>50</v>
      </c>
      <c r="C20" s="3" t="s">
        <v>51</v>
      </c>
      <c r="D20" s="3" t="s">
        <v>52</v>
      </c>
    </row>
  </sheetData>
  <mergeCells count="2">
    <mergeCell ref="A1:D2"/>
    <mergeCell ref="A3:D3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pane xSplit="1" ySplit="5" topLeftCell="B21" activePane="bottomRight" state="frozen"/>
      <selection pane="topRight"/>
      <selection pane="bottomLeft"/>
      <selection pane="bottomRight" activeCell="C27" sqref="C27"/>
    </sheetView>
  </sheetViews>
  <sheetFormatPr defaultRowHeight="13.8"/>
  <cols>
    <col min="1" max="3" width="27" customWidth="1"/>
    <col min="4" max="4" width="80" customWidth="1"/>
  </cols>
  <sheetData>
    <row r="1" spans="1:4" ht="30" customHeight="1">
      <c r="A1" s="32" t="s">
        <v>53</v>
      </c>
      <c r="B1" s="32"/>
      <c r="C1" s="32"/>
      <c r="D1" s="32"/>
    </row>
    <row r="2" spans="1:4" ht="30" customHeight="1">
      <c r="A2" s="32"/>
      <c r="B2" s="32"/>
      <c r="C2" s="32"/>
      <c r="D2" s="32"/>
    </row>
    <row r="3" spans="1:4" ht="43.95" customHeight="1">
      <c r="A3" s="33" t="s">
        <v>54</v>
      </c>
      <c r="B3" s="34"/>
      <c r="C3" s="34"/>
      <c r="D3" s="34"/>
    </row>
    <row r="4" spans="1:4" ht="30" customHeight="1">
      <c r="A4" s="1"/>
      <c r="B4" s="1"/>
      <c r="C4" s="1"/>
      <c r="D4" s="1"/>
    </row>
    <row r="5" spans="1:4" ht="42" customHeight="1">
      <c r="A5" s="2" t="s">
        <v>55</v>
      </c>
      <c r="B5" s="2" t="s">
        <v>56</v>
      </c>
      <c r="C5" s="2" t="s">
        <v>57</v>
      </c>
      <c r="D5" s="2" t="s">
        <v>58</v>
      </c>
    </row>
    <row r="6" spans="1:4" ht="30" customHeight="1">
      <c r="A6" s="3" t="s">
        <v>59</v>
      </c>
      <c r="B6" s="6">
        <v>46569</v>
      </c>
      <c r="C6" s="3" t="s">
        <v>60</v>
      </c>
      <c r="D6" s="3" t="s">
        <v>61</v>
      </c>
    </row>
    <row r="7" spans="1:4" ht="30" customHeight="1">
      <c r="A7" s="1" t="s">
        <v>62</v>
      </c>
      <c r="B7" s="7">
        <v>0.97</v>
      </c>
      <c r="C7" s="1" t="s">
        <v>63</v>
      </c>
      <c r="D7" s="1" t="s">
        <v>64</v>
      </c>
    </row>
    <row r="8" spans="1:4" ht="30" customHeight="1">
      <c r="A8" s="3" t="s">
        <v>65</v>
      </c>
      <c r="B8" s="7">
        <v>0.05</v>
      </c>
      <c r="C8" s="3" t="s">
        <v>66</v>
      </c>
      <c r="D8" s="3" t="s">
        <v>67</v>
      </c>
    </row>
    <row r="9" spans="1:4" ht="30" customHeight="1">
      <c r="A9" s="1" t="s">
        <v>68</v>
      </c>
      <c r="B9" s="7">
        <v>0.1</v>
      </c>
      <c r="C9" s="1" t="s">
        <v>69</v>
      </c>
      <c r="D9" s="1" t="s">
        <v>70</v>
      </c>
    </row>
    <row r="10" spans="1:4" ht="30" customHeight="1">
      <c r="A10" s="3" t="s">
        <v>71</v>
      </c>
      <c r="B10" s="8">
        <v>5000000</v>
      </c>
      <c r="C10" s="3" t="s">
        <v>72</v>
      </c>
      <c r="D10" s="3" t="s">
        <v>73</v>
      </c>
    </row>
    <row r="11" spans="1:4" ht="30" customHeight="1">
      <c r="A11" s="1" t="s">
        <v>74</v>
      </c>
      <c r="B11" s="8">
        <v>10000000</v>
      </c>
      <c r="C11" s="1" t="s">
        <v>75</v>
      </c>
      <c r="D11" s="1" t="s">
        <v>76</v>
      </c>
    </row>
    <row r="12" spans="1:4" ht="30" customHeight="1">
      <c r="A12" s="3" t="s">
        <v>77</v>
      </c>
      <c r="B12" s="8">
        <v>10000000</v>
      </c>
      <c r="C12" s="3" t="s">
        <v>78</v>
      </c>
      <c r="D12" s="3" t="s">
        <v>79</v>
      </c>
    </row>
    <row r="13" spans="1:4" ht="30" customHeight="1">
      <c r="A13" s="1" t="s">
        <v>80</v>
      </c>
      <c r="B13" s="8">
        <v>2000</v>
      </c>
      <c r="C13" s="1" t="s">
        <v>81</v>
      </c>
      <c r="D13" s="1" t="s">
        <v>82</v>
      </c>
    </row>
    <row r="14" spans="1:4" ht="30" customHeight="1">
      <c r="A14" s="3" t="s">
        <v>83</v>
      </c>
      <c r="B14" s="8">
        <v>2200</v>
      </c>
      <c r="C14" s="3" t="s">
        <v>84</v>
      </c>
      <c r="D14" s="3" t="s">
        <v>85</v>
      </c>
    </row>
    <row r="15" spans="1:4" ht="30" customHeight="1">
      <c r="A15" s="1" t="s">
        <v>86</v>
      </c>
      <c r="B15" s="8">
        <v>2100</v>
      </c>
      <c r="C15" s="1" t="s">
        <v>87</v>
      </c>
      <c r="D15" s="1" t="s">
        <v>88</v>
      </c>
    </row>
    <row r="16" spans="1:4" ht="30" customHeight="1">
      <c r="A16" s="3" t="s">
        <v>89</v>
      </c>
      <c r="B16" s="8">
        <v>2120</v>
      </c>
      <c r="C16" s="3" t="s">
        <v>90</v>
      </c>
      <c r="D16" s="3" t="s">
        <v>91</v>
      </c>
    </row>
    <row r="17" spans="1:4" ht="30" customHeight="1">
      <c r="A17" s="1" t="s">
        <v>92</v>
      </c>
      <c r="B17" s="8">
        <v>2120</v>
      </c>
      <c r="C17" s="1" t="s">
        <v>93</v>
      </c>
      <c r="D17" s="1" t="s">
        <v>94</v>
      </c>
    </row>
    <row r="18" spans="1:4" ht="30" customHeight="1">
      <c r="A18" s="3" t="s">
        <v>95</v>
      </c>
      <c r="B18" s="8">
        <v>2120</v>
      </c>
      <c r="C18" s="3" t="s">
        <v>96</v>
      </c>
      <c r="D18" s="3" t="s">
        <v>97</v>
      </c>
    </row>
    <row r="19" spans="1:4" ht="40.049999999999997" customHeight="1">
      <c r="A19" s="1" t="s">
        <v>98</v>
      </c>
      <c r="B19" s="4" t="s">
        <v>99</v>
      </c>
      <c r="C19" s="1" t="s">
        <v>100</v>
      </c>
      <c r="D19" s="1" t="s">
        <v>101</v>
      </c>
    </row>
    <row r="20" spans="1:4" ht="40.049999999999997" customHeight="1">
      <c r="A20" s="3" t="s">
        <v>102</v>
      </c>
      <c r="B20" s="4" t="s">
        <v>103</v>
      </c>
      <c r="C20" s="3" t="s">
        <v>104</v>
      </c>
      <c r="D20" s="3" t="s">
        <v>105</v>
      </c>
    </row>
    <row r="21" spans="1:4" ht="30" customHeight="1">
      <c r="A21" s="1" t="s">
        <v>106</v>
      </c>
      <c r="B21" s="8">
        <v>370000000</v>
      </c>
      <c r="C21" s="1" t="s">
        <v>107</v>
      </c>
      <c r="D21" s="1" t="s">
        <v>108</v>
      </c>
    </row>
    <row r="22" spans="1:4" ht="30" customHeight="1">
      <c r="A22" s="3" t="s">
        <v>109</v>
      </c>
      <c r="B22" s="5">
        <v>0</v>
      </c>
      <c r="C22" s="3" t="s">
        <v>110</v>
      </c>
      <c r="D22" s="3" t="s">
        <v>111</v>
      </c>
    </row>
    <row r="23" spans="1:4" ht="30" customHeight="1">
      <c r="A23" s="1" t="s">
        <v>112</v>
      </c>
      <c r="B23" s="6">
        <f>EDATE(B6,12)</f>
        <v>46935</v>
      </c>
      <c r="C23" s="1" t="s">
        <v>113</v>
      </c>
      <c r="D23" s="1" t="s">
        <v>114</v>
      </c>
    </row>
    <row r="24" spans="1:4" ht="30" customHeight="1">
      <c r="A24" s="3" t="s">
        <v>115</v>
      </c>
      <c r="B24" s="6">
        <f>DATE(YEAR(B6)+1,1,1)</f>
        <v>46753</v>
      </c>
      <c r="C24" s="3" t="s">
        <v>116</v>
      </c>
      <c r="D24" s="3" t="s">
        <v>117</v>
      </c>
    </row>
    <row r="25" spans="1:4" ht="40.049999999999997" customHeight="1">
      <c r="A25" s="1" t="s">
        <v>118</v>
      </c>
      <c r="B25" s="5">
        <v>60</v>
      </c>
      <c r="C25" s="1" t="s">
        <v>119</v>
      </c>
      <c r="D25" s="1" t="s">
        <v>120</v>
      </c>
    </row>
  </sheetData>
  <mergeCells count="2">
    <mergeCell ref="A1:D2"/>
    <mergeCell ref="A3:D3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8" sqref="A8"/>
    </sheetView>
  </sheetViews>
  <sheetFormatPr defaultRowHeight="13.8"/>
  <cols>
    <col min="1" max="1" width="23" customWidth="1"/>
    <col min="2" max="2" width="18" customWidth="1"/>
    <col min="3" max="5" width="14" customWidth="1"/>
    <col min="6" max="6" width="19" customWidth="1"/>
    <col min="7" max="7" width="21" customWidth="1"/>
    <col min="8" max="8" width="23" customWidth="1"/>
    <col min="9" max="9" width="24" customWidth="1"/>
    <col min="10" max="12" width="16" customWidth="1"/>
    <col min="13" max="13" width="23" customWidth="1"/>
    <col min="14" max="15" width="25" customWidth="1"/>
  </cols>
  <sheetData>
    <row r="1" spans="1:15" ht="30" customHeight="1">
      <c r="A1" s="32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43.95" customHeight="1">
      <c r="A3" s="33" t="s">
        <v>122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2" t="s">
        <v>123</v>
      </c>
      <c r="B5" s="35" t="s">
        <v>124</v>
      </c>
      <c r="C5" s="35" t="s">
        <v>125</v>
      </c>
      <c r="D5" s="35" t="s">
        <v>126</v>
      </c>
      <c r="E5" s="35" t="s">
        <v>127</v>
      </c>
      <c r="F5" s="35" t="s">
        <v>128</v>
      </c>
      <c r="G5" s="35" t="s">
        <v>129</v>
      </c>
      <c r="H5" s="35" t="s">
        <v>130</v>
      </c>
      <c r="I5" s="35" t="s">
        <v>131</v>
      </c>
      <c r="J5" s="35" t="s">
        <v>132</v>
      </c>
      <c r="K5" s="35" t="s">
        <v>133</v>
      </c>
      <c r="L5" s="35" t="s">
        <v>134</v>
      </c>
      <c r="M5" s="35" t="s">
        <v>135</v>
      </c>
      <c r="N5" s="35" t="s">
        <v>136</v>
      </c>
      <c r="O5" s="35" t="s">
        <v>137</v>
      </c>
    </row>
    <row r="6" spans="1:15" ht="30" customHeight="1">
      <c r="A6" s="3" t="s">
        <v>138</v>
      </c>
      <c r="B6" s="3" t="s">
        <v>139</v>
      </c>
      <c r="C6" s="36">
        <f>단가버전!E6</f>
        <v>2000</v>
      </c>
      <c r="D6" s="36">
        <f>단가버전!F6</f>
        <v>2200</v>
      </c>
      <c r="E6" s="37">
        <f>IF(C6&gt;0,(D6-C6)/C6,"미산출")</f>
        <v>0.1</v>
      </c>
      <c r="F6" s="36">
        <f>IF(SUMPRODUCT(월별계산!$O$6:$O$100,월별계산!$U$6:$U$100)&lt;&gt;SUM(월별계산!$O$6:$O$100),"미산출",SUMPRODUCT(월별계산!$J$6:$J$100,월별계산!$O$6:$O$100))</f>
        <v>78036</v>
      </c>
      <c r="G6" s="36">
        <f>IF(SUMPRODUCT(월별계산!$N$6:$N$100,월별계산!$U$6:$U$100)&lt;&gt;SUM(월별계산!$N$6:$N$100),"미산출",SUMPRODUCT(월별계산!$J$6:$J$100,월별계산!$N$6:$N$100))</f>
        <v>156812</v>
      </c>
      <c r="H6" s="38">
        <f>IF(ISNUMBER(F6),F6*(D6-C6),"미산출")</f>
        <v>15607200</v>
      </c>
      <c r="I6" s="38">
        <f>IF(AND(ISNUMBER(G6),SUM(월별계산!$N$6:$N$100)=설정!$B$25),G6*(D6-C6),"미산출")</f>
        <v>31362400</v>
      </c>
      <c r="J6" s="39" t="str">
        <f>IF(NOT(ISNUMBER(E6)),"미산출",IF(E6&gt;=설정!$B$9,"중요",IF(E6&gt;=설정!$B$8,"관심","정상")))</f>
        <v>중요</v>
      </c>
      <c r="K6" s="39" t="str">
        <f>IF(NOT(ISNUMBER(I6)),"미산출",IF(I6&gt;=설정!$B$11,"중요",IF(I6&gt;=설정!$B$10,"관심","정상")))</f>
        <v>중요</v>
      </c>
      <c r="L6" s="40" t="str">
        <f>IF(OR(J6="미산출",K6="미산출"),"미산출",IF(OR(J6="중요",K6="중요"),"중요",IF(OR(J6="관심",K6="관심"),"관심","정상")))</f>
        <v>중요</v>
      </c>
      <c r="M6" s="39" t="str">
        <f>IF(NOT(ISNUMBER(I6)),"판정 보류",IF(I6&gt;=설정!$B$12,"대표 대상","대표 비대상"))</f>
        <v>대표 대상</v>
      </c>
      <c r="N6" s="38">
        <f>IF(AND(ISNUMBER($I$6),ISNUMBER(I6)),$I$6-I6,"미산출")</f>
        <v>0</v>
      </c>
      <c r="O6" s="38">
        <f>IF(ISNUMBER(I6),-I6,"미산출")</f>
        <v>-31362400</v>
      </c>
    </row>
    <row r="7" spans="1:15" ht="30" customHeight="1">
      <c r="A7" s="1" t="s">
        <v>140</v>
      </c>
      <c r="B7" s="1" t="s">
        <v>141</v>
      </c>
      <c r="C7" s="41">
        <f>단가버전!E7</f>
        <v>2000</v>
      </c>
      <c r="D7" s="41">
        <f>단가버전!F7</f>
        <v>2100</v>
      </c>
      <c r="E7" s="42">
        <f>IF(C7&gt;0,(D7-C7)/C7,"미산출")</f>
        <v>0.05</v>
      </c>
      <c r="F7" s="41">
        <f>IF(SUMPRODUCT(월별계산!$O$6:$O$100,월별계산!$U$6:$U$100)&lt;&gt;SUM(월별계산!$O$6:$O$100),"미산출",SUMPRODUCT(월별계산!$J$6:$J$100,월별계산!$O$6:$O$100))</f>
        <v>78036</v>
      </c>
      <c r="G7" s="41">
        <f>IF(SUMPRODUCT(월별계산!$N$6:$N$100,월별계산!$U$6:$U$100)&lt;&gt;SUM(월별계산!$N$6:$N$100),"미산출",SUMPRODUCT(월별계산!$J$6:$J$100,월별계산!$N$6:$N$100))</f>
        <v>156812</v>
      </c>
      <c r="H7" s="43">
        <f>IF(ISNUMBER(F7),F7*(D7-C7),"미산출")</f>
        <v>7803600</v>
      </c>
      <c r="I7" s="43">
        <f>IF(AND(ISNUMBER(G7),SUM(월별계산!$N$6:$N$100)=설정!$B$25),G7*(D7-C7),"미산출")</f>
        <v>15681200</v>
      </c>
      <c r="J7" s="44" t="str">
        <f>IF(NOT(ISNUMBER(E7)),"미산출",IF(E7&gt;=설정!$B$9,"중요",IF(E7&gt;=설정!$B$8,"관심","정상")))</f>
        <v>관심</v>
      </c>
      <c r="K7" s="44" t="str">
        <f>IF(NOT(ISNUMBER(I7)),"미산출",IF(I7&gt;=설정!$B$11,"중요",IF(I7&gt;=설정!$B$10,"관심","정상")))</f>
        <v>중요</v>
      </c>
      <c r="L7" s="45" t="str">
        <f>IF(OR(J7="미산출",K7="미산출"),"미산출",IF(OR(J7="중요",K7="중요"),"중요",IF(OR(J7="관심",K7="관심"),"관심","정상")))</f>
        <v>중요</v>
      </c>
      <c r="M7" s="44" t="str">
        <f>IF(NOT(ISNUMBER(I7)),"판정 보류",IF(I7&gt;=설정!$B$12,"대표 대상","대표 비대상"))</f>
        <v>대표 대상</v>
      </c>
      <c r="N7" s="43">
        <f>IF(AND(ISNUMBER($I$6),ISNUMBER(I7)),$I$6-I7,"미산출")</f>
        <v>15681200</v>
      </c>
      <c r="O7" s="43">
        <f>IF(ISNUMBER(I7),-I7,"미산출")</f>
        <v>-15681200</v>
      </c>
    </row>
    <row r="8" spans="1:15" ht="30" customHeight="1">
      <c r="A8" s="3" t="s">
        <v>142</v>
      </c>
      <c r="B8" s="3" t="s">
        <v>143</v>
      </c>
      <c r="C8" s="36">
        <f>단가버전!E8</f>
        <v>2000</v>
      </c>
      <c r="D8" s="36">
        <f>단가버전!F8</f>
        <v>2120</v>
      </c>
      <c r="E8" s="37">
        <f>IF(C8&gt;0,(D8-C8)/C8,"미산출")</f>
        <v>0.06</v>
      </c>
      <c r="F8" s="36">
        <f>IF(SUMPRODUCT(월별계산!$O$6:$O$100,월별계산!$U$6:$U$100)&lt;&gt;SUM(월별계산!$O$6:$O$100),"미산출",SUMPRODUCT(월별계산!$J$6:$J$100,월별계산!$O$6:$O$100))</f>
        <v>78036</v>
      </c>
      <c r="G8" s="36">
        <f>IF(SUMPRODUCT(월별계산!$N$6:$N$100,월별계산!$U$6:$U$100)&lt;&gt;SUM(월별계산!$N$6:$N$100),"미산출",SUMPRODUCT(월별계산!$J$6:$J$100,월별계산!$N$6:$N$100))</f>
        <v>156812</v>
      </c>
      <c r="H8" s="38">
        <f>IF(ISNUMBER(F8),F8*(D8-C8),"미산출")</f>
        <v>9364320</v>
      </c>
      <c r="I8" s="38">
        <f>IF(AND(ISNUMBER(G8),SUM(월별계산!$N$6:$N$100)=설정!$B$25),G8*(D8-C8),"미산출")</f>
        <v>18817440</v>
      </c>
      <c r="J8" s="39" t="str">
        <f>IF(NOT(ISNUMBER(E8)),"미산출",IF(E8&gt;=설정!$B$9,"중요",IF(E8&gt;=설정!$B$8,"관심","정상")))</f>
        <v>관심</v>
      </c>
      <c r="K8" s="39" t="str">
        <f>IF(NOT(ISNUMBER(I8)),"미산출",IF(I8&gt;=설정!$B$11,"중요",IF(I8&gt;=설정!$B$10,"관심","정상")))</f>
        <v>중요</v>
      </c>
      <c r="L8" s="40" t="str">
        <f>IF(OR(J8="미산출",K8="미산출"),"미산출",IF(OR(J8="중요",K8="중요"),"중요",IF(OR(J8="관심",K8="관심"),"관심","정상")))</f>
        <v>중요</v>
      </c>
      <c r="M8" s="39" t="str">
        <f>IF(NOT(ISNUMBER(I8)),"판정 보류",IF(I8&gt;=설정!$B$12,"대표 대상","대표 비대상"))</f>
        <v>대표 대상</v>
      </c>
      <c r="N8" s="38">
        <f>IF(AND(ISNUMBER($I$6),ISNUMBER(I8)),$I$6-I8,"미산출")</f>
        <v>12544960</v>
      </c>
      <c r="O8" s="38">
        <f>IF(ISNUMBER(I8),-I8,"미산출")</f>
        <v>-18817440</v>
      </c>
    </row>
    <row r="9" spans="1:15" ht="30" customHeight="1">
      <c r="A9" s="1" t="s">
        <v>144</v>
      </c>
      <c r="B9" s="1" t="s">
        <v>145</v>
      </c>
      <c r="C9" s="41">
        <f>단가버전!E9</f>
        <v>2000</v>
      </c>
      <c r="D9" s="41">
        <f>단가버전!F9</f>
        <v>2120</v>
      </c>
      <c r="E9" s="42">
        <f>IF(C9&gt;0,(D9-C9)/C9,"미산출")</f>
        <v>0.06</v>
      </c>
      <c r="F9" s="41">
        <f>IF(SUMPRODUCT(월별계산!$O$6:$O$100,월별계산!$U$6:$U$100)&lt;&gt;SUM(월별계산!$O$6:$O$100),"미산출",SUMPRODUCT(월별계산!$J$6:$J$100,월별계산!$O$6:$O$100))</f>
        <v>78036</v>
      </c>
      <c r="G9" s="41">
        <f>IF(SUMPRODUCT(월별계산!$N$6:$N$100,월별계산!$U$6:$U$100)&lt;&gt;SUM(월별계산!$N$6:$N$100),"미산출",SUMPRODUCT(월별계산!$J$6:$J$100,월별계산!$N$6:$N$100))</f>
        <v>156812</v>
      </c>
      <c r="H9" s="43">
        <f>IF(ISNUMBER(F9),F9*(D9-C9),"미산출")</f>
        <v>9364320</v>
      </c>
      <c r="I9" s="43">
        <f>IF(AND(ISNUMBER(G9),SUM(월별계산!$N$6:$N$100)=설정!$B$25),G9*(D9-C9),"미산출")</f>
        <v>18817440</v>
      </c>
      <c r="J9" s="44" t="str">
        <f>IF(NOT(ISNUMBER(E9)),"미산출",IF(E9&gt;=설정!$B$9,"중요",IF(E9&gt;=설정!$B$8,"관심","정상")))</f>
        <v>관심</v>
      </c>
      <c r="K9" s="44" t="str">
        <f>IF(NOT(ISNUMBER(I9)),"미산출",IF(I9&gt;=설정!$B$11,"중요",IF(I9&gt;=설정!$B$10,"관심","정상")))</f>
        <v>중요</v>
      </c>
      <c r="L9" s="45" t="str">
        <f>IF(OR(J9="미산출",K9="미산출"),"미산출",IF(OR(J9="중요",K9="중요"),"중요",IF(OR(J9="관심",K9="관심"),"관심","정상")))</f>
        <v>중요</v>
      </c>
      <c r="M9" s="44" t="str">
        <f>IF(NOT(ISNUMBER(I9)),"판정 보류",IF(I9&gt;=설정!$B$12,"대표 대상","대표 비대상"))</f>
        <v>대표 대상</v>
      </c>
      <c r="N9" s="43">
        <f>IF(AND(ISNUMBER($I$6),ISNUMBER(I9)),$I$6-I9,"미산출")</f>
        <v>12544960</v>
      </c>
      <c r="O9" s="43">
        <f>IF(ISNUMBER(I9),-I9,"미산출")</f>
        <v>-18817440</v>
      </c>
    </row>
    <row r="10" spans="1:15" ht="30" customHeight="1">
      <c r="A10" s="3" t="s">
        <v>103</v>
      </c>
      <c r="B10" s="3" t="s">
        <v>146</v>
      </c>
      <c r="C10" s="36">
        <f>단가버전!E10</f>
        <v>2000</v>
      </c>
      <c r="D10" s="36">
        <f>단가버전!F10</f>
        <v>2120</v>
      </c>
      <c r="E10" s="37">
        <f>IF(C10&gt;0,(D10-C10)/C10,"미산출")</f>
        <v>0.06</v>
      </c>
      <c r="F10" s="36">
        <f>IF(SUMPRODUCT(월별계산!$O$6:$O$100,월별계산!$U$6:$U$100)&lt;&gt;SUM(월별계산!$O$6:$O$100),"미산출",SUMPRODUCT(월별계산!$J$6:$J$100,월별계산!$O$6:$O$100))</f>
        <v>78036</v>
      </c>
      <c r="G10" s="36">
        <f>IF(SUMPRODUCT(월별계산!$N$6:$N$100,월별계산!$U$6:$U$100)&lt;&gt;SUM(월별계산!$N$6:$N$100),"미산출",SUMPRODUCT(월별계산!$J$6:$J$100,월별계산!$N$6:$N$100))</f>
        <v>156812</v>
      </c>
      <c r="H10" s="38">
        <f>IF(ISNUMBER(F10),F10*(D10-C10),"미산출")</f>
        <v>9364320</v>
      </c>
      <c r="I10" s="38">
        <f>IF(AND(ISNUMBER(G10),SUM(월별계산!$N$6:$N$100)=설정!$B$25),G10*(D10-C10),"미산출")</f>
        <v>18817440</v>
      </c>
      <c r="J10" s="39" t="str">
        <f>IF(NOT(ISNUMBER(E10)),"미산출",IF(E10&gt;=설정!$B$9,"중요",IF(E10&gt;=설정!$B$8,"관심","정상")))</f>
        <v>관심</v>
      </c>
      <c r="K10" s="39" t="str">
        <f>IF(NOT(ISNUMBER(I10)),"미산출",IF(I10&gt;=설정!$B$11,"중요",IF(I10&gt;=설정!$B$10,"관심","정상")))</f>
        <v>중요</v>
      </c>
      <c r="L10" s="40" t="str">
        <f>IF(OR(J10="미산출",K10="미산출"),"미산출",IF(OR(J10="중요",K10="중요"),"중요",IF(OR(J10="관심",K10="관심"),"관심","정상")))</f>
        <v>중요</v>
      </c>
      <c r="M10" s="39" t="str">
        <f>IF(NOT(ISNUMBER(I10)),"판정 보류",IF(I10&gt;=설정!$B$12,"대표 대상","대표 비대상"))</f>
        <v>대표 대상</v>
      </c>
      <c r="N10" s="38">
        <f>IF(AND(ISNUMBER($I$6),ISNUMBER(I10)),$I$6-I10,"미산출")</f>
        <v>12544960</v>
      </c>
      <c r="O10" s="38">
        <f>IF(ISNUMBER(I10),-I10,"미산출")</f>
        <v>-18817440</v>
      </c>
    </row>
  </sheetData>
  <mergeCells count="2">
    <mergeCell ref="A1:O2"/>
    <mergeCell ref="A3:O3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showGridLines="0" workbookViewId="0">
      <pane xSplit="1" ySplit="5" topLeftCell="G6" activePane="bottomRight" state="frozen"/>
      <selection pane="topRight"/>
      <selection pane="bottomLeft"/>
      <selection pane="bottomRight" activeCell="A5" sqref="A5"/>
    </sheetView>
  </sheetViews>
  <sheetFormatPr defaultRowHeight="13.8"/>
  <cols>
    <col min="1" max="1" width="22" customWidth="1"/>
    <col min="2" max="3" width="16" customWidth="1"/>
    <col min="4" max="4" width="9.59765625" customWidth="1"/>
    <col min="5" max="5" width="20.09765625" customWidth="1"/>
    <col min="6" max="6" width="15.3984375" customWidth="1"/>
    <col min="7" max="7" width="17.796875" customWidth="1"/>
    <col min="8" max="8" width="16.69921875" customWidth="1"/>
    <col min="9" max="9" width="14.69921875" customWidth="1"/>
    <col min="10" max="10" width="15" customWidth="1"/>
    <col min="11" max="12" width="17.69921875" customWidth="1"/>
    <col min="13" max="13" width="16.296875" customWidth="1"/>
    <col min="14" max="14" width="17.59765625" customWidth="1"/>
    <col min="15" max="15" width="16.5" customWidth="1"/>
  </cols>
  <sheetData>
    <row r="1" spans="1:15" ht="30" customHeight="1">
      <c r="A1" s="32" t="s">
        <v>147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26.4" customHeight="1">
      <c r="A3" s="33" t="s">
        <v>148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12.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2" t="s">
        <v>149</v>
      </c>
      <c r="B5" s="35" t="s">
        <v>150</v>
      </c>
      <c r="C5" s="35" t="s">
        <v>151</v>
      </c>
      <c r="D5" s="35" t="s">
        <v>2</v>
      </c>
      <c r="E5" s="35" t="s">
        <v>152</v>
      </c>
      <c r="F5" s="35" t="s">
        <v>153</v>
      </c>
      <c r="G5" s="35" t="s">
        <v>154</v>
      </c>
      <c r="H5" s="35" t="s">
        <v>155</v>
      </c>
      <c r="I5" s="35" t="s">
        <v>156</v>
      </c>
      <c r="J5" s="35" t="s">
        <v>157</v>
      </c>
      <c r="K5" s="35" t="s">
        <v>158</v>
      </c>
      <c r="L5" s="35" t="s">
        <v>159</v>
      </c>
      <c r="M5" s="35" t="s">
        <v>160</v>
      </c>
      <c r="N5" s="35" t="s">
        <v>161</v>
      </c>
      <c r="O5" s="35" t="s">
        <v>162</v>
      </c>
    </row>
    <row r="6" spans="1:15" ht="30" customHeight="1">
      <c r="A6" s="3" t="s">
        <v>163</v>
      </c>
      <c r="B6" s="25">
        <v>46388</v>
      </c>
      <c r="C6" s="25">
        <v>46419</v>
      </c>
      <c r="D6" s="40" t="s">
        <v>164</v>
      </c>
      <c r="E6" s="36">
        <f>SUMIFS(월별계산!$S$6:$S$100,월별계산!$B$6:$B$100,"&gt;="&amp;B6,월별계산!$B$6:$B$100,"&lt;"&amp;C6)</f>
        <v>5989630000</v>
      </c>
      <c r="F6" s="36">
        <f>SUMIFS(월고정비!$B$6:$B$24,월고정비!$A$6:$A$24,"&gt;="&amp;B6,월고정비!$A$6:$A$24,"&lt;"&amp;C6)</f>
        <v>370000000</v>
      </c>
      <c r="G6" s="36">
        <f>SUMIFS(월별계산!$K$6:$K$100,월별계산!$B$6:$B$100,"&gt;="&amp;B6,월별계산!$B$6:$B$100,"&lt;"&amp;C6)-F6</f>
        <v>309349000</v>
      </c>
      <c r="H6" s="36">
        <f>SUMIFS(월별계산!$L$6:$L$100,월별계산!$B$6:$B$100,"&gt;="&amp;B6,월별계산!$B$6:$B$100,"&lt;"&amp;C6)-F6</f>
        <v>309349000</v>
      </c>
      <c r="I6" s="38">
        <f t="shared" ref="I6:I22" si="0">H6-G6</f>
        <v>0</v>
      </c>
      <c r="J6" s="36">
        <f>-SUMIFS(월별계산!$P$6:$P$100,월별계산!$B$6:$B$100,"&gt;="&amp;B6,월별계산!$B$6:$B$100,"&lt;"&amp;C6)</f>
        <v>0</v>
      </c>
      <c r="K6" s="38">
        <f t="shared" ref="K6:K22" si="1">H6+J6</f>
        <v>309349000</v>
      </c>
      <c r="L6" s="38">
        <f t="shared" ref="L6:L22" si="2">K6-G6</f>
        <v>0</v>
      </c>
      <c r="M6" s="36">
        <f>SUMIFS(월별계산!$R$6:$R$100,월별계산!$B$6:$B$100,"&gt;="&amp;B6,월별계산!$B$6:$B$100,"&lt;"&amp;C6)-F6</f>
        <v>310340000</v>
      </c>
      <c r="N6" s="38">
        <f t="shared" ref="N6:N21" si="3">M6-K6</f>
        <v>991000</v>
      </c>
      <c r="O6" s="38">
        <f t="shared" ref="O6:O22" si="4">K6-(G6+I6+J6)</f>
        <v>0</v>
      </c>
    </row>
    <row r="7" spans="1:15" ht="30" customHeight="1">
      <c r="A7" s="1" t="s">
        <v>165</v>
      </c>
      <c r="B7" s="26">
        <v>46419</v>
      </c>
      <c r="C7" s="26">
        <v>46447</v>
      </c>
      <c r="D7" s="45" t="s">
        <v>164</v>
      </c>
      <c r="E7" s="41">
        <f>SUMIFS(월별계산!$S$6:$S$100,월별계산!$B$6:$B$100,"&gt;="&amp;B7,월별계산!$B$6:$B$100,"&lt;"&amp;C7)</f>
        <v>5257980000</v>
      </c>
      <c r="F7" s="41">
        <f>SUMIFS(월고정비!$B$6:$B$24,월고정비!$A$6:$A$24,"&gt;="&amp;B7,월고정비!$A$6:$A$24,"&lt;"&amp;C7)</f>
        <v>370000000</v>
      </c>
      <c r="G7" s="41">
        <f>SUMIFS(월별계산!$K$6:$K$100,월별계산!$B$6:$B$100,"&gt;="&amp;B7,월별계산!$B$6:$B$100,"&lt;"&amp;C7)-F7</f>
        <v>226547000</v>
      </c>
      <c r="H7" s="41">
        <f>SUMIFS(월별계산!$L$6:$L$100,월별계산!$B$6:$B$100,"&gt;="&amp;B7,월별계산!$B$6:$B$100,"&lt;"&amp;C7)-F7</f>
        <v>226547000</v>
      </c>
      <c r="I7" s="43">
        <f t="shared" si="0"/>
        <v>0</v>
      </c>
      <c r="J7" s="41">
        <f>-SUMIFS(월별계산!$P$6:$P$100,월별계산!$B$6:$B$100,"&gt;="&amp;B7,월별계산!$B$6:$B$100,"&lt;"&amp;C7)</f>
        <v>0</v>
      </c>
      <c r="K7" s="43">
        <f t="shared" si="1"/>
        <v>226547000</v>
      </c>
      <c r="L7" s="43">
        <f t="shared" si="2"/>
        <v>0</v>
      </c>
      <c r="M7" s="41">
        <f>SUMIFS(월별계산!$R$6:$R$100,월별계산!$B$6:$B$100,"&gt;="&amp;B7,월별계산!$B$6:$B$100,"&lt;"&amp;C7)-F7</f>
        <v>230300000</v>
      </c>
      <c r="N7" s="43">
        <f t="shared" si="3"/>
        <v>3753000</v>
      </c>
      <c r="O7" s="43">
        <f t="shared" si="4"/>
        <v>0</v>
      </c>
    </row>
    <row r="8" spans="1:15" ht="30" customHeight="1">
      <c r="A8" s="3" t="s">
        <v>166</v>
      </c>
      <c r="B8" s="25">
        <v>46447</v>
      </c>
      <c r="C8" s="25">
        <v>46478</v>
      </c>
      <c r="D8" s="40" t="s">
        <v>164</v>
      </c>
      <c r="E8" s="36">
        <f>SUMIFS(월별계산!$S$6:$S$100,월별계산!$B$6:$B$100,"&gt;="&amp;B8,월별계산!$B$6:$B$100,"&lt;"&amp;C8)</f>
        <v>6102990000</v>
      </c>
      <c r="F8" s="36">
        <f>SUMIFS(월고정비!$B$6:$B$24,월고정비!$A$6:$A$24,"&gt;="&amp;B8,월고정비!$A$6:$A$24,"&lt;"&amp;C8)</f>
        <v>370000000</v>
      </c>
      <c r="G8" s="36">
        <f>SUMIFS(월별계산!$K$6:$K$100,월별계산!$B$6:$B$100,"&gt;="&amp;B8,월별계산!$B$6:$B$100,"&lt;"&amp;C8)-F8</f>
        <v>322633000</v>
      </c>
      <c r="H8" s="36">
        <f>SUMIFS(월별계산!$L$6:$L$100,월별계산!$B$6:$B$100,"&gt;="&amp;B8,월별계산!$B$6:$B$100,"&lt;"&amp;C8)-F8</f>
        <v>322633000</v>
      </c>
      <c r="I8" s="38">
        <f t="shared" si="0"/>
        <v>0</v>
      </c>
      <c r="J8" s="36">
        <f>-SUMIFS(월별계산!$P$6:$P$100,월별계산!$B$6:$B$100,"&gt;="&amp;B8,월별계산!$B$6:$B$100,"&lt;"&amp;C8)</f>
        <v>0</v>
      </c>
      <c r="K8" s="38">
        <f t="shared" si="1"/>
        <v>322633000</v>
      </c>
      <c r="L8" s="38">
        <f t="shared" si="2"/>
        <v>0</v>
      </c>
      <c r="M8" s="36">
        <f>SUMIFS(월별계산!$R$6:$R$100,월별계산!$B$6:$B$100,"&gt;="&amp;B8,월별계산!$B$6:$B$100,"&lt;"&amp;C8)-F8</f>
        <v>330350000</v>
      </c>
      <c r="N8" s="38">
        <f t="shared" si="3"/>
        <v>7717000</v>
      </c>
      <c r="O8" s="38">
        <f t="shared" si="4"/>
        <v>0</v>
      </c>
    </row>
    <row r="9" spans="1:15" ht="30" customHeight="1">
      <c r="A9" s="1" t="s">
        <v>167</v>
      </c>
      <c r="B9" s="26">
        <v>46478</v>
      </c>
      <c r="C9" s="26">
        <v>46508</v>
      </c>
      <c r="D9" s="45" t="s">
        <v>164</v>
      </c>
      <c r="E9" s="41">
        <f>SUMIFS(월별계산!$S$6:$S$100,월별계산!$B$6:$B$100,"&gt;="&amp;B9,월별계산!$B$6:$B$100,"&lt;"&amp;C9)</f>
        <v>5782200000</v>
      </c>
      <c r="F9" s="41">
        <f>SUMIFS(월고정비!$B$6:$B$24,월고정비!$A$6:$A$24,"&gt;="&amp;B9,월고정비!$A$6:$A$24,"&lt;"&amp;C9)</f>
        <v>370000000</v>
      </c>
      <c r="G9" s="41">
        <f>SUMIFS(월별계산!$K$6:$K$100,월별계산!$B$6:$B$100,"&gt;="&amp;B9,월별계산!$B$6:$B$100,"&lt;"&amp;C9)-F9</f>
        <v>286430000</v>
      </c>
      <c r="H9" s="41">
        <f>SUMIFS(월별계산!$L$6:$L$100,월별계산!$B$6:$B$100,"&gt;="&amp;B9,월별계산!$B$6:$B$100,"&lt;"&amp;C9)-F9</f>
        <v>286430000</v>
      </c>
      <c r="I9" s="43">
        <f t="shared" si="0"/>
        <v>0</v>
      </c>
      <c r="J9" s="41">
        <f>-SUMIFS(월별계산!$P$6:$P$100,월별계산!$B$6:$B$100,"&gt;="&amp;B9,월별계산!$B$6:$B$100,"&lt;"&amp;C9)</f>
        <v>0</v>
      </c>
      <c r="K9" s="43">
        <f t="shared" si="1"/>
        <v>286430000</v>
      </c>
      <c r="L9" s="43">
        <f t="shared" si="2"/>
        <v>0</v>
      </c>
      <c r="M9" s="41">
        <f>SUMIFS(월별계산!$R$6:$R$100,월별계산!$B$6:$B$100,"&gt;="&amp;B9,월별계산!$B$6:$B$100,"&lt;"&amp;C9)-F9</f>
        <v>297000000</v>
      </c>
      <c r="N9" s="43">
        <f t="shared" si="3"/>
        <v>10570000</v>
      </c>
      <c r="O9" s="43">
        <f t="shared" si="4"/>
        <v>0</v>
      </c>
    </row>
    <row r="10" spans="1:15" ht="30" customHeight="1">
      <c r="A10" s="3" t="s">
        <v>168</v>
      </c>
      <c r="B10" s="25">
        <v>46508</v>
      </c>
      <c r="C10" s="25">
        <v>46539</v>
      </c>
      <c r="D10" s="40" t="s">
        <v>164</v>
      </c>
      <c r="E10" s="36">
        <f>SUMIFS(월별계산!$S$6:$S$100,월별계산!$B$6:$B$100,"&gt;="&amp;B10,월별계산!$B$6:$B$100,"&lt;"&amp;C10)</f>
        <v>5637110000</v>
      </c>
      <c r="F10" s="36">
        <f>SUMIFS(월고정비!$B$6:$B$24,월고정비!$A$6:$A$24,"&gt;="&amp;B10,월고정비!$A$6:$A$24,"&lt;"&amp;C10)</f>
        <v>370000000</v>
      </c>
      <c r="G10" s="36">
        <f>SUMIFS(월별계산!$K$6:$K$100,월별계산!$B$6:$B$100,"&gt;="&amp;B10,월별계산!$B$6:$B$100,"&lt;"&amp;C10)-F10</f>
        <v>270161000</v>
      </c>
      <c r="H10" s="36">
        <f>SUMIFS(월별계산!$L$6:$L$100,월별계산!$B$6:$B$100,"&gt;="&amp;B10,월별계산!$B$6:$B$100,"&lt;"&amp;C10)-F10</f>
        <v>270161000</v>
      </c>
      <c r="I10" s="38">
        <f t="shared" si="0"/>
        <v>0</v>
      </c>
      <c r="J10" s="36">
        <f>-SUMIFS(월별계산!$P$6:$P$100,월별계산!$B$6:$B$100,"&gt;="&amp;B10,월별계산!$B$6:$B$100,"&lt;"&amp;C10)</f>
        <v>0</v>
      </c>
      <c r="K10" s="38">
        <f t="shared" si="1"/>
        <v>270161000</v>
      </c>
      <c r="L10" s="38">
        <f t="shared" si="2"/>
        <v>0</v>
      </c>
      <c r="M10" s="36">
        <f>SUMIFS(월별계산!$R$6:$R$100,월별계산!$B$6:$B$100,"&gt;="&amp;B10,월별계산!$B$6:$B$100,"&lt;"&amp;C10)-F10</f>
        <v>283660000</v>
      </c>
      <c r="N10" s="38">
        <f t="shared" si="3"/>
        <v>13499000</v>
      </c>
      <c r="O10" s="38">
        <f t="shared" si="4"/>
        <v>0</v>
      </c>
    </row>
    <row r="11" spans="1:15" ht="30" customHeight="1">
      <c r="A11" s="1" t="s">
        <v>169</v>
      </c>
      <c r="B11" s="26">
        <v>46539</v>
      </c>
      <c r="C11" s="26">
        <v>46569</v>
      </c>
      <c r="D11" s="45" t="s">
        <v>164</v>
      </c>
      <c r="E11" s="41">
        <f>SUMIFS(월별계산!$S$6:$S$100,월별계산!$B$6:$B$100,"&gt;="&amp;B11,월별계산!$B$6:$B$100,"&lt;"&amp;C11)</f>
        <v>5722200000</v>
      </c>
      <c r="F11" s="41">
        <f>SUMIFS(월고정비!$B$6:$B$24,월고정비!$A$6:$A$24,"&gt;="&amp;B11,월고정비!$A$6:$A$24,"&lt;"&amp;C11)</f>
        <v>370000000</v>
      </c>
      <c r="G11" s="41">
        <f>SUMIFS(월별계산!$K$6:$K$100,월별계산!$B$6:$B$100,"&gt;="&amp;B11,월별계산!$B$6:$B$100,"&lt;"&amp;C11)-F11</f>
        <v>280030000</v>
      </c>
      <c r="H11" s="41">
        <f>SUMIFS(월별계산!$L$6:$L$100,월별계산!$B$6:$B$100,"&gt;="&amp;B11,월별계산!$B$6:$B$100,"&lt;"&amp;C11)-F11</f>
        <v>280030000</v>
      </c>
      <c r="I11" s="43">
        <f t="shared" si="0"/>
        <v>0</v>
      </c>
      <c r="J11" s="41">
        <f>-SUMIFS(월별계산!$P$6:$P$100,월별계산!$B$6:$B$100,"&gt;="&amp;B11,월별계산!$B$6:$B$100,"&lt;"&amp;C11)</f>
        <v>0</v>
      </c>
      <c r="K11" s="43">
        <f t="shared" si="1"/>
        <v>280030000</v>
      </c>
      <c r="L11" s="43">
        <f t="shared" si="2"/>
        <v>0</v>
      </c>
      <c r="M11" s="41">
        <f>SUMIFS(월별계산!$R$6:$R$100,월별계산!$B$6:$B$100,"&gt;="&amp;B11,월별계산!$B$6:$B$100,"&lt;"&amp;C11)-F11</f>
        <v>297000000</v>
      </c>
      <c r="N11" s="43">
        <f t="shared" si="3"/>
        <v>16970000</v>
      </c>
      <c r="O11" s="43">
        <f t="shared" si="4"/>
        <v>0</v>
      </c>
    </row>
    <row r="12" spans="1:15" ht="30" customHeight="1">
      <c r="A12" s="3" t="s">
        <v>170</v>
      </c>
      <c r="B12" s="25">
        <v>46569</v>
      </c>
      <c r="C12" s="25">
        <v>46600</v>
      </c>
      <c r="D12" s="40" t="s">
        <v>164</v>
      </c>
      <c r="E12" s="36">
        <f>SUMIFS(월별계산!$S$6:$S$100,월별계산!$B$6:$B$100,"&gt;="&amp;B12,월별계산!$B$6:$B$100,"&lt;"&amp;C12)</f>
        <v>5596200000</v>
      </c>
      <c r="F12" s="36">
        <f>SUMIFS(월고정비!$B$6:$B$24,월고정비!$A$6:$A$24,"&gt;="&amp;B12,월고정비!$A$6:$A$24,"&lt;"&amp;C12)</f>
        <v>370000000</v>
      </c>
      <c r="G12" s="36">
        <f>SUMIFS(월별계산!$K$6:$K$100,월별계산!$B$6:$B$100,"&gt;="&amp;B12,월별계산!$B$6:$B$100,"&lt;"&amp;C12)-F12</f>
        <v>280030000</v>
      </c>
      <c r="H12" s="36">
        <f>SUMIFS(월별계산!$L$6:$L$100,월별계산!$B$6:$B$100,"&gt;="&amp;B12,월별계산!$B$6:$B$100,"&lt;"&amp;C12)-F12</f>
        <v>266030000</v>
      </c>
      <c r="I12" s="38">
        <f t="shared" si="0"/>
        <v>-14000000</v>
      </c>
      <c r="J12" s="36">
        <f>-SUMIFS(월별계산!$P$6:$P$100,월별계산!$B$6:$B$100,"&gt;="&amp;B12,월별계산!$B$6:$B$100,"&lt;"&amp;C12)</f>
        <v>-1512000</v>
      </c>
      <c r="K12" s="38">
        <f t="shared" si="1"/>
        <v>264518000</v>
      </c>
      <c r="L12" s="38">
        <f t="shared" si="2"/>
        <v>-15512000</v>
      </c>
      <c r="M12" s="36">
        <f>SUMIFS(월별계산!$R$6:$R$100,월별계산!$B$6:$B$100,"&gt;="&amp;B12,월별계산!$B$6:$B$100,"&lt;"&amp;C12)-F12</f>
        <v>297000000</v>
      </c>
      <c r="N12" s="38">
        <f t="shared" si="3"/>
        <v>32482000</v>
      </c>
      <c r="O12" s="38">
        <f t="shared" si="4"/>
        <v>0</v>
      </c>
    </row>
    <row r="13" spans="1:15" ht="30" customHeight="1">
      <c r="A13" s="1" t="s">
        <v>171</v>
      </c>
      <c r="B13" s="26">
        <v>46600</v>
      </c>
      <c r="C13" s="26">
        <v>46631</v>
      </c>
      <c r="D13" s="45" t="s">
        <v>164</v>
      </c>
      <c r="E13" s="41">
        <f>SUMIFS(월별계산!$S$6:$S$100,월별계산!$B$6:$B$100,"&gt;="&amp;B13,월별계산!$B$6:$B$100,"&lt;"&amp;C13)</f>
        <v>5264410000</v>
      </c>
      <c r="F13" s="41">
        <f>SUMIFS(월고정비!$B$6:$B$24,월고정비!$A$6:$A$24,"&gt;="&amp;B13,월고정비!$A$6:$A$24,"&lt;"&amp;C13)</f>
        <v>370000000</v>
      </c>
      <c r="G13" s="41">
        <f>SUMIFS(월별계산!$K$6:$K$100,월별계산!$B$6:$B$100,"&gt;="&amp;B13,월별계산!$B$6:$B$100,"&lt;"&amp;C13)-F13</f>
        <v>228026000</v>
      </c>
      <c r="H13" s="41">
        <f>SUMIFS(월별계산!$L$6:$L$100,월별계산!$B$6:$B$100,"&gt;="&amp;B13,월별계산!$B$6:$B$100,"&lt;"&amp;C13)-F13</f>
        <v>228026000</v>
      </c>
      <c r="I13" s="43">
        <f t="shared" si="0"/>
        <v>0</v>
      </c>
      <c r="J13" s="41">
        <f>-SUMIFS(월별계산!$P$6:$P$100,월별계산!$B$6:$B$100,"&gt;="&amp;B13,월별계산!$B$6:$B$100,"&lt;"&amp;C13)</f>
        <v>-1468320</v>
      </c>
      <c r="K13" s="43">
        <f t="shared" si="1"/>
        <v>226557680</v>
      </c>
      <c r="L13" s="43">
        <f t="shared" si="2"/>
        <v>-1468320</v>
      </c>
      <c r="M13" s="41">
        <f>SUMIFS(월별계산!$R$6:$R$100,월별계산!$B$6:$B$100,"&gt;="&amp;B13,월별계산!$B$6:$B$100,"&lt;"&amp;C13)-F13</f>
        <v>243640000</v>
      </c>
      <c r="N13" s="43">
        <f t="shared" si="3"/>
        <v>17082320</v>
      </c>
      <c r="O13" s="43">
        <f t="shared" si="4"/>
        <v>0</v>
      </c>
    </row>
    <row r="14" spans="1:15" ht="30" customHeight="1">
      <c r="A14" s="3" t="s">
        <v>172</v>
      </c>
      <c r="B14" s="25">
        <v>46631</v>
      </c>
      <c r="C14" s="25">
        <v>46661</v>
      </c>
      <c r="D14" s="40" t="s">
        <v>164</v>
      </c>
      <c r="E14" s="36">
        <f>SUMIFS(월별계산!$S$6:$S$100,월별계산!$B$6:$B$100,"&gt;="&amp;B14,월별계산!$B$6:$B$100,"&lt;"&amp;C14)</f>
        <v>5893910000</v>
      </c>
      <c r="F14" s="36">
        <f>SUMIFS(월고정비!$B$6:$B$24,월고정비!$A$6:$A$24,"&gt;="&amp;B14,월고정비!$A$6:$A$24,"&lt;"&amp;C14)</f>
        <v>370000000</v>
      </c>
      <c r="G14" s="36">
        <f>SUMIFS(월별계산!$K$6:$K$100,월별계산!$B$6:$B$100,"&gt;="&amp;B14,월별계산!$B$6:$B$100,"&lt;"&amp;C14)-F14</f>
        <v>299536000</v>
      </c>
      <c r="H14" s="36">
        <f>SUMIFS(월별계산!$L$6:$L$100,월별계산!$B$6:$B$100,"&gt;="&amp;B14,월별계산!$B$6:$B$100,"&lt;"&amp;C14)-F14</f>
        <v>299536000</v>
      </c>
      <c r="I14" s="38">
        <f t="shared" si="0"/>
        <v>0</v>
      </c>
      <c r="J14" s="36">
        <f>-SUMIFS(월별계산!$P$6:$P$100,월별계산!$B$6:$B$100,"&gt;="&amp;B14,월별계산!$B$6:$B$100,"&lt;"&amp;C14)</f>
        <v>-1643880</v>
      </c>
      <c r="K14" s="38">
        <f t="shared" si="1"/>
        <v>297892120</v>
      </c>
      <c r="L14" s="38">
        <f t="shared" si="2"/>
        <v>-1643880</v>
      </c>
      <c r="M14" s="36">
        <f>SUMIFS(월별계산!$R$6:$R$100,월별계산!$B$6:$B$100,"&gt;="&amp;B14,월별계산!$B$6:$B$100,"&lt;"&amp;C14)-F14</f>
        <v>317010000</v>
      </c>
      <c r="N14" s="38">
        <f t="shared" si="3"/>
        <v>19117880</v>
      </c>
      <c r="O14" s="38">
        <f t="shared" si="4"/>
        <v>0</v>
      </c>
    </row>
    <row r="15" spans="1:15" ht="30" customHeight="1">
      <c r="A15" s="1" t="s">
        <v>173</v>
      </c>
      <c r="B15" s="26">
        <v>46661</v>
      </c>
      <c r="C15" s="26">
        <v>46692</v>
      </c>
      <c r="D15" s="45" t="s">
        <v>164</v>
      </c>
      <c r="E15" s="41">
        <f>SUMIFS(월별계산!$S$6:$S$100,월별계산!$B$6:$B$100,"&gt;="&amp;B15,월별계산!$B$6:$B$100,"&lt;"&amp;C15)</f>
        <v>5836630000</v>
      </c>
      <c r="F15" s="41">
        <f>SUMIFS(월고정비!$B$6:$B$24,월고정비!$A$6:$A$24,"&gt;="&amp;B15,월고정비!$A$6:$A$24,"&lt;"&amp;C15)</f>
        <v>370000000</v>
      </c>
      <c r="G15" s="41">
        <f>SUMIFS(월별계산!$K$6:$K$100,월별계산!$B$6:$B$100,"&gt;="&amp;B15,월별계산!$B$6:$B$100,"&lt;"&amp;C15)-F15</f>
        <v>293029000</v>
      </c>
      <c r="H15" s="41">
        <f>SUMIFS(월별계산!$L$6:$L$100,월별계산!$B$6:$B$100,"&gt;="&amp;B15,월별계산!$B$6:$B$100,"&lt;"&amp;C15)-F15</f>
        <v>293029000</v>
      </c>
      <c r="I15" s="43">
        <f t="shared" si="0"/>
        <v>0</v>
      </c>
      <c r="J15" s="41">
        <f>-SUMIFS(월별계산!$P$6:$P$100,월별계산!$B$6:$B$100,"&gt;="&amp;B15,월별계산!$B$6:$B$100,"&lt;"&amp;C15)</f>
        <v>-1627920</v>
      </c>
      <c r="K15" s="43">
        <f t="shared" si="1"/>
        <v>291401080</v>
      </c>
      <c r="L15" s="43">
        <f t="shared" si="2"/>
        <v>-1627920</v>
      </c>
      <c r="M15" s="41">
        <f>SUMIFS(월별계산!$R$6:$R$100,월별계산!$B$6:$B$100,"&gt;="&amp;B15,월별계산!$B$6:$B$100,"&lt;"&amp;C15)-F15</f>
        <v>310340000</v>
      </c>
      <c r="N15" s="43">
        <f t="shared" si="3"/>
        <v>18938920</v>
      </c>
      <c r="O15" s="43">
        <f t="shared" si="4"/>
        <v>0</v>
      </c>
    </row>
    <row r="16" spans="1:15" ht="30" customHeight="1">
      <c r="A16" s="3" t="s">
        <v>174</v>
      </c>
      <c r="B16" s="25">
        <v>46692</v>
      </c>
      <c r="C16" s="25">
        <v>46722</v>
      </c>
      <c r="D16" s="40" t="s">
        <v>164</v>
      </c>
      <c r="E16" s="36">
        <f>SUMIFS(월별계산!$S$6:$S$100,월별계산!$B$6:$B$100,"&gt;="&amp;B16,월별계산!$B$6:$B$100,"&lt;"&amp;C16)</f>
        <v>5722200000</v>
      </c>
      <c r="F16" s="36">
        <f>SUMIFS(월고정비!$B$6:$B$24,월고정비!$A$6:$A$24,"&gt;="&amp;B16,월고정비!$A$6:$A$24,"&lt;"&amp;C16)</f>
        <v>370000000</v>
      </c>
      <c r="G16" s="36">
        <f>SUMIFS(월별계산!$K$6:$K$100,월별계산!$B$6:$B$100,"&gt;="&amp;B16,월별계산!$B$6:$B$100,"&lt;"&amp;C16)-F16</f>
        <v>280030000</v>
      </c>
      <c r="H16" s="36">
        <f>SUMIFS(월별계산!$L$6:$L$100,월별계산!$B$6:$B$100,"&gt;="&amp;B16,월별계산!$B$6:$B$100,"&lt;"&amp;C16)-F16</f>
        <v>280030000</v>
      </c>
      <c r="I16" s="38">
        <f t="shared" si="0"/>
        <v>0</v>
      </c>
      <c r="J16" s="36">
        <f>-SUMIFS(월별계산!$P$6:$P$100,월별계산!$B$6:$B$100,"&gt;="&amp;B16,월별계산!$B$6:$B$100,"&lt;"&amp;C16)</f>
        <v>-1596000</v>
      </c>
      <c r="K16" s="38">
        <f t="shared" si="1"/>
        <v>278434000</v>
      </c>
      <c r="L16" s="38">
        <f t="shared" si="2"/>
        <v>-1596000</v>
      </c>
      <c r="M16" s="36">
        <f>SUMIFS(월별계산!$R$6:$R$100,월별계산!$B$6:$B$100,"&gt;="&amp;B16,월별계산!$B$6:$B$100,"&lt;"&amp;C16)-F16</f>
        <v>297000000</v>
      </c>
      <c r="N16" s="38">
        <f t="shared" si="3"/>
        <v>18566000</v>
      </c>
      <c r="O16" s="38">
        <f t="shared" si="4"/>
        <v>0</v>
      </c>
    </row>
    <row r="17" spans="1:15" ht="30" customHeight="1">
      <c r="A17" s="1" t="s">
        <v>175</v>
      </c>
      <c r="B17" s="26">
        <v>46722</v>
      </c>
      <c r="C17" s="26">
        <v>46753</v>
      </c>
      <c r="D17" s="45" t="s">
        <v>164</v>
      </c>
      <c r="E17" s="41">
        <f>SUMIFS(월별계산!$S$6:$S$100,월별계산!$B$6:$B$100,"&gt;="&amp;B17,월별계산!$B$6:$B$100,"&lt;"&amp;C17)</f>
        <v>5436270000</v>
      </c>
      <c r="F17" s="41">
        <f>SUMIFS(월고정비!$B$6:$B$24,월고정비!$A$6:$A$24,"&gt;="&amp;B17,월고정비!$A$6:$A$24,"&lt;"&amp;C17)</f>
        <v>370000000</v>
      </c>
      <c r="G17" s="41">
        <f>SUMIFS(월별계산!$K$6:$K$100,월별계산!$B$6:$B$100,"&gt;="&amp;B17,월별계산!$B$6:$B$100,"&lt;"&amp;C17)-F17</f>
        <v>247550000</v>
      </c>
      <c r="H17" s="41">
        <f>SUMIFS(월별계산!$L$6:$L$100,월별계산!$B$6:$B$100,"&gt;="&amp;B17,월별계산!$B$6:$B$100,"&lt;"&amp;C17)-F17</f>
        <v>247550000</v>
      </c>
      <c r="I17" s="43">
        <f t="shared" si="0"/>
        <v>0</v>
      </c>
      <c r="J17" s="41">
        <f>-SUMIFS(월별계산!$P$6:$P$100,월별계산!$B$6:$B$100,"&gt;="&amp;B17,월별계산!$B$6:$B$100,"&lt;"&amp;C17)</f>
        <v>-1516200</v>
      </c>
      <c r="K17" s="43">
        <f t="shared" si="1"/>
        <v>246033800</v>
      </c>
      <c r="L17" s="43">
        <f t="shared" si="2"/>
        <v>-1516200</v>
      </c>
      <c r="M17" s="41">
        <f>SUMIFS(월별계산!$R$6:$R$100,월별계산!$B$6:$B$100,"&gt;="&amp;B17,월별계산!$B$6:$B$100,"&lt;"&amp;C17)-F17</f>
        <v>263650000</v>
      </c>
      <c r="N17" s="43">
        <f t="shared" si="3"/>
        <v>17616200</v>
      </c>
      <c r="O17" s="43">
        <f t="shared" si="4"/>
        <v>0</v>
      </c>
    </row>
    <row r="18" spans="1:15" ht="30" customHeight="1">
      <c r="A18" s="3" t="s">
        <v>176</v>
      </c>
      <c r="B18" s="25">
        <v>46569</v>
      </c>
      <c r="C18" s="25">
        <v>46661</v>
      </c>
      <c r="D18" s="40" t="s">
        <v>177</v>
      </c>
      <c r="E18" s="36">
        <f>SUMIFS(월별계산!$S$6:$S$100,월별계산!$B$6:$B$100,"&gt;="&amp;B18,월별계산!$B$6:$B$100,"&lt;"&amp;C18)</f>
        <v>16754520000</v>
      </c>
      <c r="F18" s="36">
        <f>SUMIFS(월고정비!$B$6:$B$24,월고정비!$A$6:$A$24,"&gt;="&amp;B18,월고정비!$A$6:$A$24,"&lt;"&amp;C18)</f>
        <v>1110000000</v>
      </c>
      <c r="G18" s="36">
        <f>SUMIFS(월별계산!$K$6:$K$100,월별계산!$B$6:$B$100,"&gt;="&amp;B18,월별계산!$B$6:$B$100,"&lt;"&amp;C18)-F18</f>
        <v>807592000</v>
      </c>
      <c r="H18" s="36">
        <f>SUMIFS(월별계산!$L$6:$L$100,월별계산!$B$6:$B$100,"&gt;="&amp;B18,월별계산!$B$6:$B$100,"&lt;"&amp;C18)-F18</f>
        <v>793592000</v>
      </c>
      <c r="I18" s="38">
        <f t="shared" si="0"/>
        <v>-14000000</v>
      </c>
      <c r="J18" s="36">
        <f>-SUMIFS(월별계산!$P$6:$P$100,월별계산!$B$6:$B$100,"&gt;="&amp;B18,월별계산!$B$6:$B$100,"&lt;"&amp;C18)</f>
        <v>-4624200</v>
      </c>
      <c r="K18" s="38">
        <f t="shared" si="1"/>
        <v>788967800</v>
      </c>
      <c r="L18" s="38">
        <f t="shared" si="2"/>
        <v>-18624200</v>
      </c>
      <c r="M18" s="36">
        <f>SUMIFS(월별계산!$R$6:$R$100,월별계산!$B$6:$B$100,"&gt;="&amp;B18,월별계산!$B$6:$B$100,"&lt;"&amp;C18)-F18</f>
        <v>857650000</v>
      </c>
      <c r="N18" s="38">
        <f t="shared" si="3"/>
        <v>68682200</v>
      </c>
      <c r="O18" s="38">
        <f t="shared" si="4"/>
        <v>0</v>
      </c>
    </row>
    <row r="19" spans="1:15" ht="30" customHeight="1">
      <c r="A19" s="1" t="s">
        <v>178</v>
      </c>
      <c r="B19" s="26">
        <v>46661</v>
      </c>
      <c r="C19" s="26">
        <v>46753</v>
      </c>
      <c r="D19" s="45" t="s">
        <v>177</v>
      </c>
      <c r="E19" s="41">
        <f>SUMIFS(월별계산!$S$6:$S$100,월별계산!$B$6:$B$100,"&gt;="&amp;B19,월별계산!$B$6:$B$100,"&lt;"&amp;C19)</f>
        <v>16995100000</v>
      </c>
      <c r="F19" s="41">
        <f>SUMIFS(월고정비!$B$6:$B$24,월고정비!$A$6:$A$24,"&gt;="&amp;B19,월고정비!$A$6:$A$24,"&lt;"&amp;C19)</f>
        <v>1110000000</v>
      </c>
      <c r="G19" s="41">
        <f>SUMIFS(월별계산!$K$6:$K$100,월별계산!$B$6:$B$100,"&gt;="&amp;B19,월별계산!$B$6:$B$100,"&lt;"&amp;C19)-F19</f>
        <v>820609000</v>
      </c>
      <c r="H19" s="41">
        <f>SUMIFS(월별계산!$L$6:$L$100,월별계산!$B$6:$B$100,"&gt;="&amp;B19,월별계산!$B$6:$B$100,"&lt;"&amp;C19)-F19</f>
        <v>820609000</v>
      </c>
      <c r="I19" s="43">
        <f t="shared" si="0"/>
        <v>0</v>
      </c>
      <c r="J19" s="41">
        <f>-SUMIFS(월별계산!$P$6:$P$100,월별계산!$B$6:$B$100,"&gt;="&amp;B19,월별계산!$B$6:$B$100,"&lt;"&amp;C19)</f>
        <v>-4740120</v>
      </c>
      <c r="K19" s="43">
        <f t="shared" si="1"/>
        <v>815868880</v>
      </c>
      <c r="L19" s="43">
        <f t="shared" si="2"/>
        <v>-4740120</v>
      </c>
      <c r="M19" s="41">
        <f>SUMIFS(월별계산!$R$6:$R$100,월별계산!$B$6:$B$100,"&gt;="&amp;B19,월별계산!$B$6:$B$100,"&lt;"&amp;C19)-F19</f>
        <v>870990000</v>
      </c>
      <c r="N19" s="43">
        <f t="shared" si="3"/>
        <v>55121120</v>
      </c>
      <c r="O19" s="43">
        <f t="shared" si="4"/>
        <v>0</v>
      </c>
    </row>
    <row r="20" spans="1:15" ht="30" customHeight="1">
      <c r="A20" s="3" t="s">
        <v>179</v>
      </c>
      <c r="B20" s="25">
        <f>설정!B6</f>
        <v>46569</v>
      </c>
      <c r="C20" s="25">
        <v>46753</v>
      </c>
      <c r="D20" s="40" t="s">
        <v>180</v>
      </c>
      <c r="E20" s="36">
        <f>SUMIFS(월별계산!$S$6:$S$100,월별계산!$B$6:$B$100,"&gt;="&amp;B20,월별계산!$B$6:$B$100,"&lt;"&amp;C20)</f>
        <v>33749620000</v>
      </c>
      <c r="F20" s="36">
        <f>SUMIFS(월고정비!$B$6:$B$24,월고정비!$A$6:$A$24,"&gt;="&amp;B20,월고정비!$A$6:$A$24,"&lt;"&amp;C20)</f>
        <v>2220000000</v>
      </c>
      <c r="G20" s="36">
        <f>SUMIFS(월별계산!$K$6:$K$100,월별계산!$B$6:$B$100,"&gt;="&amp;B20,월별계산!$B$6:$B$100,"&lt;"&amp;C20)-F20</f>
        <v>1628201000</v>
      </c>
      <c r="H20" s="36">
        <f>SUMIFS(월별계산!$L$6:$L$100,월별계산!$B$6:$B$100,"&gt;="&amp;B20,월별계산!$B$6:$B$100,"&lt;"&amp;C20)-F20</f>
        <v>1614201000</v>
      </c>
      <c r="I20" s="38">
        <f t="shared" si="0"/>
        <v>-14000000</v>
      </c>
      <c r="J20" s="36">
        <f>-SUMIFS(월별계산!$P$6:$P$100,월별계산!$B$6:$B$100,"&gt;="&amp;B20,월별계산!$B$6:$B$100,"&lt;"&amp;C20)</f>
        <v>-9364320</v>
      </c>
      <c r="K20" s="38">
        <f t="shared" si="1"/>
        <v>1604836680</v>
      </c>
      <c r="L20" s="38">
        <f t="shared" si="2"/>
        <v>-23364320</v>
      </c>
      <c r="M20" s="36">
        <f>SUMIFS(월별계산!$R$6:$R$100,월별계산!$B$6:$B$100,"&gt;="&amp;B20,월별계산!$B$6:$B$100,"&lt;"&amp;C20)-F20</f>
        <v>1728640000</v>
      </c>
      <c r="N20" s="38">
        <f t="shared" si="3"/>
        <v>123803320</v>
      </c>
      <c r="O20" s="38">
        <f t="shared" si="4"/>
        <v>0</v>
      </c>
    </row>
    <row r="21" spans="1:15" ht="30" customHeight="1">
      <c r="A21" s="1" t="s">
        <v>181</v>
      </c>
      <c r="B21" s="26">
        <v>46388</v>
      </c>
      <c r="C21" s="26">
        <v>46753</v>
      </c>
      <c r="D21" s="45" t="s">
        <v>182</v>
      </c>
      <c r="E21" s="41">
        <f>SUMIFS(월별계산!$S$6:$S$100,월별계산!$B$6:$B$100,"&gt;="&amp;B21,월별계산!$B$6:$B$100,"&lt;"&amp;C21)</f>
        <v>68241730000</v>
      </c>
      <c r="F21" s="41">
        <f>SUMIFS(월고정비!$B$6:$B$24,월고정비!$A$6:$A$24,"&gt;="&amp;B21,월고정비!$A$6:$A$24,"&lt;"&amp;C21)</f>
        <v>4440000000</v>
      </c>
      <c r="G21" s="41">
        <f>SUMIFS(월별계산!$K$6:$K$100,월별계산!$B$6:$B$100,"&gt;="&amp;B21,월별계산!$B$6:$B$100,"&lt;"&amp;C21)-F21</f>
        <v>3323351000</v>
      </c>
      <c r="H21" s="41">
        <f>SUMIFS(월별계산!$L$6:$L$100,월별계산!$B$6:$B$100,"&gt;="&amp;B21,월별계산!$B$6:$B$100,"&lt;"&amp;C21)-F21</f>
        <v>3309351000</v>
      </c>
      <c r="I21" s="43">
        <f t="shared" si="0"/>
        <v>-14000000</v>
      </c>
      <c r="J21" s="41">
        <f>-SUMIFS(월별계산!$P$6:$P$100,월별계산!$B$6:$B$100,"&gt;="&amp;B21,월별계산!$B$6:$B$100,"&lt;"&amp;C21)</f>
        <v>-9364320</v>
      </c>
      <c r="K21" s="43">
        <f t="shared" si="1"/>
        <v>3299986680</v>
      </c>
      <c r="L21" s="43">
        <f t="shared" si="2"/>
        <v>-23364320</v>
      </c>
      <c r="M21" s="41">
        <f>SUMIFS(월별계산!$R$6:$R$100,월별계산!$B$6:$B$100,"&gt;="&amp;B21,월별계산!$B$6:$B$100,"&lt;"&amp;C21)-F21</f>
        <v>3477290000</v>
      </c>
      <c r="N21" s="43">
        <f t="shared" si="3"/>
        <v>177303320</v>
      </c>
      <c r="O21" s="43">
        <f t="shared" si="4"/>
        <v>0</v>
      </c>
    </row>
    <row r="22" spans="1:15" ht="30" customHeight="1">
      <c r="A22" s="3" t="s">
        <v>183</v>
      </c>
      <c r="B22" s="19">
        <f>설정!B6</f>
        <v>46569</v>
      </c>
      <c r="C22" s="19">
        <f>설정!B23</f>
        <v>46935</v>
      </c>
      <c r="D22" s="40" t="s">
        <v>184</v>
      </c>
      <c r="E22" s="36">
        <f>SUMIFS(월별계산!$S$6:$S$100,월별계산!$B$6:$B$100,"&gt;="&amp;B22,월별계산!$B$6:$B$100,"&lt;"&amp;C22)</f>
        <v>67207730000</v>
      </c>
      <c r="F22" s="36">
        <f>SUMIFS(월고정비!$B$6:$B$24,월고정비!$A$6:$A$24,"&gt;="&amp;B22,월고정비!$A$6:$A$24,"&lt;"&amp;C22)</f>
        <v>4440000000</v>
      </c>
      <c r="G22" s="36">
        <f>SUMIFS(월별계산!$K$6:$K$100,월별계산!$B$6:$B$100,"&gt;="&amp;B22,월별계산!$B$6:$B$100,"&lt;"&amp;C22)-F22</f>
        <v>3205981000</v>
      </c>
      <c r="H22" s="36">
        <f>SUMIFS(월별계산!$L$6:$L$100,월별계산!$B$6:$B$100,"&gt;="&amp;B22,월별계산!$B$6:$B$100,"&lt;"&amp;C22)-F22</f>
        <v>3191981000</v>
      </c>
      <c r="I22" s="38">
        <f t="shared" si="0"/>
        <v>-14000000</v>
      </c>
      <c r="J22" s="36">
        <f>-SUMIFS(월별계산!$P$6:$P$100,월별계산!$B$6:$B$100,"&gt;="&amp;B22,월별계산!$B$6:$B$100,"&lt;"&amp;C22)</f>
        <v>-18817440</v>
      </c>
      <c r="K22" s="38">
        <f t="shared" si="1"/>
        <v>3173163560</v>
      </c>
      <c r="L22" s="38">
        <f t="shared" si="2"/>
        <v>-32817440</v>
      </c>
      <c r="M22" s="38"/>
      <c r="N22" s="38"/>
      <c r="O22" s="38">
        <f t="shared" si="4"/>
        <v>0</v>
      </c>
    </row>
    <row r="25" spans="1:15" ht="40.049999999999997" customHeight="1">
      <c r="A25" s="27" t="s">
        <v>185</v>
      </c>
      <c r="B25" s="27" t="s">
        <v>186</v>
      </c>
      <c r="C25" s="27" t="s">
        <v>187</v>
      </c>
      <c r="D25" s="27" t="s">
        <v>188</v>
      </c>
      <c r="E25" s="27" t="s">
        <v>189</v>
      </c>
      <c r="F25" s="27" t="s">
        <v>190</v>
      </c>
    </row>
    <row r="26" spans="1:15" ht="31.95" customHeight="1">
      <c r="A26" s="28" t="s">
        <v>191</v>
      </c>
      <c r="B26" s="29">
        <f>SUMIFS(월별계산!$K$6:$K$100,월별계산!$C$6:$C$100,A26,월별계산!$B$6:$B$100,"&gt;="&amp;DATE(2027,7,1),월별계산!$B$6:$B$100,"&lt;"&amp;DATE(2027,10,1))</f>
        <v>336300000</v>
      </c>
      <c r="C26" s="29">
        <f>SUMIFS(월별계산!$M$6:$M$100,월별계산!$C$6:$C$100,A26,월별계산!$B$6:$B$100,"&gt;="&amp;DATE(2027,7,1),월별계산!$B$6:$B$100,"&lt;"&amp;DATE(2027,10,1))</f>
        <v>0</v>
      </c>
      <c r="D26" s="29">
        <f>-SUMIFS(월별계산!$P$6:$P$100,월별계산!$C$6:$C$100,A26,월별계산!$B$6:$B$100,"&gt;="&amp;DATE(2027,7,1),월별계산!$B$6:$B$100,"&lt;"&amp;DATE(2027,10,1))</f>
        <v>-1345200</v>
      </c>
      <c r="E26" s="29">
        <f>SUMIFS(월별계산!$Q$6:$Q$100,월별계산!$C$6:$C$100,A26,월별계산!$B$6:$B$100,"&gt;="&amp;DATE(2027,7,1),월별계산!$B$6:$B$100,"&lt;"&amp;DATE(2027,10,1))</f>
        <v>334954800</v>
      </c>
      <c r="F26" s="28" t="s">
        <v>192</v>
      </c>
    </row>
    <row r="27" spans="1:15" ht="31.95" customHeight="1">
      <c r="A27" s="28" t="s">
        <v>193</v>
      </c>
      <c r="B27" s="29">
        <f>SUMIFS(월별계산!$K$6:$K$100,월별계산!$C$6:$C$100,A27,월별계산!$B$6:$B$100,"&gt;="&amp;DATE(2027,7,1),월별계산!$B$6:$B$100,"&lt;"&amp;DATE(2027,10,1))</f>
        <v>560500000</v>
      </c>
      <c r="C27" s="29">
        <f>SUMIFS(월별계산!$M$6:$M$100,월별계산!$C$6:$C$100,A27,월별계산!$B$6:$B$100,"&gt;="&amp;DATE(2027,7,1),월별계산!$B$6:$B$100,"&lt;"&amp;DATE(2027,10,1))</f>
        <v>-14000000</v>
      </c>
      <c r="D27" s="29">
        <f>-SUMIFS(월별계산!$P$6:$P$100,월별계산!$C$6:$C$100,A27,월별계산!$B$6:$B$100,"&gt;="&amp;DATE(2027,7,1),월별계산!$B$6:$B$100,"&lt;"&amp;DATE(2027,10,1))</f>
        <v>-3279000</v>
      </c>
      <c r="E27" s="29">
        <f>SUMIFS(월별계산!$Q$6:$Q$100,월별계산!$C$6:$C$100,A27,월별계산!$B$6:$B$100,"&gt;="&amp;DATE(2027,7,1),월별계산!$B$6:$B$100,"&lt;"&amp;DATE(2027,10,1))</f>
        <v>543221000</v>
      </c>
      <c r="F27" s="28" t="s">
        <v>192</v>
      </c>
    </row>
    <row r="28" spans="1:15" ht="31.95" customHeight="1">
      <c r="A28" s="28" t="s">
        <v>194</v>
      </c>
      <c r="B28" s="29">
        <f>SUMIFS(월별계산!$K$6:$K$100,월별계산!$C$6:$C$100,A28,월별계산!$B$6:$B$100,"&gt;="&amp;DATE(2027,7,1),월별계산!$B$6:$B$100,"&lt;"&amp;DATE(2027,10,1))</f>
        <v>490644000</v>
      </c>
      <c r="C28" s="29">
        <f>SUMIFS(월별계산!$M$6:$M$100,월별계산!$C$6:$C$100,A28,월별계산!$B$6:$B$100,"&gt;="&amp;DATE(2027,7,1),월별계산!$B$6:$B$100,"&lt;"&amp;DATE(2027,10,1))</f>
        <v>0</v>
      </c>
      <c r="D28" s="29">
        <f>-SUMIFS(월별계산!$P$6:$P$100,월별계산!$C$6:$C$100,A28,월별계산!$B$6:$B$100,"&gt;="&amp;DATE(2027,7,1),월별계산!$B$6:$B$100,"&lt;"&amp;DATE(2027,10,1))</f>
        <v>0</v>
      </c>
      <c r="E28" s="29">
        <f>SUMIFS(월별계산!$Q$6:$Q$100,월별계산!$C$6:$C$100,A28,월별계산!$B$6:$B$100,"&gt;="&amp;DATE(2027,7,1),월별계산!$B$6:$B$100,"&lt;"&amp;DATE(2027,10,1))</f>
        <v>490644000</v>
      </c>
      <c r="F28" s="28" t="s">
        <v>192</v>
      </c>
    </row>
    <row r="29" spans="1:15" ht="31.95" customHeight="1">
      <c r="A29" s="28" t="s">
        <v>195</v>
      </c>
      <c r="B29" s="29">
        <f>SUMIFS(월별계산!$K$6:$K$100,월별계산!$C$6:$C$100,A29,월별계산!$B$6:$B$100,"&gt;="&amp;DATE(2027,7,1),월별계산!$B$6:$B$100,"&lt;"&amp;DATE(2027,10,1))</f>
        <v>372450000</v>
      </c>
      <c r="C29" s="29">
        <f>SUMIFS(월별계산!$M$6:$M$100,월별계산!$C$6:$C$100,A29,월별계산!$B$6:$B$100,"&gt;="&amp;DATE(2027,7,1),월별계산!$B$6:$B$100,"&lt;"&amp;DATE(2027,10,1))</f>
        <v>0</v>
      </c>
      <c r="D29" s="29">
        <f>-SUMIFS(월별계산!$P$6:$P$100,월별계산!$C$6:$C$100,A29,월별계산!$B$6:$B$100,"&gt;="&amp;DATE(2027,7,1),월별계산!$B$6:$B$100,"&lt;"&amp;DATE(2027,10,1))</f>
        <v>0</v>
      </c>
      <c r="E29" s="29">
        <f>SUMIFS(월별계산!$Q$6:$Q$100,월별계산!$C$6:$C$100,A29,월별계산!$B$6:$B$100,"&gt;="&amp;DATE(2027,7,1),월별계산!$B$6:$B$100,"&lt;"&amp;DATE(2027,10,1))</f>
        <v>372450000</v>
      </c>
      <c r="F29" s="28" t="s">
        <v>192</v>
      </c>
    </row>
    <row r="30" spans="1:15" ht="31.95" customHeight="1">
      <c r="A30" s="28" t="s">
        <v>196</v>
      </c>
      <c r="B30" s="29">
        <f>SUMIFS(월별계산!$K$6:$K$100,월별계산!$C$6:$C$100,A30,월별계산!$B$6:$B$100,"&gt;="&amp;DATE(2027,7,1),월별계산!$B$6:$B$100,"&lt;"&amp;DATE(2027,10,1))</f>
        <v>157698000</v>
      </c>
      <c r="C30" s="29">
        <f>SUMIFS(월별계산!$M$6:$M$100,월별계산!$C$6:$C$100,A30,월별계산!$B$6:$B$100,"&gt;="&amp;DATE(2027,7,1),월별계산!$B$6:$B$100,"&lt;"&amp;DATE(2027,10,1))</f>
        <v>0</v>
      </c>
      <c r="D30" s="29">
        <f>-SUMIFS(월별계산!$P$6:$P$100,월별계산!$C$6:$C$100,A30,월별계산!$B$6:$B$100,"&gt;="&amp;DATE(2027,7,1),월별계산!$B$6:$B$100,"&lt;"&amp;DATE(2027,10,1))</f>
        <v>0</v>
      </c>
      <c r="E30" s="29">
        <f>SUMIFS(월별계산!$Q$6:$Q$100,월별계산!$C$6:$C$100,A30,월별계산!$B$6:$B$100,"&gt;="&amp;DATE(2027,7,1),월별계산!$B$6:$B$100,"&lt;"&amp;DATE(2027,10,1))</f>
        <v>157698000</v>
      </c>
      <c r="F30" s="28" t="s">
        <v>192</v>
      </c>
    </row>
  </sheetData>
  <mergeCells count="2">
    <mergeCell ref="A1:O2"/>
    <mergeCell ref="A3:O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"/>
  <sheetViews>
    <sheetView showGridLines="0" workbookViewId="0">
      <pane xSplit="1" ySplit="5" topLeftCell="O6" activePane="bottomRight" state="frozen"/>
      <selection pane="topRight"/>
      <selection pane="bottomLeft"/>
      <selection pane="bottomRight" activeCell="B4" sqref="A1:B1048576"/>
    </sheetView>
  </sheetViews>
  <sheetFormatPr defaultRowHeight="13.8"/>
  <cols>
    <col min="1" max="2" width="20.59765625" customWidth="1"/>
    <col min="3" max="3" width="13" customWidth="1"/>
    <col min="4" max="5" width="15" customWidth="1"/>
    <col min="6" max="8" width="17" customWidth="1"/>
    <col min="9" max="9" width="14" customWidth="1"/>
    <col min="10" max="10" width="17" customWidth="1"/>
    <col min="11" max="12" width="20" customWidth="1"/>
    <col min="13" max="13" width="19" customWidth="1"/>
    <col min="14" max="14" width="14" customWidth="1"/>
    <col min="15" max="15" width="16" customWidth="1"/>
    <col min="16" max="16" width="23" customWidth="1"/>
    <col min="17" max="19" width="22" customWidth="1"/>
    <col min="20" max="20" width="23" customWidth="1"/>
    <col min="21" max="21" width="15" customWidth="1"/>
  </cols>
  <sheetData>
    <row r="1" spans="1:21" ht="30" customHeight="1">
      <c r="A1" s="32" t="s">
        <v>197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1" ht="43.95" customHeight="1">
      <c r="A3" s="33" t="s">
        <v>198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42" customHeight="1">
      <c r="A5" s="2" t="s">
        <v>199</v>
      </c>
      <c r="B5" s="2" t="s">
        <v>200</v>
      </c>
      <c r="C5" s="2" t="s">
        <v>201</v>
      </c>
      <c r="D5" s="2" t="s">
        <v>202</v>
      </c>
      <c r="E5" s="2" t="s">
        <v>203</v>
      </c>
      <c r="F5" s="2" t="s">
        <v>204</v>
      </c>
      <c r="G5" s="2" t="s">
        <v>205</v>
      </c>
      <c r="H5" s="2" t="s">
        <v>206</v>
      </c>
      <c r="I5" s="2" t="s">
        <v>207</v>
      </c>
      <c r="J5" s="2" t="s">
        <v>208</v>
      </c>
      <c r="K5" s="2" t="s">
        <v>209</v>
      </c>
      <c r="L5" s="2" t="s">
        <v>210</v>
      </c>
      <c r="M5" s="2" t="s">
        <v>211</v>
      </c>
      <c r="N5" s="2" t="s">
        <v>212</v>
      </c>
      <c r="O5" s="2" t="s">
        <v>213</v>
      </c>
      <c r="P5" s="2" t="s">
        <v>214</v>
      </c>
      <c r="Q5" s="2" t="s">
        <v>215</v>
      </c>
      <c r="R5" s="2" t="s">
        <v>216</v>
      </c>
      <c r="S5" s="2" t="s">
        <v>152</v>
      </c>
      <c r="T5" s="2" t="s">
        <v>217</v>
      </c>
      <c r="U5" s="2" t="s">
        <v>218</v>
      </c>
    </row>
    <row r="6" spans="1:21" ht="30" customHeight="1">
      <c r="A6" s="10" t="str">
        <f>물량원가기준!A6</f>
        <v>2027-01|A-a</v>
      </c>
      <c r="B6" s="21">
        <f>물량원가기준!B6</f>
        <v>46388</v>
      </c>
      <c r="C6" s="10" t="str">
        <f>물량원가기준!C6</f>
        <v>A-a</v>
      </c>
      <c r="D6" s="17">
        <f>물량원가기준!E6</f>
        <v>4080</v>
      </c>
      <c r="E6" s="17">
        <f>물량원가기준!F6</f>
        <v>4080</v>
      </c>
      <c r="F6" s="17">
        <f>물량원가기준!G6</f>
        <v>300000</v>
      </c>
      <c r="G6" s="17">
        <f>SUM(물량원가기준!H6:J6)</f>
        <v>270000</v>
      </c>
      <c r="H6" s="15">
        <f t="shared" ref="H6:H37" si="0">F6-G6</f>
        <v>30000</v>
      </c>
      <c r="I6" s="17">
        <f>부품모델매핑!D6</f>
        <v>1</v>
      </c>
      <c r="J6" s="17">
        <f>IF(ISNUMBER(물량원가기준!F6),E6*I6,"미산출")</f>
        <v>4080</v>
      </c>
      <c r="K6" s="15">
        <f t="shared" ref="K6:K37" si="1">D6*H6</f>
        <v>122400000</v>
      </c>
      <c r="L6" s="15">
        <f t="shared" ref="L6:L37" si="2">E6*H6</f>
        <v>122400000</v>
      </c>
      <c r="M6" s="15">
        <f t="shared" ref="M6:M37" si="3">L6-K6</f>
        <v>0</v>
      </c>
      <c r="N6" s="17">
        <f>IF(AND(B6&gt;=설정!$B$6,B6&lt;설정!$B$23),1,0)</f>
        <v>0</v>
      </c>
      <c r="O6" s="17">
        <f>IF(AND(B6&gt;=설정!$B$6,B6&lt;설정!$B$24),1,0)</f>
        <v>0</v>
      </c>
      <c r="P6" s="17">
        <f>IF(B6&gt;=설정!$B$6,J6*(설정!$B$18-설정!$B$13),0)</f>
        <v>0</v>
      </c>
      <c r="Q6" s="15">
        <f t="shared" ref="Q6:Q37" si="4">L6-P6</f>
        <v>122400000</v>
      </c>
      <c r="R6" s="17">
        <f>IF(물량원가기준!D6="","",물량원가기준!D6*H6)</f>
        <v>122400000</v>
      </c>
      <c r="S6" s="15">
        <f t="shared" ref="S6:S37" si="5">E6*F6</f>
        <v>1224000000</v>
      </c>
      <c r="T6" s="17">
        <f>물량원가기준!I6+IF(B6&gt;=설정!$B$6,I6*(설정!$B$18-설정!$B$13),0)</f>
        <v>75000</v>
      </c>
      <c r="U6" s="17">
        <f>IF(OR(COUNT(물량원가기준!E6:J6)&lt;&gt;6,COUNTIFS(물량원가기준!$A$6:$A$100,A6)&lt;&gt;1),0,1)</f>
        <v>1</v>
      </c>
    </row>
    <row r="7" spans="1:21" ht="30" customHeight="1">
      <c r="A7" s="9" t="str">
        <f>물량원가기준!A7</f>
        <v>2027-01|A-b</v>
      </c>
      <c r="B7" s="22">
        <f>물량원가기준!B7</f>
        <v>46388</v>
      </c>
      <c r="C7" s="9" t="str">
        <f>물량원가기준!C7</f>
        <v>A-b</v>
      </c>
      <c r="D7" s="18">
        <f>물량원가기준!E7</f>
        <v>10200</v>
      </c>
      <c r="E7" s="18">
        <f>물량원가기준!F7</f>
        <v>10200</v>
      </c>
      <c r="F7" s="18">
        <f>물량원가기준!G7</f>
        <v>180000</v>
      </c>
      <c r="G7" s="18">
        <f>SUM(물량원가기준!H7:J7)</f>
        <v>160000</v>
      </c>
      <c r="H7" s="16">
        <f t="shared" si="0"/>
        <v>20000</v>
      </c>
      <c r="I7" s="18">
        <f>부품모델매핑!D7</f>
        <v>1</v>
      </c>
      <c r="J7" s="18">
        <f>IF(ISNUMBER(물량원가기준!F7),E7*I7,"미산출")</f>
        <v>10200</v>
      </c>
      <c r="K7" s="16">
        <f t="shared" si="1"/>
        <v>204000000</v>
      </c>
      <c r="L7" s="16">
        <f t="shared" si="2"/>
        <v>204000000</v>
      </c>
      <c r="M7" s="16">
        <f t="shared" si="3"/>
        <v>0</v>
      </c>
      <c r="N7" s="18">
        <f>IF(AND(B7&gt;=설정!$B$6,B7&lt;설정!$B$23),1,0)</f>
        <v>0</v>
      </c>
      <c r="O7" s="18">
        <f>IF(AND(B7&gt;=설정!$B$6,B7&lt;설정!$B$24),1,0)</f>
        <v>0</v>
      </c>
      <c r="P7" s="18">
        <f>IF(B7&gt;=설정!$B$6,J7*(설정!$B$18-설정!$B$13),0)</f>
        <v>0</v>
      </c>
      <c r="Q7" s="16">
        <f t="shared" si="4"/>
        <v>204000000</v>
      </c>
      <c r="R7" s="18">
        <f>IF(물량원가기준!D7="","",물량원가기준!D7*H7)</f>
        <v>204000000</v>
      </c>
      <c r="S7" s="16">
        <f t="shared" si="5"/>
        <v>1836000000</v>
      </c>
      <c r="T7" s="18">
        <f>물량원가기준!I7+IF(B7&gt;=설정!$B$6,I7*(설정!$B$18-설정!$B$13),0)</f>
        <v>95000</v>
      </c>
      <c r="U7" s="18">
        <f>IF(OR(COUNT(물량원가기준!E7:J7)&lt;&gt;6,COUNTIFS(물량원가기준!$A$6:$A$100,A7)&lt;&gt;1),0,1)</f>
        <v>1</v>
      </c>
    </row>
    <row r="8" spans="1:21" ht="30" customHeight="1">
      <c r="A8" s="10" t="str">
        <f>물량원가기준!A8</f>
        <v>2027-01|A-c</v>
      </c>
      <c r="B8" s="21">
        <f>물량원가기준!B8</f>
        <v>46388</v>
      </c>
      <c r="C8" s="10" t="str">
        <f>물량원가기준!C8</f>
        <v>A-c</v>
      </c>
      <c r="D8" s="17">
        <f>물량원가기준!E8</f>
        <v>6059</v>
      </c>
      <c r="E8" s="17">
        <f>물량원가기준!F8</f>
        <v>6059</v>
      </c>
      <c r="F8" s="17">
        <f>물량원가기준!G8</f>
        <v>230000</v>
      </c>
      <c r="G8" s="17">
        <f>SUM(물량원가기준!H8:J8)</f>
        <v>202000</v>
      </c>
      <c r="H8" s="15">
        <f t="shared" si="0"/>
        <v>28000</v>
      </c>
      <c r="I8" s="17">
        <f>부품모델매핑!D8</f>
        <v>0</v>
      </c>
      <c r="J8" s="17">
        <f>IF(ISNUMBER(물량원가기준!F8),E8*I8,"미산출")</f>
        <v>0</v>
      </c>
      <c r="K8" s="15">
        <f t="shared" si="1"/>
        <v>169652000</v>
      </c>
      <c r="L8" s="15">
        <f t="shared" si="2"/>
        <v>169652000</v>
      </c>
      <c r="M8" s="15">
        <f t="shared" si="3"/>
        <v>0</v>
      </c>
      <c r="N8" s="17">
        <f>IF(AND(B8&gt;=설정!$B$6,B8&lt;설정!$B$23),1,0)</f>
        <v>0</v>
      </c>
      <c r="O8" s="17">
        <f>IF(AND(B8&gt;=설정!$B$6,B8&lt;설정!$B$24),1,0)</f>
        <v>0</v>
      </c>
      <c r="P8" s="17">
        <f>IF(B8&gt;=설정!$B$6,J8*(설정!$B$18-설정!$B$13),0)</f>
        <v>0</v>
      </c>
      <c r="Q8" s="15">
        <f t="shared" si="4"/>
        <v>169652000</v>
      </c>
      <c r="R8" s="17">
        <f>IF(물량원가기준!D8="","",물량원가기준!D8*H8)</f>
        <v>171360000</v>
      </c>
      <c r="S8" s="15">
        <f t="shared" si="5"/>
        <v>1393570000</v>
      </c>
      <c r="T8" s="17">
        <f>물량원가기준!I8+IF(B8&gt;=설정!$B$6,I8*(설정!$B$18-설정!$B$13),0)</f>
        <v>60000</v>
      </c>
      <c r="U8" s="17">
        <f>IF(OR(COUNT(물량원가기준!E8:J8)&lt;&gt;6,COUNTIFS(물량원가기준!$A$6:$A$100,A8)&lt;&gt;1),0,1)</f>
        <v>1</v>
      </c>
    </row>
    <row r="9" spans="1:21" ht="30" customHeight="1">
      <c r="A9" s="9" t="str">
        <f>물량원가기준!A9</f>
        <v>2027-01|A-d</v>
      </c>
      <c r="B9" s="22">
        <f>물량원가기준!B9</f>
        <v>46388</v>
      </c>
      <c r="C9" s="9" t="str">
        <f>물량원가기준!C9</f>
        <v>A-d</v>
      </c>
      <c r="D9" s="18">
        <f>물량원가기준!E9</f>
        <v>5151</v>
      </c>
      <c r="E9" s="18">
        <f>물량원가기준!F9</f>
        <v>5151</v>
      </c>
      <c r="F9" s="18">
        <f>물량원가기준!G9</f>
        <v>210000</v>
      </c>
      <c r="G9" s="18">
        <f>SUM(물량원가기준!H9:J9)</f>
        <v>185000</v>
      </c>
      <c r="H9" s="16">
        <f t="shared" si="0"/>
        <v>25000</v>
      </c>
      <c r="I9" s="18">
        <f>부품모델매핑!D9</f>
        <v>0</v>
      </c>
      <c r="J9" s="18">
        <f>IF(ISNUMBER(물량원가기준!F9),E9*I9,"미산출")</f>
        <v>0</v>
      </c>
      <c r="K9" s="16">
        <f t="shared" si="1"/>
        <v>128775000</v>
      </c>
      <c r="L9" s="16">
        <f t="shared" si="2"/>
        <v>128775000</v>
      </c>
      <c r="M9" s="16">
        <f t="shared" si="3"/>
        <v>0</v>
      </c>
      <c r="N9" s="18">
        <f>IF(AND(B9&gt;=설정!$B$6,B9&lt;설정!$B$23),1,0)</f>
        <v>0</v>
      </c>
      <c r="O9" s="18">
        <f>IF(AND(B9&gt;=설정!$B$6,B9&lt;설정!$B$24),1,0)</f>
        <v>0</v>
      </c>
      <c r="P9" s="18">
        <f>IF(B9&gt;=설정!$B$6,J9*(설정!$B$18-설정!$B$13),0)</f>
        <v>0</v>
      </c>
      <c r="Q9" s="16">
        <f t="shared" si="4"/>
        <v>128775000</v>
      </c>
      <c r="R9" s="18">
        <f>IF(물량원가기준!D9="","",물량원가기준!D9*H9)</f>
        <v>127500000</v>
      </c>
      <c r="S9" s="16">
        <f t="shared" si="5"/>
        <v>1081710000</v>
      </c>
      <c r="T9" s="18">
        <f>물량원가기준!I9+IF(B9&gt;=설정!$B$6,I9*(설정!$B$18-설정!$B$13),0)</f>
        <v>65000</v>
      </c>
      <c r="U9" s="18">
        <f>IF(OR(COUNT(물량원가기준!E9:J9)&lt;&gt;6,COUNTIFS(물량원가기준!$A$6:$A$100,A9)&lt;&gt;1),0,1)</f>
        <v>1</v>
      </c>
    </row>
    <row r="10" spans="1:21" ht="30" customHeight="1">
      <c r="A10" s="10" t="str">
        <f>물량원가기준!A10</f>
        <v>2027-01|A-e</v>
      </c>
      <c r="B10" s="21">
        <f>물량원가기준!B10</f>
        <v>46388</v>
      </c>
      <c r="C10" s="10" t="str">
        <f>물량원가기준!C10</f>
        <v>A-e</v>
      </c>
      <c r="D10" s="17">
        <f>물량원가기준!E10</f>
        <v>3029</v>
      </c>
      <c r="E10" s="17">
        <f>물량원가기준!F10</f>
        <v>3029</v>
      </c>
      <c r="F10" s="17">
        <f>물량원가기준!G10</f>
        <v>150000</v>
      </c>
      <c r="G10" s="17">
        <f>SUM(물량원가기준!H10:J10)</f>
        <v>132000</v>
      </c>
      <c r="H10" s="15">
        <f t="shared" si="0"/>
        <v>18000</v>
      </c>
      <c r="I10" s="17">
        <f>부품모델매핑!D10</f>
        <v>0</v>
      </c>
      <c r="J10" s="17">
        <f>IF(ISNUMBER(물량원가기준!F10),E10*I10,"미산출")</f>
        <v>0</v>
      </c>
      <c r="K10" s="15">
        <f t="shared" si="1"/>
        <v>54522000</v>
      </c>
      <c r="L10" s="15">
        <f t="shared" si="2"/>
        <v>54522000</v>
      </c>
      <c r="M10" s="15">
        <f t="shared" si="3"/>
        <v>0</v>
      </c>
      <c r="N10" s="17">
        <f>IF(AND(B10&gt;=설정!$B$6,B10&lt;설정!$B$23),1,0)</f>
        <v>0</v>
      </c>
      <c r="O10" s="17">
        <f>IF(AND(B10&gt;=설정!$B$6,B10&lt;설정!$B$24),1,0)</f>
        <v>0</v>
      </c>
      <c r="P10" s="17">
        <f>IF(B10&gt;=설정!$B$6,J10*(설정!$B$18-설정!$B$13),0)</f>
        <v>0</v>
      </c>
      <c r="Q10" s="15">
        <f t="shared" si="4"/>
        <v>54522000</v>
      </c>
      <c r="R10" s="17">
        <f>IF(물량원가기준!D10="","",물량원가기준!D10*H10)</f>
        <v>55080000</v>
      </c>
      <c r="S10" s="15">
        <f t="shared" si="5"/>
        <v>454350000</v>
      </c>
      <c r="T10" s="17">
        <f>물량원가기준!I10+IF(B10&gt;=설정!$B$6,I10*(설정!$B$18-설정!$B$13),0)</f>
        <v>50000</v>
      </c>
      <c r="U10" s="17">
        <f>IF(OR(COUNT(물량원가기준!E10:J10)&lt;&gt;6,COUNTIFS(물량원가기준!$A$6:$A$100,A10)&lt;&gt;1),0,1)</f>
        <v>1</v>
      </c>
    </row>
    <row r="11" spans="1:21" ht="30" customHeight="1">
      <c r="A11" s="9" t="str">
        <f>물량원가기준!A11</f>
        <v>2027-02|A-a</v>
      </c>
      <c r="B11" s="22">
        <f>물량원가기준!B11</f>
        <v>46419</v>
      </c>
      <c r="C11" s="9" t="str">
        <f>물량원가기준!C11</f>
        <v>A-a</v>
      </c>
      <c r="D11" s="18">
        <f>물량원가기준!E11</f>
        <v>3564</v>
      </c>
      <c r="E11" s="18">
        <f>물량원가기준!F11</f>
        <v>3564</v>
      </c>
      <c r="F11" s="18">
        <f>물량원가기준!G11</f>
        <v>300000</v>
      </c>
      <c r="G11" s="18">
        <f>SUM(물량원가기준!H11:J11)</f>
        <v>270000</v>
      </c>
      <c r="H11" s="16">
        <f t="shared" si="0"/>
        <v>30000</v>
      </c>
      <c r="I11" s="18">
        <f>부품모델매핑!D6</f>
        <v>1</v>
      </c>
      <c r="J11" s="18">
        <f>IF(ISNUMBER(물량원가기준!F11),E11*I11,"미산출")</f>
        <v>3564</v>
      </c>
      <c r="K11" s="16">
        <f t="shared" si="1"/>
        <v>106920000</v>
      </c>
      <c r="L11" s="16">
        <f t="shared" si="2"/>
        <v>106920000</v>
      </c>
      <c r="M11" s="16">
        <f t="shared" si="3"/>
        <v>0</v>
      </c>
      <c r="N11" s="18">
        <f>IF(AND(B11&gt;=설정!$B$6,B11&lt;설정!$B$23),1,0)</f>
        <v>0</v>
      </c>
      <c r="O11" s="18">
        <f>IF(AND(B11&gt;=설정!$B$6,B11&lt;설정!$B$24),1,0)</f>
        <v>0</v>
      </c>
      <c r="P11" s="18">
        <f>IF(B11&gt;=설정!$B$6,J11*(설정!$B$18-설정!$B$13),0)</f>
        <v>0</v>
      </c>
      <c r="Q11" s="16">
        <f t="shared" si="4"/>
        <v>106920000</v>
      </c>
      <c r="R11" s="18">
        <f>IF(물량원가기준!D11="","",물량원가기준!D11*H11)</f>
        <v>108000000</v>
      </c>
      <c r="S11" s="16">
        <f t="shared" si="5"/>
        <v>1069200000</v>
      </c>
      <c r="T11" s="18">
        <f>물량원가기준!I11+IF(B11&gt;=설정!$B$6,I11*(설정!$B$18-설정!$B$13),0)</f>
        <v>75000</v>
      </c>
      <c r="U11" s="18">
        <f>IF(OR(COUNT(물량원가기준!E11:J11)&lt;&gt;6,COUNTIFS(물량원가기준!$A$6:$A$100,A11)&lt;&gt;1),0,1)</f>
        <v>1</v>
      </c>
    </row>
    <row r="12" spans="1:21" ht="30" customHeight="1">
      <c r="A12" s="10" t="str">
        <f>물량원가기준!A12</f>
        <v>2027-02|A-b</v>
      </c>
      <c r="B12" s="21">
        <f>물량원가기준!B12</f>
        <v>46419</v>
      </c>
      <c r="C12" s="10" t="str">
        <f>물량원가기준!C12</f>
        <v>A-b</v>
      </c>
      <c r="D12" s="17">
        <f>물량원가기준!E12</f>
        <v>8910</v>
      </c>
      <c r="E12" s="17">
        <f>물량원가기준!F12</f>
        <v>8910</v>
      </c>
      <c r="F12" s="17">
        <f>물량원가기준!G12</f>
        <v>180000</v>
      </c>
      <c r="G12" s="17">
        <f>SUM(물량원가기준!H12:J12)</f>
        <v>160000</v>
      </c>
      <c r="H12" s="15">
        <f t="shared" si="0"/>
        <v>20000</v>
      </c>
      <c r="I12" s="17">
        <f>부품모델매핑!D7</f>
        <v>1</v>
      </c>
      <c r="J12" s="17">
        <f>IF(ISNUMBER(물량원가기준!F12),E12*I12,"미산출")</f>
        <v>8910</v>
      </c>
      <c r="K12" s="15">
        <f t="shared" si="1"/>
        <v>178200000</v>
      </c>
      <c r="L12" s="15">
        <f t="shared" si="2"/>
        <v>178200000</v>
      </c>
      <c r="M12" s="15">
        <f t="shared" si="3"/>
        <v>0</v>
      </c>
      <c r="N12" s="17">
        <f>IF(AND(B12&gt;=설정!$B$6,B12&lt;설정!$B$23),1,0)</f>
        <v>0</v>
      </c>
      <c r="O12" s="17">
        <f>IF(AND(B12&gt;=설정!$B$6,B12&lt;설정!$B$24),1,0)</f>
        <v>0</v>
      </c>
      <c r="P12" s="17">
        <f>IF(B12&gt;=설정!$B$6,J12*(설정!$B$18-설정!$B$13),0)</f>
        <v>0</v>
      </c>
      <c r="Q12" s="15">
        <f t="shared" si="4"/>
        <v>178200000</v>
      </c>
      <c r="R12" s="17">
        <f>IF(물량원가기준!D12="","",물량원가기준!D12*H12)</f>
        <v>180000000</v>
      </c>
      <c r="S12" s="15">
        <f t="shared" si="5"/>
        <v>1603800000</v>
      </c>
      <c r="T12" s="17">
        <f>물량원가기준!I12+IF(B12&gt;=설정!$B$6,I12*(설정!$B$18-설정!$B$13),0)</f>
        <v>95000</v>
      </c>
      <c r="U12" s="17">
        <f>IF(OR(COUNT(물량원가기준!E12:J12)&lt;&gt;6,COUNTIFS(물량원가기준!$A$6:$A$100,A12)&lt;&gt;1),0,1)</f>
        <v>1</v>
      </c>
    </row>
    <row r="13" spans="1:21" ht="30" customHeight="1">
      <c r="A13" s="9" t="str">
        <f>물량원가기준!A13</f>
        <v>2027-02|A-c</v>
      </c>
      <c r="B13" s="22">
        <f>물량원가기준!B13</f>
        <v>46419</v>
      </c>
      <c r="C13" s="9" t="str">
        <f>물량원가기준!C13</f>
        <v>A-c</v>
      </c>
      <c r="D13" s="18">
        <f>물량원가기준!E13</f>
        <v>5346</v>
      </c>
      <c r="E13" s="18">
        <f>물량원가기준!F13</f>
        <v>5346</v>
      </c>
      <c r="F13" s="18">
        <f>물량원가기준!G13</f>
        <v>230000</v>
      </c>
      <c r="G13" s="18">
        <f>SUM(물량원가기준!H13:J13)</f>
        <v>202000</v>
      </c>
      <c r="H13" s="16">
        <f t="shared" si="0"/>
        <v>28000</v>
      </c>
      <c r="I13" s="18">
        <f>부품모델매핑!D8</f>
        <v>0</v>
      </c>
      <c r="J13" s="18">
        <f>IF(ISNUMBER(물량원가기준!F13),E13*I13,"미산출")</f>
        <v>0</v>
      </c>
      <c r="K13" s="16">
        <f t="shared" si="1"/>
        <v>149688000</v>
      </c>
      <c r="L13" s="16">
        <f t="shared" si="2"/>
        <v>149688000</v>
      </c>
      <c r="M13" s="16">
        <f t="shared" si="3"/>
        <v>0</v>
      </c>
      <c r="N13" s="18">
        <f>IF(AND(B13&gt;=설정!$B$6,B13&lt;설정!$B$23),1,0)</f>
        <v>0</v>
      </c>
      <c r="O13" s="18">
        <f>IF(AND(B13&gt;=설정!$B$6,B13&lt;설정!$B$24),1,0)</f>
        <v>0</v>
      </c>
      <c r="P13" s="18">
        <f>IF(B13&gt;=설정!$B$6,J13*(설정!$B$18-설정!$B$13),0)</f>
        <v>0</v>
      </c>
      <c r="Q13" s="16">
        <f t="shared" si="4"/>
        <v>149688000</v>
      </c>
      <c r="R13" s="18">
        <f>IF(물량원가기준!D13="","",물량원가기준!D13*H13)</f>
        <v>151200000</v>
      </c>
      <c r="S13" s="16">
        <f t="shared" si="5"/>
        <v>1229580000</v>
      </c>
      <c r="T13" s="18">
        <f>물량원가기준!I13+IF(B13&gt;=설정!$B$6,I13*(설정!$B$18-설정!$B$13),0)</f>
        <v>60000</v>
      </c>
      <c r="U13" s="18">
        <f>IF(OR(COUNT(물량원가기준!E13:J13)&lt;&gt;6,COUNTIFS(물량원가기준!$A$6:$A$100,A13)&lt;&gt;1),0,1)</f>
        <v>1</v>
      </c>
    </row>
    <row r="14" spans="1:21" ht="30" customHeight="1">
      <c r="A14" s="10" t="str">
        <f>물량원가기준!A14</f>
        <v>2027-02|A-d</v>
      </c>
      <c r="B14" s="21">
        <f>물량원가기준!B14</f>
        <v>46419</v>
      </c>
      <c r="C14" s="10" t="str">
        <f>물량원가기준!C14</f>
        <v>A-d</v>
      </c>
      <c r="D14" s="17">
        <f>물량원가기준!E14</f>
        <v>4545</v>
      </c>
      <c r="E14" s="17">
        <f>물량원가기준!F14</f>
        <v>4545</v>
      </c>
      <c r="F14" s="17">
        <f>물량원가기준!G14</f>
        <v>210000</v>
      </c>
      <c r="G14" s="17">
        <f>SUM(물량원가기준!H14:J14)</f>
        <v>185000</v>
      </c>
      <c r="H14" s="15">
        <f t="shared" si="0"/>
        <v>25000</v>
      </c>
      <c r="I14" s="17">
        <f>부품모델매핑!D9</f>
        <v>0</v>
      </c>
      <c r="J14" s="17">
        <f>IF(ISNUMBER(물량원가기준!F14),E14*I14,"미산출")</f>
        <v>0</v>
      </c>
      <c r="K14" s="15">
        <f t="shared" si="1"/>
        <v>113625000</v>
      </c>
      <c r="L14" s="15">
        <f t="shared" si="2"/>
        <v>113625000</v>
      </c>
      <c r="M14" s="15">
        <f t="shared" si="3"/>
        <v>0</v>
      </c>
      <c r="N14" s="17">
        <f>IF(AND(B14&gt;=설정!$B$6,B14&lt;설정!$B$23),1,0)</f>
        <v>0</v>
      </c>
      <c r="O14" s="17">
        <f>IF(AND(B14&gt;=설정!$B$6,B14&lt;설정!$B$24),1,0)</f>
        <v>0</v>
      </c>
      <c r="P14" s="17">
        <f>IF(B14&gt;=설정!$B$6,J14*(설정!$B$18-설정!$B$13),0)</f>
        <v>0</v>
      </c>
      <c r="Q14" s="15">
        <f t="shared" si="4"/>
        <v>113625000</v>
      </c>
      <c r="R14" s="17">
        <f>IF(물량원가기준!D14="","",물량원가기준!D14*H14)</f>
        <v>112500000</v>
      </c>
      <c r="S14" s="15">
        <f t="shared" si="5"/>
        <v>954450000</v>
      </c>
      <c r="T14" s="17">
        <f>물량원가기준!I14+IF(B14&gt;=설정!$B$6,I14*(설정!$B$18-설정!$B$13),0)</f>
        <v>65000</v>
      </c>
      <c r="U14" s="17">
        <f>IF(OR(COUNT(물량원가기준!E14:J14)&lt;&gt;6,COUNTIFS(물량원가기준!$A$6:$A$100,A14)&lt;&gt;1),0,1)</f>
        <v>1</v>
      </c>
    </row>
    <row r="15" spans="1:21" ht="30" customHeight="1">
      <c r="A15" s="9" t="str">
        <f>물량원가기준!A15</f>
        <v>2027-02|A-e</v>
      </c>
      <c r="B15" s="22">
        <f>물량원가기준!B15</f>
        <v>46419</v>
      </c>
      <c r="C15" s="9" t="str">
        <f>물량원가기준!C15</f>
        <v>A-e</v>
      </c>
      <c r="D15" s="18">
        <f>물량원가기준!E15</f>
        <v>2673</v>
      </c>
      <c r="E15" s="18">
        <f>물량원가기준!F15</f>
        <v>2673</v>
      </c>
      <c r="F15" s="18">
        <f>물량원가기준!G15</f>
        <v>150000</v>
      </c>
      <c r="G15" s="18">
        <f>SUM(물량원가기준!H15:J15)</f>
        <v>132000</v>
      </c>
      <c r="H15" s="16">
        <f t="shared" si="0"/>
        <v>18000</v>
      </c>
      <c r="I15" s="18">
        <f>부품모델매핑!D10</f>
        <v>0</v>
      </c>
      <c r="J15" s="18">
        <f>IF(ISNUMBER(물량원가기준!F15),E15*I15,"미산출")</f>
        <v>0</v>
      </c>
      <c r="K15" s="16">
        <f t="shared" si="1"/>
        <v>48114000</v>
      </c>
      <c r="L15" s="16">
        <f t="shared" si="2"/>
        <v>48114000</v>
      </c>
      <c r="M15" s="16">
        <f t="shared" si="3"/>
        <v>0</v>
      </c>
      <c r="N15" s="18">
        <f>IF(AND(B15&gt;=설정!$B$6,B15&lt;설정!$B$23),1,0)</f>
        <v>0</v>
      </c>
      <c r="O15" s="18">
        <f>IF(AND(B15&gt;=설정!$B$6,B15&lt;설정!$B$24),1,0)</f>
        <v>0</v>
      </c>
      <c r="P15" s="18">
        <f>IF(B15&gt;=설정!$B$6,J15*(설정!$B$18-설정!$B$13),0)</f>
        <v>0</v>
      </c>
      <c r="Q15" s="16">
        <f t="shared" si="4"/>
        <v>48114000</v>
      </c>
      <c r="R15" s="18">
        <f>IF(물량원가기준!D15="","",물량원가기준!D15*H15)</f>
        <v>48600000</v>
      </c>
      <c r="S15" s="16">
        <f t="shared" si="5"/>
        <v>400950000</v>
      </c>
      <c r="T15" s="18">
        <f>물량원가기준!I15+IF(B15&gt;=설정!$B$6,I15*(설정!$B$18-설정!$B$13),0)</f>
        <v>50000</v>
      </c>
      <c r="U15" s="18">
        <f>IF(OR(COUNT(물량원가기준!E15:J15)&lt;&gt;6,COUNTIFS(물량원가기준!$A$6:$A$100,A15)&lt;&gt;1),0,1)</f>
        <v>1</v>
      </c>
    </row>
    <row r="16" spans="1:21" ht="30" customHeight="1">
      <c r="A16" s="10" t="str">
        <f>물량원가기준!A16</f>
        <v>2027-03|A-a</v>
      </c>
      <c r="B16" s="21">
        <f>물량원가기준!B16</f>
        <v>46447</v>
      </c>
      <c r="C16" s="10" t="str">
        <f>물량원가기준!C16</f>
        <v>A-a</v>
      </c>
      <c r="D16" s="17">
        <f>물량원가기준!E16</f>
        <v>4116</v>
      </c>
      <c r="E16" s="17">
        <f>물량원가기준!F16</f>
        <v>4116</v>
      </c>
      <c r="F16" s="17">
        <f>물량원가기준!G16</f>
        <v>300000</v>
      </c>
      <c r="G16" s="17">
        <f>SUM(물량원가기준!H16:J16)</f>
        <v>270000</v>
      </c>
      <c r="H16" s="15">
        <f t="shared" si="0"/>
        <v>30000</v>
      </c>
      <c r="I16" s="17">
        <f>부품모델매핑!D6</f>
        <v>1</v>
      </c>
      <c r="J16" s="17">
        <f>IF(ISNUMBER(물량원가기준!F16),E16*I16,"미산출")</f>
        <v>4116</v>
      </c>
      <c r="K16" s="15">
        <f t="shared" si="1"/>
        <v>123480000</v>
      </c>
      <c r="L16" s="15">
        <f t="shared" si="2"/>
        <v>123480000</v>
      </c>
      <c r="M16" s="15">
        <f t="shared" si="3"/>
        <v>0</v>
      </c>
      <c r="N16" s="17">
        <f>IF(AND(B16&gt;=설정!$B$6,B16&lt;설정!$B$23),1,0)</f>
        <v>0</v>
      </c>
      <c r="O16" s="17">
        <f>IF(AND(B16&gt;=설정!$B$6,B16&lt;설정!$B$24),1,0)</f>
        <v>0</v>
      </c>
      <c r="P16" s="17">
        <f>IF(B16&gt;=설정!$B$6,J16*(설정!$B$18-설정!$B$13),0)</f>
        <v>0</v>
      </c>
      <c r="Q16" s="15">
        <f t="shared" si="4"/>
        <v>123480000</v>
      </c>
      <c r="R16" s="17">
        <f>IF(물량원가기준!D16="","",물량원가기준!D16*H16)</f>
        <v>126000000</v>
      </c>
      <c r="S16" s="15">
        <f t="shared" si="5"/>
        <v>1234800000</v>
      </c>
      <c r="T16" s="17">
        <f>물량원가기준!I16+IF(B16&gt;=설정!$B$6,I16*(설정!$B$18-설정!$B$13),0)</f>
        <v>75000</v>
      </c>
      <c r="U16" s="17">
        <f>IF(OR(COUNT(물량원가기준!E16:J16)&lt;&gt;6,COUNTIFS(물량원가기준!$A$6:$A$100,A16)&lt;&gt;1),0,1)</f>
        <v>1</v>
      </c>
    </row>
    <row r="17" spans="1:21" ht="30" customHeight="1">
      <c r="A17" s="9" t="str">
        <f>물량원가기준!A17</f>
        <v>2027-03|A-b</v>
      </c>
      <c r="B17" s="22">
        <f>물량원가기준!B17</f>
        <v>46447</v>
      </c>
      <c r="C17" s="9" t="str">
        <f>물량원가기준!C17</f>
        <v>A-b</v>
      </c>
      <c r="D17" s="18">
        <f>물량원가기준!E17</f>
        <v>10290</v>
      </c>
      <c r="E17" s="18">
        <f>물량원가기준!F17</f>
        <v>10290</v>
      </c>
      <c r="F17" s="18">
        <f>물량원가기준!G17</f>
        <v>180000</v>
      </c>
      <c r="G17" s="18">
        <f>SUM(물량원가기준!H17:J17)</f>
        <v>160000</v>
      </c>
      <c r="H17" s="16">
        <f t="shared" si="0"/>
        <v>20000</v>
      </c>
      <c r="I17" s="18">
        <f>부품모델매핑!D7</f>
        <v>1</v>
      </c>
      <c r="J17" s="18">
        <f>IF(ISNUMBER(물량원가기준!F17),E17*I17,"미산출")</f>
        <v>10290</v>
      </c>
      <c r="K17" s="16">
        <f t="shared" si="1"/>
        <v>205800000</v>
      </c>
      <c r="L17" s="16">
        <f t="shared" si="2"/>
        <v>205800000</v>
      </c>
      <c r="M17" s="16">
        <f t="shared" si="3"/>
        <v>0</v>
      </c>
      <c r="N17" s="18">
        <f>IF(AND(B17&gt;=설정!$B$6,B17&lt;설정!$B$23),1,0)</f>
        <v>0</v>
      </c>
      <c r="O17" s="18">
        <f>IF(AND(B17&gt;=설정!$B$6,B17&lt;설정!$B$24),1,0)</f>
        <v>0</v>
      </c>
      <c r="P17" s="18">
        <f>IF(B17&gt;=설정!$B$6,J17*(설정!$B$18-설정!$B$13),0)</f>
        <v>0</v>
      </c>
      <c r="Q17" s="16">
        <f t="shared" si="4"/>
        <v>205800000</v>
      </c>
      <c r="R17" s="18">
        <f>IF(물량원가기준!D17="","",물량원가기준!D17*H17)</f>
        <v>210000000</v>
      </c>
      <c r="S17" s="16">
        <f t="shared" si="5"/>
        <v>1852200000</v>
      </c>
      <c r="T17" s="18">
        <f>물량원가기준!I17+IF(B17&gt;=설정!$B$6,I17*(설정!$B$18-설정!$B$13),0)</f>
        <v>95000</v>
      </c>
      <c r="U17" s="18">
        <f>IF(OR(COUNT(물량원가기준!E17:J17)&lt;&gt;6,COUNTIFS(물량원가기준!$A$6:$A$100,A17)&lt;&gt;1),0,1)</f>
        <v>1</v>
      </c>
    </row>
    <row r="18" spans="1:21" ht="30" customHeight="1">
      <c r="A18" s="10" t="str">
        <f>물량원가기준!A18</f>
        <v>2027-03|A-c</v>
      </c>
      <c r="B18" s="21">
        <f>물량원가기준!B18</f>
        <v>46447</v>
      </c>
      <c r="C18" s="10" t="str">
        <f>물량원가기준!C18</f>
        <v>A-c</v>
      </c>
      <c r="D18" s="17">
        <f>물량원가기준!E18</f>
        <v>6237</v>
      </c>
      <c r="E18" s="17">
        <f>물량원가기준!F18</f>
        <v>6237</v>
      </c>
      <c r="F18" s="17">
        <f>물량원가기준!G18</f>
        <v>230000</v>
      </c>
      <c r="G18" s="17">
        <f>SUM(물량원가기준!H18:J18)</f>
        <v>202000</v>
      </c>
      <c r="H18" s="15">
        <f t="shared" si="0"/>
        <v>28000</v>
      </c>
      <c r="I18" s="17">
        <f>부품모델매핑!D8</f>
        <v>0</v>
      </c>
      <c r="J18" s="17">
        <f>IF(ISNUMBER(물량원가기준!F18),E18*I18,"미산출")</f>
        <v>0</v>
      </c>
      <c r="K18" s="15">
        <f t="shared" si="1"/>
        <v>174636000</v>
      </c>
      <c r="L18" s="15">
        <f t="shared" si="2"/>
        <v>174636000</v>
      </c>
      <c r="M18" s="15">
        <f t="shared" si="3"/>
        <v>0</v>
      </c>
      <c r="N18" s="17">
        <f>IF(AND(B18&gt;=설정!$B$6,B18&lt;설정!$B$23),1,0)</f>
        <v>0</v>
      </c>
      <c r="O18" s="17">
        <f>IF(AND(B18&gt;=설정!$B$6,B18&lt;설정!$B$24),1,0)</f>
        <v>0</v>
      </c>
      <c r="P18" s="17">
        <f>IF(B18&gt;=설정!$B$6,J18*(설정!$B$18-설정!$B$13),0)</f>
        <v>0</v>
      </c>
      <c r="Q18" s="15">
        <f t="shared" si="4"/>
        <v>174636000</v>
      </c>
      <c r="R18" s="17">
        <f>IF(물량원가기준!D18="","",물량원가기준!D18*H18)</f>
        <v>176400000</v>
      </c>
      <c r="S18" s="15">
        <f t="shared" si="5"/>
        <v>1434510000</v>
      </c>
      <c r="T18" s="17">
        <f>물량원가기준!I18+IF(B18&gt;=설정!$B$6,I18*(설정!$B$18-설정!$B$13),0)</f>
        <v>60000</v>
      </c>
      <c r="U18" s="17">
        <f>IF(OR(COUNT(물량원가기준!E18:J18)&lt;&gt;6,COUNTIFS(물량원가기준!$A$6:$A$100,A18)&lt;&gt;1),0,1)</f>
        <v>1</v>
      </c>
    </row>
    <row r="19" spans="1:21" ht="30" customHeight="1">
      <c r="A19" s="9" t="str">
        <f>물량원가기준!A19</f>
        <v>2027-03|A-d</v>
      </c>
      <c r="B19" s="22">
        <f>물량원가기준!B19</f>
        <v>46447</v>
      </c>
      <c r="C19" s="9" t="str">
        <f>물량원가기준!C19</f>
        <v>A-d</v>
      </c>
      <c r="D19" s="18">
        <f>물량원가기준!E19</f>
        <v>5303</v>
      </c>
      <c r="E19" s="18">
        <f>물량원가기준!F19</f>
        <v>5303</v>
      </c>
      <c r="F19" s="18">
        <f>물량원가기준!G19</f>
        <v>210000</v>
      </c>
      <c r="G19" s="18">
        <f>SUM(물량원가기준!H19:J19)</f>
        <v>185000</v>
      </c>
      <c r="H19" s="16">
        <f t="shared" si="0"/>
        <v>25000</v>
      </c>
      <c r="I19" s="18">
        <f>부품모델매핑!D9</f>
        <v>0</v>
      </c>
      <c r="J19" s="18">
        <f>IF(ISNUMBER(물량원가기준!F19),E19*I19,"미산출")</f>
        <v>0</v>
      </c>
      <c r="K19" s="16">
        <f t="shared" si="1"/>
        <v>132575000</v>
      </c>
      <c r="L19" s="16">
        <f t="shared" si="2"/>
        <v>132575000</v>
      </c>
      <c r="M19" s="16">
        <f t="shared" si="3"/>
        <v>0</v>
      </c>
      <c r="N19" s="18">
        <f>IF(AND(B19&gt;=설정!$B$6,B19&lt;설정!$B$23),1,0)</f>
        <v>0</v>
      </c>
      <c r="O19" s="18">
        <f>IF(AND(B19&gt;=설정!$B$6,B19&lt;설정!$B$24),1,0)</f>
        <v>0</v>
      </c>
      <c r="P19" s="18">
        <f>IF(B19&gt;=설정!$B$6,J19*(설정!$B$18-설정!$B$13),0)</f>
        <v>0</v>
      </c>
      <c r="Q19" s="16">
        <f t="shared" si="4"/>
        <v>132575000</v>
      </c>
      <c r="R19" s="18">
        <f>IF(물량원가기준!D19="","",물량원가기준!D19*H19)</f>
        <v>131250000</v>
      </c>
      <c r="S19" s="16">
        <f t="shared" si="5"/>
        <v>1113630000</v>
      </c>
      <c r="T19" s="18">
        <f>물량원가기준!I19+IF(B19&gt;=설정!$B$6,I19*(설정!$B$18-설정!$B$13),0)</f>
        <v>65000</v>
      </c>
      <c r="U19" s="18">
        <f>IF(OR(COUNT(물량원가기준!E19:J19)&lt;&gt;6,COUNTIFS(물량원가기준!$A$6:$A$100,A19)&lt;&gt;1),0,1)</f>
        <v>1</v>
      </c>
    </row>
    <row r="20" spans="1:21" ht="30" customHeight="1">
      <c r="A20" s="10" t="str">
        <f>물량원가기준!A20</f>
        <v>2027-03|A-e</v>
      </c>
      <c r="B20" s="21">
        <f>물량원가기준!B20</f>
        <v>46447</v>
      </c>
      <c r="C20" s="10" t="str">
        <f>물량원가기준!C20</f>
        <v>A-e</v>
      </c>
      <c r="D20" s="17">
        <f>물량원가기준!E20</f>
        <v>3119</v>
      </c>
      <c r="E20" s="17">
        <f>물량원가기준!F20</f>
        <v>3119</v>
      </c>
      <c r="F20" s="17">
        <f>물량원가기준!G20</f>
        <v>150000</v>
      </c>
      <c r="G20" s="17">
        <f>SUM(물량원가기준!H20:J20)</f>
        <v>132000</v>
      </c>
      <c r="H20" s="15">
        <f t="shared" si="0"/>
        <v>18000</v>
      </c>
      <c r="I20" s="17">
        <f>부품모델매핑!D10</f>
        <v>0</v>
      </c>
      <c r="J20" s="17">
        <f>IF(ISNUMBER(물량원가기준!F20),E20*I20,"미산출")</f>
        <v>0</v>
      </c>
      <c r="K20" s="15">
        <f t="shared" si="1"/>
        <v>56142000</v>
      </c>
      <c r="L20" s="15">
        <f t="shared" si="2"/>
        <v>56142000</v>
      </c>
      <c r="M20" s="15">
        <f t="shared" si="3"/>
        <v>0</v>
      </c>
      <c r="N20" s="17">
        <f>IF(AND(B20&gt;=설정!$B$6,B20&lt;설정!$B$23),1,0)</f>
        <v>0</v>
      </c>
      <c r="O20" s="17">
        <f>IF(AND(B20&gt;=설정!$B$6,B20&lt;설정!$B$24),1,0)</f>
        <v>0</v>
      </c>
      <c r="P20" s="17">
        <f>IF(B20&gt;=설정!$B$6,J20*(설정!$B$18-설정!$B$13),0)</f>
        <v>0</v>
      </c>
      <c r="Q20" s="15">
        <f t="shared" si="4"/>
        <v>56142000</v>
      </c>
      <c r="R20" s="17">
        <f>IF(물량원가기준!D20="","",물량원가기준!D20*H20)</f>
        <v>56700000</v>
      </c>
      <c r="S20" s="15">
        <f t="shared" si="5"/>
        <v>467850000</v>
      </c>
      <c r="T20" s="17">
        <f>물량원가기준!I20+IF(B20&gt;=설정!$B$6,I20*(설정!$B$18-설정!$B$13),0)</f>
        <v>50000</v>
      </c>
      <c r="U20" s="17">
        <f>IF(OR(COUNT(물량원가기준!E20:J20)&lt;&gt;6,COUNTIFS(물량원가기준!$A$6:$A$100,A20)&lt;&gt;1),0,1)</f>
        <v>1</v>
      </c>
    </row>
    <row r="21" spans="1:21" ht="30" customHeight="1">
      <c r="A21" s="9" t="str">
        <f>물량원가기준!A21</f>
        <v>2027-04|A-a</v>
      </c>
      <c r="B21" s="22">
        <f>물량원가기준!B21</f>
        <v>46478</v>
      </c>
      <c r="C21" s="9" t="str">
        <f>물량원가기준!C21</f>
        <v>A-a</v>
      </c>
      <c r="D21" s="18">
        <f>물량원가기준!E21</f>
        <v>3880</v>
      </c>
      <c r="E21" s="18">
        <f>물량원가기준!F21</f>
        <v>3880</v>
      </c>
      <c r="F21" s="18">
        <f>물량원가기준!G21</f>
        <v>300000</v>
      </c>
      <c r="G21" s="18">
        <f>SUM(물량원가기준!H21:J21)</f>
        <v>270000</v>
      </c>
      <c r="H21" s="16">
        <f t="shared" si="0"/>
        <v>30000</v>
      </c>
      <c r="I21" s="18">
        <f>부품모델매핑!D6</f>
        <v>1</v>
      </c>
      <c r="J21" s="18">
        <f>IF(ISNUMBER(물량원가기준!F21),E21*I21,"미산출")</f>
        <v>3880</v>
      </c>
      <c r="K21" s="16">
        <f t="shared" si="1"/>
        <v>116400000</v>
      </c>
      <c r="L21" s="16">
        <f t="shared" si="2"/>
        <v>116400000</v>
      </c>
      <c r="M21" s="16">
        <f t="shared" si="3"/>
        <v>0</v>
      </c>
      <c r="N21" s="18">
        <f>IF(AND(B21&gt;=설정!$B$6,B21&lt;설정!$B$23),1,0)</f>
        <v>0</v>
      </c>
      <c r="O21" s="18">
        <f>IF(AND(B21&gt;=설정!$B$6,B21&lt;설정!$B$24),1,0)</f>
        <v>0</v>
      </c>
      <c r="P21" s="18">
        <f>IF(B21&gt;=설정!$B$6,J21*(설정!$B$18-설정!$B$13),0)</f>
        <v>0</v>
      </c>
      <c r="Q21" s="16">
        <f t="shared" si="4"/>
        <v>116400000</v>
      </c>
      <c r="R21" s="18">
        <f>IF(물량원가기준!D21="","",물량원가기준!D21*H21)</f>
        <v>120000000</v>
      </c>
      <c r="S21" s="16">
        <f t="shared" si="5"/>
        <v>1164000000</v>
      </c>
      <c r="T21" s="18">
        <f>물량원가기준!I21+IF(B21&gt;=설정!$B$6,I21*(설정!$B$18-설정!$B$13),0)</f>
        <v>75000</v>
      </c>
      <c r="U21" s="18">
        <f>IF(OR(COUNT(물량원가기준!E21:J21)&lt;&gt;6,COUNTIFS(물량원가기준!$A$6:$A$100,A21)&lt;&gt;1),0,1)</f>
        <v>1</v>
      </c>
    </row>
    <row r="22" spans="1:21" ht="30" customHeight="1">
      <c r="A22" s="10" t="str">
        <f>물량원가기준!A22</f>
        <v>2027-04|A-b</v>
      </c>
      <c r="B22" s="21">
        <f>물량원가기준!B22</f>
        <v>46478</v>
      </c>
      <c r="C22" s="10" t="str">
        <f>물량원가기준!C22</f>
        <v>A-b</v>
      </c>
      <c r="D22" s="17">
        <f>물량원가기준!E22</f>
        <v>9700</v>
      </c>
      <c r="E22" s="17">
        <f>물량원가기준!F22</f>
        <v>9700</v>
      </c>
      <c r="F22" s="17">
        <f>물량원가기준!G22</f>
        <v>180000</v>
      </c>
      <c r="G22" s="17">
        <f>SUM(물량원가기준!H22:J22)</f>
        <v>160000</v>
      </c>
      <c r="H22" s="15">
        <f t="shared" si="0"/>
        <v>20000</v>
      </c>
      <c r="I22" s="17">
        <f>부품모델매핑!D7</f>
        <v>1</v>
      </c>
      <c r="J22" s="17">
        <f>IF(ISNUMBER(물량원가기준!F22),E22*I22,"미산출")</f>
        <v>9700</v>
      </c>
      <c r="K22" s="15">
        <f t="shared" si="1"/>
        <v>194000000</v>
      </c>
      <c r="L22" s="15">
        <f t="shared" si="2"/>
        <v>194000000</v>
      </c>
      <c r="M22" s="15">
        <f t="shared" si="3"/>
        <v>0</v>
      </c>
      <c r="N22" s="17">
        <f>IF(AND(B22&gt;=설정!$B$6,B22&lt;설정!$B$23),1,0)</f>
        <v>0</v>
      </c>
      <c r="O22" s="17">
        <f>IF(AND(B22&gt;=설정!$B$6,B22&lt;설정!$B$24),1,0)</f>
        <v>0</v>
      </c>
      <c r="P22" s="17">
        <f>IF(B22&gt;=설정!$B$6,J22*(설정!$B$18-설정!$B$13),0)</f>
        <v>0</v>
      </c>
      <c r="Q22" s="15">
        <f t="shared" si="4"/>
        <v>194000000</v>
      </c>
      <c r="R22" s="17">
        <f>IF(물량원가기준!D22="","",물량원가기준!D22*H22)</f>
        <v>200000000</v>
      </c>
      <c r="S22" s="15">
        <f t="shared" si="5"/>
        <v>1746000000</v>
      </c>
      <c r="T22" s="17">
        <f>물량원가기준!I22+IF(B22&gt;=설정!$B$6,I22*(설정!$B$18-설정!$B$13),0)</f>
        <v>95000</v>
      </c>
      <c r="U22" s="17">
        <f>IF(OR(COUNT(물량원가기준!E22:J22)&lt;&gt;6,COUNTIFS(물량원가기준!$A$6:$A$100,A22)&lt;&gt;1),0,1)</f>
        <v>1</v>
      </c>
    </row>
    <row r="23" spans="1:21" ht="30" customHeight="1">
      <c r="A23" s="9" t="str">
        <f>물량원가기준!A23</f>
        <v>2027-04|A-c</v>
      </c>
      <c r="B23" s="22">
        <f>물량원가기준!B23</f>
        <v>46478</v>
      </c>
      <c r="C23" s="9" t="str">
        <f>물량원가기준!C23</f>
        <v>A-c</v>
      </c>
      <c r="D23" s="18">
        <f>물량원가기준!E23</f>
        <v>5940</v>
      </c>
      <c r="E23" s="18">
        <f>물량원가기준!F23</f>
        <v>5940</v>
      </c>
      <c r="F23" s="18">
        <f>물량원가기준!G23</f>
        <v>230000</v>
      </c>
      <c r="G23" s="18">
        <f>SUM(물량원가기준!H23:J23)</f>
        <v>202000</v>
      </c>
      <c r="H23" s="16">
        <f t="shared" si="0"/>
        <v>28000</v>
      </c>
      <c r="I23" s="18">
        <f>부품모델매핑!D8</f>
        <v>0</v>
      </c>
      <c r="J23" s="18">
        <f>IF(ISNUMBER(물량원가기준!F23),E23*I23,"미산출")</f>
        <v>0</v>
      </c>
      <c r="K23" s="16">
        <f t="shared" si="1"/>
        <v>166320000</v>
      </c>
      <c r="L23" s="16">
        <f t="shared" si="2"/>
        <v>166320000</v>
      </c>
      <c r="M23" s="16">
        <f t="shared" si="3"/>
        <v>0</v>
      </c>
      <c r="N23" s="18">
        <f>IF(AND(B23&gt;=설정!$B$6,B23&lt;설정!$B$23),1,0)</f>
        <v>0</v>
      </c>
      <c r="O23" s="18">
        <f>IF(AND(B23&gt;=설정!$B$6,B23&lt;설정!$B$24),1,0)</f>
        <v>0</v>
      </c>
      <c r="P23" s="18">
        <f>IF(B23&gt;=설정!$B$6,J23*(설정!$B$18-설정!$B$13),0)</f>
        <v>0</v>
      </c>
      <c r="Q23" s="16">
        <f t="shared" si="4"/>
        <v>166320000</v>
      </c>
      <c r="R23" s="18">
        <f>IF(물량원가기준!D23="","",물량원가기준!D23*H23)</f>
        <v>168000000</v>
      </c>
      <c r="S23" s="16">
        <f t="shared" si="5"/>
        <v>1366200000</v>
      </c>
      <c r="T23" s="18">
        <f>물량원가기준!I23+IF(B23&gt;=설정!$B$6,I23*(설정!$B$18-설정!$B$13),0)</f>
        <v>60000</v>
      </c>
      <c r="U23" s="18">
        <f>IF(OR(COUNT(물량원가기준!E23:J23)&lt;&gt;6,COUNTIFS(물량원가기준!$A$6:$A$100,A23)&lt;&gt;1),0,1)</f>
        <v>1</v>
      </c>
    </row>
    <row r="24" spans="1:21" ht="30" customHeight="1">
      <c r="A24" s="10" t="str">
        <f>물량원가기준!A24</f>
        <v>2027-04|A-d</v>
      </c>
      <c r="B24" s="21">
        <f>물량원가기준!B24</f>
        <v>46478</v>
      </c>
      <c r="C24" s="10" t="str">
        <f>물량원가기준!C24</f>
        <v>A-d</v>
      </c>
      <c r="D24" s="17">
        <f>물량원가기준!E24</f>
        <v>5050</v>
      </c>
      <c r="E24" s="17">
        <f>물량원가기준!F24</f>
        <v>5050</v>
      </c>
      <c r="F24" s="17">
        <f>물량원가기준!G24</f>
        <v>210000</v>
      </c>
      <c r="G24" s="17">
        <f>SUM(물량원가기준!H24:J24)</f>
        <v>185000</v>
      </c>
      <c r="H24" s="15">
        <f t="shared" si="0"/>
        <v>25000</v>
      </c>
      <c r="I24" s="17">
        <f>부품모델매핑!D9</f>
        <v>0</v>
      </c>
      <c r="J24" s="17">
        <f>IF(ISNUMBER(물량원가기준!F24),E24*I24,"미산출")</f>
        <v>0</v>
      </c>
      <c r="K24" s="15">
        <f t="shared" si="1"/>
        <v>126250000</v>
      </c>
      <c r="L24" s="15">
        <f t="shared" si="2"/>
        <v>126250000</v>
      </c>
      <c r="M24" s="15">
        <f t="shared" si="3"/>
        <v>0</v>
      </c>
      <c r="N24" s="17">
        <f>IF(AND(B24&gt;=설정!$B$6,B24&lt;설정!$B$23),1,0)</f>
        <v>0</v>
      </c>
      <c r="O24" s="17">
        <f>IF(AND(B24&gt;=설정!$B$6,B24&lt;설정!$B$24),1,0)</f>
        <v>0</v>
      </c>
      <c r="P24" s="17">
        <f>IF(B24&gt;=설정!$B$6,J24*(설정!$B$18-설정!$B$13),0)</f>
        <v>0</v>
      </c>
      <c r="Q24" s="15">
        <f t="shared" si="4"/>
        <v>126250000</v>
      </c>
      <c r="R24" s="17">
        <f>IF(물량원가기준!D24="","",물량원가기준!D24*H24)</f>
        <v>125000000</v>
      </c>
      <c r="S24" s="15">
        <f t="shared" si="5"/>
        <v>1060500000</v>
      </c>
      <c r="T24" s="17">
        <f>물량원가기준!I24+IF(B24&gt;=설정!$B$6,I24*(설정!$B$18-설정!$B$13),0)</f>
        <v>65000</v>
      </c>
      <c r="U24" s="17">
        <f>IF(OR(COUNT(물량원가기준!E24:J24)&lt;&gt;6,COUNTIFS(물량원가기준!$A$6:$A$100,A24)&lt;&gt;1),0,1)</f>
        <v>1</v>
      </c>
    </row>
    <row r="25" spans="1:21" ht="30" customHeight="1">
      <c r="A25" s="9" t="str">
        <f>물량원가기준!A25</f>
        <v>2027-04|A-e</v>
      </c>
      <c r="B25" s="22">
        <f>물량원가기준!B25</f>
        <v>46478</v>
      </c>
      <c r="C25" s="9" t="str">
        <f>물량원가기준!C25</f>
        <v>A-e</v>
      </c>
      <c r="D25" s="18">
        <f>물량원가기준!E25</f>
        <v>2970</v>
      </c>
      <c r="E25" s="18">
        <f>물량원가기준!F25</f>
        <v>2970</v>
      </c>
      <c r="F25" s="18">
        <f>물량원가기준!G25</f>
        <v>150000</v>
      </c>
      <c r="G25" s="18">
        <f>SUM(물량원가기준!H25:J25)</f>
        <v>132000</v>
      </c>
      <c r="H25" s="16">
        <f t="shared" si="0"/>
        <v>18000</v>
      </c>
      <c r="I25" s="18">
        <f>부품모델매핑!D10</f>
        <v>0</v>
      </c>
      <c r="J25" s="18">
        <f>IF(ISNUMBER(물량원가기준!F25),E25*I25,"미산출")</f>
        <v>0</v>
      </c>
      <c r="K25" s="16">
        <f t="shared" si="1"/>
        <v>53460000</v>
      </c>
      <c r="L25" s="16">
        <f t="shared" si="2"/>
        <v>53460000</v>
      </c>
      <c r="M25" s="16">
        <f t="shared" si="3"/>
        <v>0</v>
      </c>
      <c r="N25" s="18">
        <f>IF(AND(B25&gt;=설정!$B$6,B25&lt;설정!$B$23),1,0)</f>
        <v>0</v>
      </c>
      <c r="O25" s="18">
        <f>IF(AND(B25&gt;=설정!$B$6,B25&lt;설정!$B$24),1,0)</f>
        <v>0</v>
      </c>
      <c r="P25" s="18">
        <f>IF(B25&gt;=설정!$B$6,J25*(설정!$B$18-설정!$B$13),0)</f>
        <v>0</v>
      </c>
      <c r="Q25" s="16">
        <f t="shared" si="4"/>
        <v>53460000</v>
      </c>
      <c r="R25" s="18">
        <f>IF(물량원가기준!D25="","",물량원가기준!D25*H25)</f>
        <v>54000000</v>
      </c>
      <c r="S25" s="16">
        <f t="shared" si="5"/>
        <v>445500000</v>
      </c>
      <c r="T25" s="18">
        <f>물량원가기준!I25+IF(B25&gt;=설정!$B$6,I25*(설정!$B$18-설정!$B$13),0)</f>
        <v>50000</v>
      </c>
      <c r="U25" s="18">
        <f>IF(OR(COUNT(물량원가기준!E25:J25)&lt;&gt;6,COUNTIFS(물량원가기준!$A$6:$A$100,A25)&lt;&gt;1),0,1)</f>
        <v>1</v>
      </c>
    </row>
    <row r="26" spans="1:21" ht="30" customHeight="1">
      <c r="A26" s="10" t="str">
        <f>물량원가기준!A26</f>
        <v>2027-05|A-a</v>
      </c>
      <c r="B26" s="21">
        <f>물량원가기준!B26</f>
        <v>46508</v>
      </c>
      <c r="C26" s="10" t="str">
        <f>물량원가기준!C26</f>
        <v>A-a</v>
      </c>
      <c r="D26" s="17">
        <f>물량원가기준!E26</f>
        <v>3763</v>
      </c>
      <c r="E26" s="17">
        <f>물량원가기준!F26</f>
        <v>3763</v>
      </c>
      <c r="F26" s="17">
        <f>물량원가기준!G26</f>
        <v>300000</v>
      </c>
      <c r="G26" s="17">
        <f>SUM(물량원가기준!H26:J26)</f>
        <v>270000</v>
      </c>
      <c r="H26" s="15">
        <f t="shared" si="0"/>
        <v>30000</v>
      </c>
      <c r="I26" s="17">
        <f>부품모델매핑!D6</f>
        <v>1</v>
      </c>
      <c r="J26" s="17">
        <f>IF(ISNUMBER(물량원가기준!F26),E26*I26,"미산출")</f>
        <v>3763</v>
      </c>
      <c r="K26" s="15">
        <f t="shared" si="1"/>
        <v>112890000</v>
      </c>
      <c r="L26" s="15">
        <f t="shared" si="2"/>
        <v>112890000</v>
      </c>
      <c r="M26" s="15">
        <f t="shared" si="3"/>
        <v>0</v>
      </c>
      <c r="N26" s="17">
        <f>IF(AND(B26&gt;=설정!$B$6,B26&lt;설정!$B$23),1,0)</f>
        <v>0</v>
      </c>
      <c r="O26" s="17">
        <f>IF(AND(B26&gt;=설정!$B$6,B26&lt;설정!$B$24),1,0)</f>
        <v>0</v>
      </c>
      <c r="P26" s="17">
        <f>IF(B26&gt;=설정!$B$6,J26*(설정!$B$18-설정!$B$13),0)</f>
        <v>0</v>
      </c>
      <c r="Q26" s="15">
        <f t="shared" si="4"/>
        <v>112890000</v>
      </c>
      <c r="R26" s="17">
        <f>IF(물량원가기준!D26="","",물량원가기준!D26*H26)</f>
        <v>117600000</v>
      </c>
      <c r="S26" s="15">
        <f t="shared" si="5"/>
        <v>1128900000</v>
      </c>
      <c r="T26" s="17">
        <f>물량원가기준!I26+IF(B26&gt;=설정!$B$6,I26*(설정!$B$18-설정!$B$13),0)</f>
        <v>75000</v>
      </c>
      <c r="U26" s="17">
        <f>IF(OR(COUNT(물량원가기준!E26:J26)&lt;&gt;6,COUNTIFS(물량원가기준!$A$6:$A$100,A26)&lt;&gt;1),0,1)</f>
        <v>1</v>
      </c>
    </row>
    <row r="27" spans="1:21" ht="30" customHeight="1">
      <c r="A27" s="9" t="str">
        <f>물량원가기준!A27</f>
        <v>2027-05|A-b</v>
      </c>
      <c r="B27" s="22">
        <f>물량원가기준!B27</f>
        <v>46508</v>
      </c>
      <c r="C27" s="9" t="str">
        <f>물량원가기준!C27</f>
        <v>A-b</v>
      </c>
      <c r="D27" s="18">
        <f>물량원가기준!E27</f>
        <v>9408</v>
      </c>
      <c r="E27" s="18">
        <f>물량원가기준!F27</f>
        <v>9408</v>
      </c>
      <c r="F27" s="18">
        <f>물량원가기준!G27</f>
        <v>180000</v>
      </c>
      <c r="G27" s="18">
        <f>SUM(물량원가기준!H27:J27)</f>
        <v>160000</v>
      </c>
      <c r="H27" s="16">
        <f t="shared" si="0"/>
        <v>20000</v>
      </c>
      <c r="I27" s="18">
        <f>부품모델매핑!D7</f>
        <v>1</v>
      </c>
      <c r="J27" s="18">
        <f>IF(ISNUMBER(물량원가기준!F27),E27*I27,"미산출")</f>
        <v>9408</v>
      </c>
      <c r="K27" s="16">
        <f t="shared" si="1"/>
        <v>188160000</v>
      </c>
      <c r="L27" s="16">
        <f t="shared" si="2"/>
        <v>188160000</v>
      </c>
      <c r="M27" s="16">
        <f t="shared" si="3"/>
        <v>0</v>
      </c>
      <c r="N27" s="18">
        <f>IF(AND(B27&gt;=설정!$B$6,B27&lt;설정!$B$23),1,0)</f>
        <v>0</v>
      </c>
      <c r="O27" s="18">
        <f>IF(AND(B27&gt;=설정!$B$6,B27&lt;설정!$B$24),1,0)</f>
        <v>0</v>
      </c>
      <c r="P27" s="18">
        <f>IF(B27&gt;=설정!$B$6,J27*(설정!$B$18-설정!$B$13),0)</f>
        <v>0</v>
      </c>
      <c r="Q27" s="16">
        <f t="shared" si="4"/>
        <v>188160000</v>
      </c>
      <c r="R27" s="18">
        <f>IF(물량원가기준!D27="","",물량원가기준!D27*H27)</f>
        <v>196000000</v>
      </c>
      <c r="S27" s="16">
        <f t="shared" si="5"/>
        <v>1693440000</v>
      </c>
      <c r="T27" s="18">
        <f>물량원가기준!I27+IF(B27&gt;=설정!$B$6,I27*(설정!$B$18-설정!$B$13),0)</f>
        <v>95000</v>
      </c>
      <c r="U27" s="18">
        <f>IF(OR(COUNT(물량원가기준!E27:J27)&lt;&gt;6,COUNTIFS(물량원가기준!$A$6:$A$100,A27)&lt;&gt;1),0,1)</f>
        <v>1</v>
      </c>
    </row>
    <row r="28" spans="1:21" ht="30" customHeight="1">
      <c r="A28" s="10" t="str">
        <f>물량원가기준!A28</f>
        <v>2027-05|A-c</v>
      </c>
      <c r="B28" s="21">
        <f>물량원가기준!B28</f>
        <v>46508</v>
      </c>
      <c r="C28" s="10" t="str">
        <f>물량원가기준!C28</f>
        <v>A-c</v>
      </c>
      <c r="D28" s="17">
        <f>물량원가기준!E28</f>
        <v>5821</v>
      </c>
      <c r="E28" s="17">
        <f>물량원가기준!F28</f>
        <v>5821</v>
      </c>
      <c r="F28" s="17">
        <f>물량원가기준!G28</f>
        <v>230000</v>
      </c>
      <c r="G28" s="17">
        <f>SUM(물량원가기준!H28:J28)</f>
        <v>202000</v>
      </c>
      <c r="H28" s="15">
        <f t="shared" si="0"/>
        <v>28000</v>
      </c>
      <c r="I28" s="17">
        <f>부품모델매핑!D8</f>
        <v>0</v>
      </c>
      <c r="J28" s="17">
        <f>IF(ISNUMBER(물량원가기준!F28),E28*I28,"미산출")</f>
        <v>0</v>
      </c>
      <c r="K28" s="15">
        <f t="shared" si="1"/>
        <v>162988000</v>
      </c>
      <c r="L28" s="15">
        <f t="shared" si="2"/>
        <v>162988000</v>
      </c>
      <c r="M28" s="15">
        <f t="shared" si="3"/>
        <v>0</v>
      </c>
      <c r="N28" s="17">
        <f>IF(AND(B28&gt;=설정!$B$6,B28&lt;설정!$B$23),1,0)</f>
        <v>0</v>
      </c>
      <c r="O28" s="17">
        <f>IF(AND(B28&gt;=설정!$B$6,B28&lt;설정!$B$24),1,0)</f>
        <v>0</v>
      </c>
      <c r="P28" s="17">
        <f>IF(B28&gt;=설정!$B$6,J28*(설정!$B$18-설정!$B$13),0)</f>
        <v>0</v>
      </c>
      <c r="Q28" s="15">
        <f t="shared" si="4"/>
        <v>162988000</v>
      </c>
      <c r="R28" s="17">
        <f>IF(물량원가기준!D28="","",물량원가기준!D28*H28)</f>
        <v>164640000</v>
      </c>
      <c r="S28" s="15">
        <f t="shared" si="5"/>
        <v>1338830000</v>
      </c>
      <c r="T28" s="17">
        <f>물량원가기준!I28+IF(B28&gt;=설정!$B$6,I28*(설정!$B$18-설정!$B$13),0)</f>
        <v>60000</v>
      </c>
      <c r="U28" s="17">
        <f>IF(OR(COUNT(물량원가기준!E28:J28)&lt;&gt;6,COUNTIFS(물량원가기준!$A$6:$A$100,A28)&lt;&gt;1),0,1)</f>
        <v>1</v>
      </c>
    </row>
    <row r="29" spans="1:21" ht="30" customHeight="1">
      <c r="A29" s="9" t="str">
        <f>물량원가기준!A29</f>
        <v>2027-05|A-d</v>
      </c>
      <c r="B29" s="22">
        <f>물량원가기준!B29</f>
        <v>46508</v>
      </c>
      <c r="C29" s="9" t="str">
        <f>물량원가기준!C29</f>
        <v>A-d</v>
      </c>
      <c r="D29" s="18">
        <f>물량원가기준!E29</f>
        <v>4949</v>
      </c>
      <c r="E29" s="18">
        <f>물량원가기준!F29</f>
        <v>4949</v>
      </c>
      <c r="F29" s="18">
        <f>물량원가기준!G29</f>
        <v>210000</v>
      </c>
      <c r="G29" s="18">
        <f>SUM(물량원가기준!H29:J29)</f>
        <v>185000</v>
      </c>
      <c r="H29" s="16">
        <f t="shared" si="0"/>
        <v>25000</v>
      </c>
      <c r="I29" s="18">
        <f>부품모델매핑!D9</f>
        <v>0</v>
      </c>
      <c r="J29" s="18">
        <f>IF(ISNUMBER(물량원가기준!F29),E29*I29,"미산출")</f>
        <v>0</v>
      </c>
      <c r="K29" s="16">
        <f t="shared" si="1"/>
        <v>123725000</v>
      </c>
      <c r="L29" s="16">
        <f t="shared" si="2"/>
        <v>123725000</v>
      </c>
      <c r="M29" s="16">
        <f t="shared" si="3"/>
        <v>0</v>
      </c>
      <c r="N29" s="18">
        <f>IF(AND(B29&gt;=설정!$B$6,B29&lt;설정!$B$23),1,0)</f>
        <v>0</v>
      </c>
      <c r="O29" s="18">
        <f>IF(AND(B29&gt;=설정!$B$6,B29&lt;설정!$B$24),1,0)</f>
        <v>0</v>
      </c>
      <c r="P29" s="18">
        <f>IF(B29&gt;=설정!$B$6,J29*(설정!$B$18-설정!$B$13),0)</f>
        <v>0</v>
      </c>
      <c r="Q29" s="16">
        <f t="shared" si="4"/>
        <v>123725000</v>
      </c>
      <c r="R29" s="18">
        <f>IF(물량원가기준!D29="","",물량원가기준!D29*H29)</f>
        <v>122500000</v>
      </c>
      <c r="S29" s="16">
        <f t="shared" si="5"/>
        <v>1039290000</v>
      </c>
      <c r="T29" s="18">
        <f>물량원가기준!I29+IF(B29&gt;=설정!$B$6,I29*(설정!$B$18-설정!$B$13),0)</f>
        <v>65000</v>
      </c>
      <c r="U29" s="18">
        <f>IF(OR(COUNT(물량원가기준!E29:J29)&lt;&gt;6,COUNTIFS(물량원가기준!$A$6:$A$100,A29)&lt;&gt;1),0,1)</f>
        <v>1</v>
      </c>
    </row>
    <row r="30" spans="1:21" ht="30" customHeight="1">
      <c r="A30" s="10" t="str">
        <f>물량원가기준!A30</f>
        <v>2027-05|A-e</v>
      </c>
      <c r="B30" s="21">
        <f>물량원가기준!B30</f>
        <v>46508</v>
      </c>
      <c r="C30" s="10" t="str">
        <f>물량원가기준!C30</f>
        <v>A-e</v>
      </c>
      <c r="D30" s="17">
        <f>물량원가기준!E30</f>
        <v>2911</v>
      </c>
      <c r="E30" s="17">
        <f>물량원가기준!F30</f>
        <v>2911</v>
      </c>
      <c r="F30" s="17">
        <f>물량원가기준!G30</f>
        <v>150000</v>
      </c>
      <c r="G30" s="17">
        <f>SUM(물량원가기준!H30:J30)</f>
        <v>132000</v>
      </c>
      <c r="H30" s="15">
        <f t="shared" si="0"/>
        <v>18000</v>
      </c>
      <c r="I30" s="17">
        <f>부품모델매핑!D10</f>
        <v>0</v>
      </c>
      <c r="J30" s="17">
        <f>IF(ISNUMBER(물량원가기준!F30),E30*I30,"미산출")</f>
        <v>0</v>
      </c>
      <c r="K30" s="15">
        <f t="shared" si="1"/>
        <v>52398000</v>
      </c>
      <c r="L30" s="15">
        <f t="shared" si="2"/>
        <v>52398000</v>
      </c>
      <c r="M30" s="15">
        <f t="shared" si="3"/>
        <v>0</v>
      </c>
      <c r="N30" s="17">
        <f>IF(AND(B30&gt;=설정!$B$6,B30&lt;설정!$B$23),1,0)</f>
        <v>0</v>
      </c>
      <c r="O30" s="17">
        <f>IF(AND(B30&gt;=설정!$B$6,B30&lt;설정!$B$24),1,0)</f>
        <v>0</v>
      </c>
      <c r="P30" s="17">
        <f>IF(B30&gt;=설정!$B$6,J30*(설정!$B$18-설정!$B$13),0)</f>
        <v>0</v>
      </c>
      <c r="Q30" s="15">
        <f t="shared" si="4"/>
        <v>52398000</v>
      </c>
      <c r="R30" s="17">
        <f>IF(물량원가기준!D30="","",물량원가기준!D30*H30)</f>
        <v>52920000</v>
      </c>
      <c r="S30" s="15">
        <f t="shared" si="5"/>
        <v>436650000</v>
      </c>
      <c r="T30" s="17">
        <f>물량원가기준!I30+IF(B30&gt;=설정!$B$6,I30*(설정!$B$18-설정!$B$13),0)</f>
        <v>50000</v>
      </c>
      <c r="U30" s="17">
        <f>IF(OR(COUNT(물량원가기준!E30:J30)&lt;&gt;6,COUNTIFS(물량원가기준!$A$6:$A$100,A30)&lt;&gt;1),0,1)</f>
        <v>1</v>
      </c>
    </row>
    <row r="31" spans="1:21" ht="30" customHeight="1">
      <c r="A31" s="9" t="str">
        <f>물량원가기준!A31</f>
        <v>2027-06|A-a</v>
      </c>
      <c r="B31" s="22">
        <f>물량원가기준!B31</f>
        <v>46539</v>
      </c>
      <c r="C31" s="9" t="str">
        <f>물량원가기준!C31</f>
        <v>A-a</v>
      </c>
      <c r="D31" s="18">
        <f>물량원가기준!E31</f>
        <v>3800</v>
      </c>
      <c r="E31" s="18">
        <f>물량원가기준!F31</f>
        <v>3800</v>
      </c>
      <c r="F31" s="18">
        <f>물량원가기준!G31</f>
        <v>300000</v>
      </c>
      <c r="G31" s="18">
        <f>SUM(물량원가기준!H31:J31)</f>
        <v>270000</v>
      </c>
      <c r="H31" s="16">
        <f t="shared" si="0"/>
        <v>30000</v>
      </c>
      <c r="I31" s="18">
        <f>부품모델매핑!D6</f>
        <v>1</v>
      </c>
      <c r="J31" s="18">
        <f>IF(ISNUMBER(물량원가기준!F31),E31*I31,"미산출")</f>
        <v>3800</v>
      </c>
      <c r="K31" s="16">
        <f t="shared" si="1"/>
        <v>114000000</v>
      </c>
      <c r="L31" s="16">
        <f t="shared" si="2"/>
        <v>114000000</v>
      </c>
      <c r="M31" s="16">
        <f t="shared" si="3"/>
        <v>0</v>
      </c>
      <c r="N31" s="18">
        <f>IF(AND(B31&gt;=설정!$B$6,B31&lt;설정!$B$23),1,0)</f>
        <v>0</v>
      </c>
      <c r="O31" s="18">
        <f>IF(AND(B31&gt;=설정!$B$6,B31&lt;설정!$B$24),1,0)</f>
        <v>0</v>
      </c>
      <c r="P31" s="18">
        <f>IF(B31&gt;=설정!$B$6,J31*(설정!$B$18-설정!$B$13),0)</f>
        <v>0</v>
      </c>
      <c r="Q31" s="16">
        <f t="shared" si="4"/>
        <v>114000000</v>
      </c>
      <c r="R31" s="18">
        <f>IF(물량원가기준!D31="","",물량원가기준!D31*H31)</f>
        <v>120000000</v>
      </c>
      <c r="S31" s="16">
        <f t="shared" si="5"/>
        <v>1140000000</v>
      </c>
      <c r="T31" s="18">
        <f>물량원가기준!I31+IF(B31&gt;=설정!$B$6,I31*(설정!$B$18-설정!$B$13),0)</f>
        <v>75000</v>
      </c>
      <c r="U31" s="18">
        <f>IF(OR(COUNT(물량원가기준!E31:J31)&lt;&gt;6,COUNTIFS(물량원가기준!$A$6:$A$100,A31)&lt;&gt;1),0,1)</f>
        <v>1</v>
      </c>
    </row>
    <row r="32" spans="1:21" ht="30" customHeight="1">
      <c r="A32" s="10" t="str">
        <f>물량원가기준!A32</f>
        <v>2027-06|A-b</v>
      </c>
      <c r="B32" s="21">
        <f>물량원가기준!B32</f>
        <v>46539</v>
      </c>
      <c r="C32" s="10" t="str">
        <f>물량원가기준!C32</f>
        <v>A-b</v>
      </c>
      <c r="D32" s="17">
        <f>물량원가기준!E32</f>
        <v>9500</v>
      </c>
      <c r="E32" s="17">
        <f>물량원가기준!F32</f>
        <v>9500</v>
      </c>
      <c r="F32" s="17">
        <f>물량원가기준!G32</f>
        <v>180000</v>
      </c>
      <c r="G32" s="17">
        <f>SUM(물량원가기준!H32:J32)</f>
        <v>160000</v>
      </c>
      <c r="H32" s="15">
        <f t="shared" si="0"/>
        <v>20000</v>
      </c>
      <c r="I32" s="17">
        <f>부품모델매핑!D7</f>
        <v>1</v>
      </c>
      <c r="J32" s="17">
        <f>IF(ISNUMBER(물량원가기준!F32),E32*I32,"미산출")</f>
        <v>9500</v>
      </c>
      <c r="K32" s="15">
        <f t="shared" si="1"/>
        <v>190000000</v>
      </c>
      <c r="L32" s="15">
        <f t="shared" si="2"/>
        <v>190000000</v>
      </c>
      <c r="M32" s="15">
        <f t="shared" si="3"/>
        <v>0</v>
      </c>
      <c r="N32" s="17">
        <f>IF(AND(B32&gt;=설정!$B$6,B32&lt;설정!$B$23),1,0)</f>
        <v>0</v>
      </c>
      <c r="O32" s="17">
        <f>IF(AND(B32&gt;=설정!$B$6,B32&lt;설정!$B$24),1,0)</f>
        <v>0</v>
      </c>
      <c r="P32" s="17">
        <f>IF(B32&gt;=설정!$B$6,J32*(설정!$B$18-설정!$B$13),0)</f>
        <v>0</v>
      </c>
      <c r="Q32" s="15">
        <f t="shared" si="4"/>
        <v>190000000</v>
      </c>
      <c r="R32" s="17">
        <f>IF(물량원가기준!D32="","",물량원가기준!D32*H32)</f>
        <v>200000000</v>
      </c>
      <c r="S32" s="15">
        <f t="shared" si="5"/>
        <v>1710000000</v>
      </c>
      <c r="T32" s="17">
        <f>물량원가기준!I32+IF(B32&gt;=설정!$B$6,I32*(설정!$B$18-설정!$B$13),0)</f>
        <v>95000</v>
      </c>
      <c r="U32" s="17">
        <f>IF(OR(COUNT(물량원가기준!E32:J32)&lt;&gt;6,COUNTIFS(물량원가기준!$A$6:$A$100,A32)&lt;&gt;1),0,1)</f>
        <v>1</v>
      </c>
    </row>
    <row r="33" spans="1:21" ht="30" customHeight="1">
      <c r="A33" s="9" t="str">
        <f>물량원가기준!A33</f>
        <v>2027-06|A-c</v>
      </c>
      <c r="B33" s="22">
        <f>물량원가기준!B33</f>
        <v>46539</v>
      </c>
      <c r="C33" s="9" t="str">
        <f>물량원가기준!C33</f>
        <v>A-c</v>
      </c>
      <c r="D33" s="18">
        <f>물량원가기준!E33</f>
        <v>5940</v>
      </c>
      <c r="E33" s="18">
        <f>물량원가기준!F33</f>
        <v>5940</v>
      </c>
      <c r="F33" s="18">
        <f>물량원가기준!G33</f>
        <v>230000</v>
      </c>
      <c r="G33" s="18">
        <f>SUM(물량원가기준!H33:J33)</f>
        <v>202000</v>
      </c>
      <c r="H33" s="16">
        <f t="shared" si="0"/>
        <v>28000</v>
      </c>
      <c r="I33" s="18">
        <f>부품모델매핑!D8</f>
        <v>0</v>
      </c>
      <c r="J33" s="18">
        <f>IF(ISNUMBER(물량원가기준!F33),E33*I33,"미산출")</f>
        <v>0</v>
      </c>
      <c r="K33" s="16">
        <f t="shared" si="1"/>
        <v>166320000</v>
      </c>
      <c r="L33" s="16">
        <f t="shared" si="2"/>
        <v>166320000</v>
      </c>
      <c r="M33" s="16">
        <f t="shared" si="3"/>
        <v>0</v>
      </c>
      <c r="N33" s="18">
        <f>IF(AND(B33&gt;=설정!$B$6,B33&lt;설정!$B$23),1,0)</f>
        <v>0</v>
      </c>
      <c r="O33" s="18">
        <f>IF(AND(B33&gt;=설정!$B$6,B33&lt;설정!$B$24),1,0)</f>
        <v>0</v>
      </c>
      <c r="P33" s="18">
        <f>IF(B33&gt;=설정!$B$6,J33*(설정!$B$18-설정!$B$13),0)</f>
        <v>0</v>
      </c>
      <c r="Q33" s="16">
        <f t="shared" si="4"/>
        <v>166320000</v>
      </c>
      <c r="R33" s="18">
        <f>IF(물량원가기준!D33="","",물량원가기준!D33*H33)</f>
        <v>168000000</v>
      </c>
      <c r="S33" s="16">
        <f t="shared" si="5"/>
        <v>1366200000</v>
      </c>
      <c r="T33" s="18">
        <f>물량원가기준!I33+IF(B33&gt;=설정!$B$6,I33*(설정!$B$18-설정!$B$13),0)</f>
        <v>60000</v>
      </c>
      <c r="U33" s="18">
        <f>IF(OR(COUNT(물량원가기준!E33:J33)&lt;&gt;6,COUNTIFS(물량원가기준!$A$6:$A$100,A33)&lt;&gt;1),0,1)</f>
        <v>1</v>
      </c>
    </row>
    <row r="34" spans="1:21" ht="30" customHeight="1">
      <c r="A34" s="10" t="str">
        <f>물량원가기준!A34</f>
        <v>2027-06|A-d</v>
      </c>
      <c r="B34" s="21">
        <f>물량원가기준!B34</f>
        <v>46539</v>
      </c>
      <c r="C34" s="10" t="str">
        <f>물량원가기준!C34</f>
        <v>A-d</v>
      </c>
      <c r="D34" s="17">
        <f>물량원가기준!E34</f>
        <v>5050</v>
      </c>
      <c r="E34" s="17">
        <f>물량원가기준!F34</f>
        <v>5050</v>
      </c>
      <c r="F34" s="17">
        <f>물량원가기준!G34</f>
        <v>210000</v>
      </c>
      <c r="G34" s="17">
        <f>SUM(물량원가기준!H34:J34)</f>
        <v>185000</v>
      </c>
      <c r="H34" s="15">
        <f t="shared" si="0"/>
        <v>25000</v>
      </c>
      <c r="I34" s="17">
        <f>부품모델매핑!D9</f>
        <v>0</v>
      </c>
      <c r="J34" s="17">
        <f>IF(ISNUMBER(물량원가기준!F34),E34*I34,"미산출")</f>
        <v>0</v>
      </c>
      <c r="K34" s="15">
        <f t="shared" si="1"/>
        <v>126250000</v>
      </c>
      <c r="L34" s="15">
        <f t="shared" si="2"/>
        <v>126250000</v>
      </c>
      <c r="M34" s="15">
        <f t="shared" si="3"/>
        <v>0</v>
      </c>
      <c r="N34" s="17">
        <f>IF(AND(B34&gt;=설정!$B$6,B34&lt;설정!$B$23),1,0)</f>
        <v>0</v>
      </c>
      <c r="O34" s="17">
        <f>IF(AND(B34&gt;=설정!$B$6,B34&lt;설정!$B$24),1,0)</f>
        <v>0</v>
      </c>
      <c r="P34" s="17">
        <f>IF(B34&gt;=설정!$B$6,J34*(설정!$B$18-설정!$B$13),0)</f>
        <v>0</v>
      </c>
      <c r="Q34" s="15">
        <f t="shared" si="4"/>
        <v>126250000</v>
      </c>
      <c r="R34" s="17">
        <f>IF(물량원가기준!D34="","",물량원가기준!D34*H34)</f>
        <v>125000000</v>
      </c>
      <c r="S34" s="15">
        <f t="shared" si="5"/>
        <v>1060500000</v>
      </c>
      <c r="T34" s="17">
        <f>물량원가기준!I34+IF(B34&gt;=설정!$B$6,I34*(설정!$B$18-설정!$B$13),0)</f>
        <v>65000</v>
      </c>
      <c r="U34" s="17">
        <f>IF(OR(COUNT(물량원가기준!E34:J34)&lt;&gt;6,COUNTIFS(물량원가기준!$A$6:$A$100,A34)&lt;&gt;1),0,1)</f>
        <v>1</v>
      </c>
    </row>
    <row r="35" spans="1:21" ht="30" customHeight="1">
      <c r="A35" s="9" t="str">
        <f>물량원가기준!A35</f>
        <v>2027-06|A-e</v>
      </c>
      <c r="B35" s="22">
        <f>물량원가기준!B35</f>
        <v>46539</v>
      </c>
      <c r="C35" s="9" t="str">
        <f>물량원가기준!C35</f>
        <v>A-e</v>
      </c>
      <c r="D35" s="18">
        <f>물량원가기준!E35</f>
        <v>2970</v>
      </c>
      <c r="E35" s="18">
        <f>물량원가기준!F35</f>
        <v>2970</v>
      </c>
      <c r="F35" s="18">
        <f>물량원가기준!G35</f>
        <v>150000</v>
      </c>
      <c r="G35" s="18">
        <f>SUM(물량원가기준!H35:J35)</f>
        <v>132000</v>
      </c>
      <c r="H35" s="16">
        <f t="shared" si="0"/>
        <v>18000</v>
      </c>
      <c r="I35" s="18">
        <f>부품모델매핑!D10</f>
        <v>0</v>
      </c>
      <c r="J35" s="18">
        <f>IF(ISNUMBER(물량원가기준!F35),E35*I35,"미산출")</f>
        <v>0</v>
      </c>
      <c r="K35" s="16">
        <f t="shared" si="1"/>
        <v>53460000</v>
      </c>
      <c r="L35" s="16">
        <f t="shared" si="2"/>
        <v>53460000</v>
      </c>
      <c r="M35" s="16">
        <f t="shared" si="3"/>
        <v>0</v>
      </c>
      <c r="N35" s="18">
        <f>IF(AND(B35&gt;=설정!$B$6,B35&lt;설정!$B$23),1,0)</f>
        <v>0</v>
      </c>
      <c r="O35" s="18">
        <f>IF(AND(B35&gt;=설정!$B$6,B35&lt;설정!$B$24),1,0)</f>
        <v>0</v>
      </c>
      <c r="P35" s="18">
        <f>IF(B35&gt;=설정!$B$6,J35*(설정!$B$18-설정!$B$13),0)</f>
        <v>0</v>
      </c>
      <c r="Q35" s="16">
        <f t="shared" si="4"/>
        <v>53460000</v>
      </c>
      <c r="R35" s="18">
        <f>IF(물량원가기준!D35="","",물량원가기준!D35*H35)</f>
        <v>54000000</v>
      </c>
      <c r="S35" s="16">
        <f t="shared" si="5"/>
        <v>445500000</v>
      </c>
      <c r="T35" s="18">
        <f>물량원가기준!I35+IF(B35&gt;=설정!$B$6,I35*(설정!$B$18-설정!$B$13),0)</f>
        <v>50000</v>
      </c>
      <c r="U35" s="18">
        <f>IF(OR(COUNT(물량원가기준!E35:J35)&lt;&gt;6,COUNTIFS(물량원가기준!$A$6:$A$100,A35)&lt;&gt;1),0,1)</f>
        <v>1</v>
      </c>
    </row>
    <row r="36" spans="1:21" ht="30" customHeight="1">
      <c r="A36" s="10" t="str">
        <f>물량원가기준!A36</f>
        <v>2027-07|A-a</v>
      </c>
      <c r="B36" s="21">
        <f>물량원가기준!B36</f>
        <v>46569</v>
      </c>
      <c r="C36" s="10" t="str">
        <f>물량원가기준!C36</f>
        <v>A-a</v>
      </c>
      <c r="D36" s="17">
        <f>물량원가기준!E36</f>
        <v>3800</v>
      </c>
      <c r="E36" s="17">
        <f>물량원가기준!F36</f>
        <v>3800</v>
      </c>
      <c r="F36" s="17">
        <f>물량원가기준!G36</f>
        <v>300000</v>
      </c>
      <c r="G36" s="17">
        <f>SUM(물량원가기준!H36:J36)</f>
        <v>270000</v>
      </c>
      <c r="H36" s="15">
        <f t="shared" si="0"/>
        <v>30000</v>
      </c>
      <c r="I36" s="17">
        <f>부품모델매핑!D6</f>
        <v>1</v>
      </c>
      <c r="J36" s="17">
        <f>IF(ISNUMBER(물량원가기준!F36),E36*I36,"미산출")</f>
        <v>3800</v>
      </c>
      <c r="K36" s="15">
        <f t="shared" si="1"/>
        <v>114000000</v>
      </c>
      <c r="L36" s="15">
        <f t="shared" si="2"/>
        <v>114000000</v>
      </c>
      <c r="M36" s="15">
        <f t="shared" si="3"/>
        <v>0</v>
      </c>
      <c r="N36" s="17">
        <f>IF(AND(B36&gt;=설정!$B$6,B36&lt;설정!$B$23),1,0)</f>
        <v>1</v>
      </c>
      <c r="O36" s="17">
        <f>IF(AND(B36&gt;=설정!$B$6,B36&lt;설정!$B$24),1,0)</f>
        <v>1</v>
      </c>
      <c r="P36" s="17">
        <f>IF(B36&gt;=설정!$B$6,J36*(설정!$B$18-설정!$B$13),0)</f>
        <v>456000</v>
      </c>
      <c r="Q36" s="15">
        <f t="shared" si="4"/>
        <v>113544000</v>
      </c>
      <c r="R36" s="17">
        <f>IF(물량원가기준!D36="","",물량원가기준!D36*H36)</f>
        <v>120000000</v>
      </c>
      <c r="S36" s="15">
        <f t="shared" si="5"/>
        <v>1140000000</v>
      </c>
      <c r="T36" s="17">
        <f>물량원가기준!I36+IF(B36&gt;=설정!$B$6,I36*(설정!$B$18-설정!$B$13),0)</f>
        <v>75120</v>
      </c>
      <c r="U36" s="17">
        <f>IF(OR(COUNT(물량원가기준!E36:J36)&lt;&gt;6,COUNTIFS(물량원가기준!$A$6:$A$100,A36)&lt;&gt;1),0,1)</f>
        <v>1</v>
      </c>
    </row>
    <row r="37" spans="1:21" ht="30" customHeight="1">
      <c r="A37" s="9" t="str">
        <f>물량원가기준!A37</f>
        <v>2027-07|A-b</v>
      </c>
      <c r="B37" s="22">
        <f>물량원가기준!B37</f>
        <v>46569</v>
      </c>
      <c r="C37" s="9" t="str">
        <f>물량원가기준!C37</f>
        <v>A-b</v>
      </c>
      <c r="D37" s="18">
        <f>물량원가기준!E37</f>
        <v>9500</v>
      </c>
      <c r="E37" s="18">
        <f>물량원가기준!F37</f>
        <v>8800</v>
      </c>
      <c r="F37" s="18">
        <f>물량원가기준!G37</f>
        <v>180000</v>
      </c>
      <c r="G37" s="18">
        <f>SUM(물량원가기준!H37:J37)</f>
        <v>160000</v>
      </c>
      <c r="H37" s="16">
        <f t="shared" si="0"/>
        <v>20000</v>
      </c>
      <c r="I37" s="18">
        <f>부품모델매핑!D7</f>
        <v>1</v>
      </c>
      <c r="J37" s="18">
        <f>IF(ISNUMBER(물량원가기준!F37),E37*I37,"미산출")</f>
        <v>8800</v>
      </c>
      <c r="K37" s="16">
        <f t="shared" si="1"/>
        <v>190000000</v>
      </c>
      <c r="L37" s="16">
        <f t="shared" si="2"/>
        <v>176000000</v>
      </c>
      <c r="M37" s="16">
        <f t="shared" si="3"/>
        <v>-14000000</v>
      </c>
      <c r="N37" s="18">
        <f>IF(AND(B37&gt;=설정!$B$6,B37&lt;설정!$B$23),1,0)</f>
        <v>1</v>
      </c>
      <c r="O37" s="18">
        <f>IF(AND(B37&gt;=설정!$B$6,B37&lt;설정!$B$24),1,0)</f>
        <v>1</v>
      </c>
      <c r="P37" s="18">
        <f>IF(B37&gt;=설정!$B$6,J37*(설정!$B$18-설정!$B$13),0)</f>
        <v>1056000</v>
      </c>
      <c r="Q37" s="16">
        <f t="shared" si="4"/>
        <v>174944000</v>
      </c>
      <c r="R37" s="18">
        <f>IF(물량원가기준!D37="","",물량원가기준!D37*H37)</f>
        <v>200000000</v>
      </c>
      <c r="S37" s="16">
        <f t="shared" si="5"/>
        <v>1584000000</v>
      </c>
      <c r="T37" s="18">
        <f>물량원가기준!I37+IF(B37&gt;=설정!$B$6,I37*(설정!$B$18-설정!$B$13),0)</f>
        <v>95120</v>
      </c>
      <c r="U37" s="18">
        <f>IF(OR(COUNT(물량원가기준!E37:J37)&lt;&gt;6,COUNTIFS(물량원가기준!$A$6:$A$100,A37)&lt;&gt;1),0,1)</f>
        <v>1</v>
      </c>
    </row>
    <row r="38" spans="1:21" ht="30" customHeight="1">
      <c r="A38" s="10" t="str">
        <f>물량원가기준!A38</f>
        <v>2027-07|A-c</v>
      </c>
      <c r="B38" s="21">
        <f>물량원가기준!B38</f>
        <v>46569</v>
      </c>
      <c r="C38" s="10" t="str">
        <f>물량원가기준!C38</f>
        <v>A-c</v>
      </c>
      <c r="D38" s="17">
        <f>물량원가기준!E38</f>
        <v>5940</v>
      </c>
      <c r="E38" s="17">
        <f>물량원가기준!F38</f>
        <v>5940</v>
      </c>
      <c r="F38" s="17">
        <f>물량원가기준!G38</f>
        <v>230000</v>
      </c>
      <c r="G38" s="17">
        <f>SUM(물량원가기준!H38:J38)</f>
        <v>202000</v>
      </c>
      <c r="H38" s="15">
        <f t="shared" ref="H38:H69" si="6">F38-G38</f>
        <v>28000</v>
      </c>
      <c r="I38" s="17">
        <f>부품모델매핑!D8</f>
        <v>0</v>
      </c>
      <c r="J38" s="17">
        <f>IF(ISNUMBER(물량원가기준!F38),E38*I38,"미산출")</f>
        <v>0</v>
      </c>
      <c r="K38" s="15">
        <f t="shared" ref="K38:K69" si="7">D38*H38</f>
        <v>166320000</v>
      </c>
      <c r="L38" s="15">
        <f t="shared" ref="L38:L69" si="8">E38*H38</f>
        <v>166320000</v>
      </c>
      <c r="M38" s="15">
        <f t="shared" ref="M38:M69" si="9">L38-K38</f>
        <v>0</v>
      </c>
      <c r="N38" s="17">
        <f>IF(AND(B38&gt;=설정!$B$6,B38&lt;설정!$B$23),1,0)</f>
        <v>1</v>
      </c>
      <c r="O38" s="17">
        <f>IF(AND(B38&gt;=설정!$B$6,B38&lt;설정!$B$24),1,0)</f>
        <v>1</v>
      </c>
      <c r="P38" s="17">
        <f>IF(B38&gt;=설정!$B$6,J38*(설정!$B$18-설정!$B$13),0)</f>
        <v>0</v>
      </c>
      <c r="Q38" s="15">
        <f t="shared" ref="Q38:Q69" si="10">L38-P38</f>
        <v>166320000</v>
      </c>
      <c r="R38" s="17">
        <f>IF(물량원가기준!D38="","",물량원가기준!D38*H38)</f>
        <v>168000000</v>
      </c>
      <c r="S38" s="15">
        <f t="shared" ref="S38:S69" si="11">E38*F38</f>
        <v>1366200000</v>
      </c>
      <c r="T38" s="17">
        <f>물량원가기준!I38+IF(B38&gt;=설정!$B$6,I38*(설정!$B$18-설정!$B$13),0)</f>
        <v>60000</v>
      </c>
      <c r="U38" s="17">
        <f>IF(OR(COUNT(물량원가기준!E38:J38)&lt;&gt;6,COUNTIFS(물량원가기준!$A$6:$A$100,A38)&lt;&gt;1),0,1)</f>
        <v>1</v>
      </c>
    </row>
    <row r="39" spans="1:21" ht="30" customHeight="1">
      <c r="A39" s="9" t="str">
        <f>물량원가기준!A39</f>
        <v>2027-07|A-d</v>
      </c>
      <c r="B39" s="22">
        <f>물량원가기준!B39</f>
        <v>46569</v>
      </c>
      <c r="C39" s="9" t="str">
        <f>물량원가기준!C39</f>
        <v>A-d</v>
      </c>
      <c r="D39" s="18">
        <f>물량원가기준!E39</f>
        <v>5050</v>
      </c>
      <c r="E39" s="18">
        <f>물량원가기준!F39</f>
        <v>5050</v>
      </c>
      <c r="F39" s="18">
        <f>물량원가기준!G39</f>
        <v>210000</v>
      </c>
      <c r="G39" s="18">
        <f>SUM(물량원가기준!H39:J39)</f>
        <v>185000</v>
      </c>
      <c r="H39" s="16">
        <f t="shared" si="6"/>
        <v>25000</v>
      </c>
      <c r="I39" s="18">
        <f>부품모델매핑!D9</f>
        <v>0</v>
      </c>
      <c r="J39" s="18">
        <f>IF(ISNUMBER(물량원가기준!F39),E39*I39,"미산출")</f>
        <v>0</v>
      </c>
      <c r="K39" s="16">
        <f t="shared" si="7"/>
        <v>126250000</v>
      </c>
      <c r="L39" s="16">
        <f t="shared" si="8"/>
        <v>126250000</v>
      </c>
      <c r="M39" s="16">
        <f t="shared" si="9"/>
        <v>0</v>
      </c>
      <c r="N39" s="18">
        <f>IF(AND(B39&gt;=설정!$B$6,B39&lt;설정!$B$23),1,0)</f>
        <v>1</v>
      </c>
      <c r="O39" s="18">
        <f>IF(AND(B39&gt;=설정!$B$6,B39&lt;설정!$B$24),1,0)</f>
        <v>1</v>
      </c>
      <c r="P39" s="18">
        <f>IF(B39&gt;=설정!$B$6,J39*(설정!$B$18-설정!$B$13),0)</f>
        <v>0</v>
      </c>
      <c r="Q39" s="16">
        <f t="shared" si="10"/>
        <v>126250000</v>
      </c>
      <c r="R39" s="18">
        <f>IF(물량원가기준!D39="","",물량원가기준!D39*H39)</f>
        <v>125000000</v>
      </c>
      <c r="S39" s="16">
        <f t="shared" si="11"/>
        <v>1060500000</v>
      </c>
      <c r="T39" s="18">
        <f>물량원가기준!I39+IF(B39&gt;=설정!$B$6,I39*(설정!$B$18-설정!$B$13),0)</f>
        <v>65000</v>
      </c>
      <c r="U39" s="18">
        <f>IF(OR(COUNT(물량원가기준!E39:J39)&lt;&gt;6,COUNTIFS(물량원가기준!$A$6:$A$100,A39)&lt;&gt;1),0,1)</f>
        <v>1</v>
      </c>
    </row>
    <row r="40" spans="1:21" ht="30" customHeight="1">
      <c r="A40" s="10" t="str">
        <f>물량원가기준!A40</f>
        <v>2027-07|A-e</v>
      </c>
      <c r="B40" s="21">
        <f>물량원가기준!B40</f>
        <v>46569</v>
      </c>
      <c r="C40" s="10" t="str">
        <f>물량원가기준!C40</f>
        <v>A-e</v>
      </c>
      <c r="D40" s="17">
        <f>물량원가기준!E40</f>
        <v>2970</v>
      </c>
      <c r="E40" s="17">
        <f>물량원가기준!F40</f>
        <v>2970</v>
      </c>
      <c r="F40" s="17">
        <f>물량원가기준!G40</f>
        <v>150000</v>
      </c>
      <c r="G40" s="17">
        <f>SUM(물량원가기준!H40:J40)</f>
        <v>132000</v>
      </c>
      <c r="H40" s="15">
        <f t="shared" si="6"/>
        <v>18000</v>
      </c>
      <c r="I40" s="17">
        <f>부품모델매핑!D10</f>
        <v>0</v>
      </c>
      <c r="J40" s="17">
        <f>IF(ISNUMBER(물량원가기준!F40),E40*I40,"미산출")</f>
        <v>0</v>
      </c>
      <c r="K40" s="15">
        <f t="shared" si="7"/>
        <v>53460000</v>
      </c>
      <c r="L40" s="15">
        <f t="shared" si="8"/>
        <v>53460000</v>
      </c>
      <c r="M40" s="15">
        <f t="shared" si="9"/>
        <v>0</v>
      </c>
      <c r="N40" s="17">
        <f>IF(AND(B40&gt;=설정!$B$6,B40&lt;설정!$B$23),1,0)</f>
        <v>1</v>
      </c>
      <c r="O40" s="17">
        <f>IF(AND(B40&gt;=설정!$B$6,B40&lt;설정!$B$24),1,0)</f>
        <v>1</v>
      </c>
      <c r="P40" s="17">
        <f>IF(B40&gt;=설정!$B$6,J40*(설정!$B$18-설정!$B$13),0)</f>
        <v>0</v>
      </c>
      <c r="Q40" s="15">
        <f t="shared" si="10"/>
        <v>53460000</v>
      </c>
      <c r="R40" s="17">
        <f>IF(물량원가기준!D40="","",물량원가기준!D40*H40)</f>
        <v>54000000</v>
      </c>
      <c r="S40" s="15">
        <f t="shared" si="11"/>
        <v>445500000</v>
      </c>
      <c r="T40" s="17">
        <f>물량원가기준!I40+IF(B40&gt;=설정!$B$6,I40*(설정!$B$18-설정!$B$13),0)</f>
        <v>50000</v>
      </c>
      <c r="U40" s="17">
        <f>IF(OR(COUNT(물량원가기준!E40:J40)&lt;&gt;6,COUNTIFS(물량원가기준!$A$6:$A$100,A40)&lt;&gt;1),0,1)</f>
        <v>1</v>
      </c>
    </row>
    <row r="41" spans="1:21" ht="30" customHeight="1">
      <c r="A41" s="9" t="str">
        <f>물량원가기준!A41</f>
        <v>2027-08|A-a</v>
      </c>
      <c r="B41" s="22">
        <f>물량원가기준!B41</f>
        <v>46600</v>
      </c>
      <c r="C41" s="9" t="str">
        <f>물량원가기준!C41</f>
        <v>A-a</v>
      </c>
      <c r="D41" s="18">
        <f>물량원가기준!E41</f>
        <v>3496</v>
      </c>
      <c r="E41" s="18">
        <f>물량원가기준!F41</f>
        <v>3496</v>
      </c>
      <c r="F41" s="18">
        <f>물량원가기준!G41</f>
        <v>300000</v>
      </c>
      <c r="G41" s="18">
        <f>SUM(물량원가기준!H41:J41)</f>
        <v>270000</v>
      </c>
      <c r="H41" s="16">
        <f t="shared" si="6"/>
        <v>30000</v>
      </c>
      <c r="I41" s="18">
        <f>부품모델매핑!D6</f>
        <v>1</v>
      </c>
      <c r="J41" s="18">
        <f>IF(ISNUMBER(물량원가기준!F41),E41*I41,"미산출")</f>
        <v>3496</v>
      </c>
      <c r="K41" s="16">
        <f t="shared" si="7"/>
        <v>104880000</v>
      </c>
      <c r="L41" s="16">
        <f t="shared" si="8"/>
        <v>104880000</v>
      </c>
      <c r="M41" s="16">
        <f t="shared" si="9"/>
        <v>0</v>
      </c>
      <c r="N41" s="18">
        <f>IF(AND(B41&gt;=설정!$B$6,B41&lt;설정!$B$23),1,0)</f>
        <v>1</v>
      </c>
      <c r="O41" s="18">
        <f>IF(AND(B41&gt;=설정!$B$6,B41&lt;설정!$B$24),1,0)</f>
        <v>1</v>
      </c>
      <c r="P41" s="18">
        <f>IF(B41&gt;=설정!$B$6,J41*(설정!$B$18-설정!$B$13),0)</f>
        <v>419520</v>
      </c>
      <c r="Q41" s="16">
        <f t="shared" si="10"/>
        <v>104460480</v>
      </c>
      <c r="R41" s="18">
        <f>IF(물량원가기준!D41="","",물량원가기준!D41*H41)</f>
        <v>110400000</v>
      </c>
      <c r="S41" s="16">
        <f t="shared" si="11"/>
        <v>1048800000</v>
      </c>
      <c r="T41" s="18">
        <f>물량원가기준!I41+IF(B41&gt;=설정!$B$6,I41*(설정!$B$18-설정!$B$13),0)</f>
        <v>75120</v>
      </c>
      <c r="U41" s="18">
        <f>IF(OR(COUNT(물량원가기준!E41:J41)&lt;&gt;6,COUNTIFS(물량원가기준!$A$6:$A$100,A41)&lt;&gt;1),0,1)</f>
        <v>1</v>
      </c>
    </row>
    <row r="42" spans="1:21" ht="30" customHeight="1">
      <c r="A42" s="10" t="str">
        <f>물량원가기준!A42</f>
        <v>2027-08|A-b</v>
      </c>
      <c r="B42" s="21">
        <f>물량원가기준!B42</f>
        <v>46600</v>
      </c>
      <c r="C42" s="10" t="str">
        <f>물량원가기준!C42</f>
        <v>A-b</v>
      </c>
      <c r="D42" s="17">
        <f>물량원가기준!E42</f>
        <v>8740</v>
      </c>
      <c r="E42" s="17">
        <f>물량원가기준!F42</f>
        <v>8740</v>
      </c>
      <c r="F42" s="17">
        <f>물량원가기준!G42</f>
        <v>180000</v>
      </c>
      <c r="G42" s="17">
        <f>SUM(물량원가기준!H42:J42)</f>
        <v>160000</v>
      </c>
      <c r="H42" s="15">
        <f t="shared" si="6"/>
        <v>20000</v>
      </c>
      <c r="I42" s="17">
        <f>부품모델매핑!D7</f>
        <v>1</v>
      </c>
      <c r="J42" s="17">
        <f>IF(ISNUMBER(물량원가기준!F42),E42*I42,"미산출")</f>
        <v>8740</v>
      </c>
      <c r="K42" s="15">
        <f t="shared" si="7"/>
        <v>174800000</v>
      </c>
      <c r="L42" s="15">
        <f t="shared" si="8"/>
        <v>174800000</v>
      </c>
      <c r="M42" s="15">
        <f t="shared" si="9"/>
        <v>0</v>
      </c>
      <c r="N42" s="17">
        <f>IF(AND(B42&gt;=설정!$B$6,B42&lt;설정!$B$23),1,0)</f>
        <v>1</v>
      </c>
      <c r="O42" s="17">
        <f>IF(AND(B42&gt;=설정!$B$6,B42&lt;설정!$B$24),1,0)</f>
        <v>1</v>
      </c>
      <c r="P42" s="17">
        <f>IF(B42&gt;=설정!$B$6,J42*(설정!$B$18-설정!$B$13),0)</f>
        <v>1048800</v>
      </c>
      <c r="Q42" s="15">
        <f t="shared" si="10"/>
        <v>173751200</v>
      </c>
      <c r="R42" s="17">
        <f>IF(물량원가기준!D42="","",물량원가기준!D42*H42)</f>
        <v>184000000</v>
      </c>
      <c r="S42" s="15">
        <f t="shared" si="11"/>
        <v>1573200000</v>
      </c>
      <c r="T42" s="17">
        <f>물량원가기준!I42+IF(B42&gt;=설정!$B$6,I42*(설정!$B$18-설정!$B$13),0)</f>
        <v>95120</v>
      </c>
      <c r="U42" s="17">
        <f>IF(OR(COUNT(물량원가기준!E42:J42)&lt;&gt;6,COUNTIFS(물량원가기준!$A$6:$A$100,A42)&lt;&gt;1),0,1)</f>
        <v>1</v>
      </c>
    </row>
    <row r="43" spans="1:21" ht="30" customHeight="1">
      <c r="A43" s="9" t="str">
        <f>물량원가기준!A43</f>
        <v>2027-08|A-c</v>
      </c>
      <c r="B43" s="22">
        <f>물량원가기준!B43</f>
        <v>46600</v>
      </c>
      <c r="C43" s="9" t="str">
        <f>물량원가기준!C43</f>
        <v>A-c</v>
      </c>
      <c r="D43" s="18">
        <f>물량원가기준!E43</f>
        <v>5465</v>
      </c>
      <c r="E43" s="18">
        <f>물량원가기준!F43</f>
        <v>5465</v>
      </c>
      <c r="F43" s="18">
        <f>물량원가기준!G43</f>
        <v>230000</v>
      </c>
      <c r="G43" s="18">
        <f>SUM(물량원가기준!H43:J43)</f>
        <v>202000</v>
      </c>
      <c r="H43" s="16">
        <f t="shared" si="6"/>
        <v>28000</v>
      </c>
      <c r="I43" s="18">
        <f>부품모델매핑!D8</f>
        <v>0</v>
      </c>
      <c r="J43" s="18">
        <f>IF(ISNUMBER(물량원가기준!F43),E43*I43,"미산출")</f>
        <v>0</v>
      </c>
      <c r="K43" s="16">
        <f t="shared" si="7"/>
        <v>153020000</v>
      </c>
      <c r="L43" s="16">
        <f t="shared" si="8"/>
        <v>153020000</v>
      </c>
      <c r="M43" s="16">
        <f t="shared" si="9"/>
        <v>0</v>
      </c>
      <c r="N43" s="18">
        <f>IF(AND(B43&gt;=설정!$B$6,B43&lt;설정!$B$23),1,0)</f>
        <v>1</v>
      </c>
      <c r="O43" s="18">
        <f>IF(AND(B43&gt;=설정!$B$6,B43&lt;설정!$B$24),1,0)</f>
        <v>1</v>
      </c>
      <c r="P43" s="18">
        <f>IF(B43&gt;=설정!$B$6,J43*(설정!$B$18-설정!$B$13),0)</f>
        <v>0</v>
      </c>
      <c r="Q43" s="16">
        <f t="shared" si="10"/>
        <v>153020000</v>
      </c>
      <c r="R43" s="18">
        <f>IF(물량원가기준!D43="","",물량원가기준!D43*H43)</f>
        <v>154560000</v>
      </c>
      <c r="S43" s="16">
        <f t="shared" si="11"/>
        <v>1256950000</v>
      </c>
      <c r="T43" s="18">
        <f>물량원가기준!I43+IF(B43&gt;=설정!$B$6,I43*(설정!$B$18-설정!$B$13),0)</f>
        <v>60000</v>
      </c>
      <c r="U43" s="18">
        <f>IF(OR(COUNT(물량원가기준!E43:J43)&lt;&gt;6,COUNTIFS(물량원가기준!$A$6:$A$100,A43)&lt;&gt;1),0,1)</f>
        <v>1</v>
      </c>
    </row>
    <row r="44" spans="1:21" ht="30" customHeight="1">
      <c r="A44" s="10" t="str">
        <f>물량원가기준!A44</f>
        <v>2027-08|A-d</v>
      </c>
      <c r="B44" s="21">
        <f>물량원가기준!B44</f>
        <v>46600</v>
      </c>
      <c r="C44" s="10" t="str">
        <f>물량원가기준!C44</f>
        <v>A-d</v>
      </c>
      <c r="D44" s="17">
        <f>물량원가기준!E44</f>
        <v>4646</v>
      </c>
      <c r="E44" s="17">
        <f>물량원가기준!F44</f>
        <v>4646</v>
      </c>
      <c r="F44" s="17">
        <f>물량원가기준!G44</f>
        <v>210000</v>
      </c>
      <c r="G44" s="17">
        <f>SUM(물량원가기준!H44:J44)</f>
        <v>185000</v>
      </c>
      <c r="H44" s="15">
        <f t="shared" si="6"/>
        <v>25000</v>
      </c>
      <c r="I44" s="17">
        <f>부품모델매핑!D9</f>
        <v>0</v>
      </c>
      <c r="J44" s="17">
        <f>IF(ISNUMBER(물량원가기준!F44),E44*I44,"미산출")</f>
        <v>0</v>
      </c>
      <c r="K44" s="15">
        <f t="shared" si="7"/>
        <v>116150000</v>
      </c>
      <c r="L44" s="15">
        <f t="shared" si="8"/>
        <v>116150000</v>
      </c>
      <c r="M44" s="15">
        <f t="shared" si="9"/>
        <v>0</v>
      </c>
      <c r="N44" s="17">
        <f>IF(AND(B44&gt;=설정!$B$6,B44&lt;설정!$B$23),1,0)</f>
        <v>1</v>
      </c>
      <c r="O44" s="17">
        <f>IF(AND(B44&gt;=설정!$B$6,B44&lt;설정!$B$24),1,0)</f>
        <v>1</v>
      </c>
      <c r="P44" s="17">
        <f>IF(B44&gt;=설정!$B$6,J44*(설정!$B$18-설정!$B$13),0)</f>
        <v>0</v>
      </c>
      <c r="Q44" s="15">
        <f t="shared" si="10"/>
        <v>116150000</v>
      </c>
      <c r="R44" s="17">
        <f>IF(물량원가기준!D44="","",물량원가기준!D44*H44)</f>
        <v>115000000</v>
      </c>
      <c r="S44" s="15">
        <f t="shared" si="11"/>
        <v>975660000</v>
      </c>
      <c r="T44" s="17">
        <f>물량원가기준!I44+IF(B44&gt;=설정!$B$6,I44*(설정!$B$18-설정!$B$13),0)</f>
        <v>65000</v>
      </c>
      <c r="U44" s="17">
        <f>IF(OR(COUNT(물량원가기준!E44:J44)&lt;&gt;6,COUNTIFS(물량원가기준!$A$6:$A$100,A44)&lt;&gt;1),0,1)</f>
        <v>1</v>
      </c>
    </row>
    <row r="45" spans="1:21" ht="30" customHeight="1">
      <c r="A45" s="9" t="str">
        <f>물량원가기준!A45</f>
        <v>2027-08|A-e</v>
      </c>
      <c r="B45" s="22">
        <f>물량원가기준!B45</f>
        <v>46600</v>
      </c>
      <c r="C45" s="9" t="str">
        <f>물량원가기준!C45</f>
        <v>A-e</v>
      </c>
      <c r="D45" s="18">
        <f>물량원가기준!E45</f>
        <v>2732</v>
      </c>
      <c r="E45" s="18">
        <f>물량원가기준!F45</f>
        <v>2732</v>
      </c>
      <c r="F45" s="18">
        <f>물량원가기준!G45</f>
        <v>150000</v>
      </c>
      <c r="G45" s="18">
        <f>SUM(물량원가기준!H45:J45)</f>
        <v>132000</v>
      </c>
      <c r="H45" s="16">
        <f t="shared" si="6"/>
        <v>18000</v>
      </c>
      <c r="I45" s="18">
        <f>부품모델매핑!D10</f>
        <v>0</v>
      </c>
      <c r="J45" s="18">
        <f>IF(ISNUMBER(물량원가기준!F45),E45*I45,"미산출")</f>
        <v>0</v>
      </c>
      <c r="K45" s="16">
        <f t="shared" si="7"/>
        <v>49176000</v>
      </c>
      <c r="L45" s="16">
        <f t="shared" si="8"/>
        <v>49176000</v>
      </c>
      <c r="M45" s="16">
        <f t="shared" si="9"/>
        <v>0</v>
      </c>
      <c r="N45" s="18">
        <f>IF(AND(B45&gt;=설정!$B$6,B45&lt;설정!$B$23),1,0)</f>
        <v>1</v>
      </c>
      <c r="O45" s="18">
        <f>IF(AND(B45&gt;=설정!$B$6,B45&lt;설정!$B$24),1,0)</f>
        <v>1</v>
      </c>
      <c r="P45" s="18">
        <f>IF(B45&gt;=설정!$B$6,J45*(설정!$B$18-설정!$B$13),0)</f>
        <v>0</v>
      </c>
      <c r="Q45" s="16">
        <f t="shared" si="10"/>
        <v>49176000</v>
      </c>
      <c r="R45" s="18">
        <f>IF(물량원가기준!D45="","",물량원가기준!D45*H45)</f>
        <v>49680000</v>
      </c>
      <c r="S45" s="16">
        <f t="shared" si="11"/>
        <v>409800000</v>
      </c>
      <c r="T45" s="18">
        <f>물량원가기준!I45+IF(B45&gt;=설정!$B$6,I45*(설정!$B$18-설정!$B$13),0)</f>
        <v>50000</v>
      </c>
      <c r="U45" s="18">
        <f>IF(OR(COUNT(물량원가기준!E45:J45)&lt;&gt;6,COUNTIFS(물량원가기준!$A$6:$A$100,A45)&lt;&gt;1),0,1)</f>
        <v>1</v>
      </c>
    </row>
    <row r="46" spans="1:21" ht="30" customHeight="1">
      <c r="A46" s="10" t="str">
        <f>물량원가기준!A46</f>
        <v>2027-09|A-a</v>
      </c>
      <c r="B46" s="21">
        <f>물량원가기준!B46</f>
        <v>46631</v>
      </c>
      <c r="C46" s="10" t="str">
        <f>물량원가기준!C46</f>
        <v>A-a</v>
      </c>
      <c r="D46" s="17">
        <f>물량원가기준!E46</f>
        <v>3914</v>
      </c>
      <c r="E46" s="17">
        <f>물량원가기준!F46</f>
        <v>3914</v>
      </c>
      <c r="F46" s="17">
        <f>물량원가기준!G46</f>
        <v>300000</v>
      </c>
      <c r="G46" s="17">
        <f>SUM(물량원가기준!H46:J46)</f>
        <v>270000</v>
      </c>
      <c r="H46" s="15">
        <f t="shared" si="6"/>
        <v>30000</v>
      </c>
      <c r="I46" s="17">
        <f>부품모델매핑!D6</f>
        <v>1</v>
      </c>
      <c r="J46" s="17">
        <f>IF(ISNUMBER(물량원가기준!F46),E46*I46,"미산출")</f>
        <v>3914</v>
      </c>
      <c r="K46" s="15">
        <f t="shared" si="7"/>
        <v>117420000</v>
      </c>
      <c r="L46" s="15">
        <f t="shared" si="8"/>
        <v>117420000</v>
      </c>
      <c r="M46" s="15">
        <f t="shared" si="9"/>
        <v>0</v>
      </c>
      <c r="N46" s="17">
        <f>IF(AND(B46&gt;=설정!$B$6,B46&lt;설정!$B$23),1,0)</f>
        <v>1</v>
      </c>
      <c r="O46" s="17">
        <f>IF(AND(B46&gt;=설정!$B$6,B46&lt;설정!$B$24),1,0)</f>
        <v>1</v>
      </c>
      <c r="P46" s="17">
        <f>IF(B46&gt;=설정!$B$6,J46*(설정!$B$18-설정!$B$13),0)</f>
        <v>469680</v>
      </c>
      <c r="Q46" s="15">
        <f t="shared" si="10"/>
        <v>116950320</v>
      </c>
      <c r="R46" s="17">
        <f>IF(물량원가기준!D46="","",물량원가기준!D46*H46)</f>
        <v>123600000</v>
      </c>
      <c r="S46" s="15">
        <f t="shared" si="11"/>
        <v>1174200000</v>
      </c>
      <c r="T46" s="17">
        <f>물량원가기준!I46+IF(B46&gt;=설정!$B$6,I46*(설정!$B$18-설정!$B$13),0)</f>
        <v>75120</v>
      </c>
      <c r="U46" s="17">
        <f>IF(OR(COUNT(물량원가기준!E46:J46)&lt;&gt;6,COUNTIFS(물량원가기준!$A$6:$A$100,A46)&lt;&gt;1),0,1)</f>
        <v>1</v>
      </c>
    </row>
    <row r="47" spans="1:21" ht="30" customHeight="1">
      <c r="A47" s="9" t="str">
        <f>물량원가기준!A47</f>
        <v>2027-09|A-b</v>
      </c>
      <c r="B47" s="22">
        <f>물량원가기준!B47</f>
        <v>46631</v>
      </c>
      <c r="C47" s="9" t="str">
        <f>물량원가기준!C47</f>
        <v>A-b</v>
      </c>
      <c r="D47" s="18">
        <f>물량원가기준!E47</f>
        <v>9785</v>
      </c>
      <c r="E47" s="18">
        <f>물량원가기준!F47</f>
        <v>9785</v>
      </c>
      <c r="F47" s="18">
        <f>물량원가기준!G47</f>
        <v>180000</v>
      </c>
      <c r="G47" s="18">
        <f>SUM(물량원가기준!H47:J47)</f>
        <v>160000</v>
      </c>
      <c r="H47" s="16">
        <f t="shared" si="6"/>
        <v>20000</v>
      </c>
      <c r="I47" s="18">
        <f>부품모델매핑!D7</f>
        <v>1</v>
      </c>
      <c r="J47" s="18">
        <f>IF(ISNUMBER(물량원가기준!F47),E47*I47,"미산출")</f>
        <v>9785</v>
      </c>
      <c r="K47" s="16">
        <f t="shared" si="7"/>
        <v>195700000</v>
      </c>
      <c r="L47" s="16">
        <f t="shared" si="8"/>
        <v>195700000</v>
      </c>
      <c r="M47" s="16">
        <f t="shared" si="9"/>
        <v>0</v>
      </c>
      <c r="N47" s="18">
        <f>IF(AND(B47&gt;=설정!$B$6,B47&lt;설정!$B$23),1,0)</f>
        <v>1</v>
      </c>
      <c r="O47" s="18">
        <f>IF(AND(B47&gt;=설정!$B$6,B47&lt;설정!$B$24),1,0)</f>
        <v>1</v>
      </c>
      <c r="P47" s="18">
        <f>IF(B47&gt;=설정!$B$6,J47*(설정!$B$18-설정!$B$13),0)</f>
        <v>1174200</v>
      </c>
      <c r="Q47" s="16">
        <f t="shared" si="10"/>
        <v>194525800</v>
      </c>
      <c r="R47" s="18">
        <f>IF(물량원가기준!D47="","",물량원가기준!D47*H47)</f>
        <v>206000000</v>
      </c>
      <c r="S47" s="16">
        <f t="shared" si="11"/>
        <v>1761300000</v>
      </c>
      <c r="T47" s="18">
        <f>물량원가기준!I47+IF(B47&gt;=설정!$B$6,I47*(설정!$B$18-설정!$B$13),0)</f>
        <v>95120</v>
      </c>
      <c r="U47" s="18">
        <f>IF(OR(COUNT(물량원가기준!E47:J47)&lt;&gt;6,COUNTIFS(물량원가기준!$A$6:$A$100,A47)&lt;&gt;1),0,1)</f>
        <v>1</v>
      </c>
    </row>
    <row r="48" spans="1:21" ht="30" customHeight="1">
      <c r="A48" s="10" t="str">
        <f>물량원가기준!A48</f>
        <v>2027-09|A-c</v>
      </c>
      <c r="B48" s="21">
        <f>물량원가기준!B48</f>
        <v>46631</v>
      </c>
      <c r="C48" s="10" t="str">
        <f>물량원가기준!C48</f>
        <v>A-c</v>
      </c>
      <c r="D48" s="17">
        <f>물량원가기준!E48</f>
        <v>6118</v>
      </c>
      <c r="E48" s="17">
        <f>물량원가기준!F48</f>
        <v>6118</v>
      </c>
      <c r="F48" s="17">
        <f>물량원가기준!G48</f>
        <v>230000</v>
      </c>
      <c r="G48" s="17">
        <f>SUM(물량원가기준!H48:J48)</f>
        <v>202000</v>
      </c>
      <c r="H48" s="15">
        <f t="shared" si="6"/>
        <v>28000</v>
      </c>
      <c r="I48" s="17">
        <f>부품모델매핑!D8</f>
        <v>0</v>
      </c>
      <c r="J48" s="17">
        <f>IF(ISNUMBER(물량원가기준!F48),E48*I48,"미산출")</f>
        <v>0</v>
      </c>
      <c r="K48" s="15">
        <f t="shared" si="7"/>
        <v>171304000</v>
      </c>
      <c r="L48" s="15">
        <f t="shared" si="8"/>
        <v>171304000</v>
      </c>
      <c r="M48" s="15">
        <f t="shared" si="9"/>
        <v>0</v>
      </c>
      <c r="N48" s="17">
        <f>IF(AND(B48&gt;=설정!$B$6,B48&lt;설정!$B$23),1,0)</f>
        <v>1</v>
      </c>
      <c r="O48" s="17">
        <f>IF(AND(B48&gt;=설정!$B$6,B48&lt;설정!$B$24),1,0)</f>
        <v>1</v>
      </c>
      <c r="P48" s="17">
        <f>IF(B48&gt;=설정!$B$6,J48*(설정!$B$18-설정!$B$13),0)</f>
        <v>0</v>
      </c>
      <c r="Q48" s="15">
        <f t="shared" si="10"/>
        <v>171304000</v>
      </c>
      <c r="R48" s="17">
        <f>IF(물량원가기준!D48="","",물량원가기준!D48*H48)</f>
        <v>173040000</v>
      </c>
      <c r="S48" s="15">
        <f t="shared" si="11"/>
        <v>1407140000</v>
      </c>
      <c r="T48" s="17">
        <f>물량원가기준!I48+IF(B48&gt;=설정!$B$6,I48*(설정!$B$18-설정!$B$13),0)</f>
        <v>60000</v>
      </c>
      <c r="U48" s="17">
        <f>IF(OR(COUNT(물량원가기준!E48:J48)&lt;&gt;6,COUNTIFS(물량원가기준!$A$6:$A$100,A48)&lt;&gt;1),0,1)</f>
        <v>1</v>
      </c>
    </row>
    <row r="49" spans="1:21" ht="30" customHeight="1">
      <c r="A49" s="9" t="str">
        <f>물량원가기준!A49</f>
        <v>2027-09|A-d</v>
      </c>
      <c r="B49" s="22">
        <f>물량원가기준!B49</f>
        <v>46631</v>
      </c>
      <c r="C49" s="9" t="str">
        <f>물량원가기준!C49</f>
        <v>A-d</v>
      </c>
      <c r="D49" s="18">
        <f>물량원가기준!E49</f>
        <v>5202</v>
      </c>
      <c r="E49" s="18">
        <f>물량원가기준!F49</f>
        <v>5202</v>
      </c>
      <c r="F49" s="18">
        <f>물량원가기준!G49</f>
        <v>210000</v>
      </c>
      <c r="G49" s="18">
        <f>SUM(물량원가기준!H49:J49)</f>
        <v>185000</v>
      </c>
      <c r="H49" s="16">
        <f t="shared" si="6"/>
        <v>25000</v>
      </c>
      <c r="I49" s="18">
        <f>부품모델매핑!D9</f>
        <v>0</v>
      </c>
      <c r="J49" s="18">
        <f>IF(ISNUMBER(물량원가기준!F49),E49*I49,"미산출")</f>
        <v>0</v>
      </c>
      <c r="K49" s="16">
        <f t="shared" si="7"/>
        <v>130050000</v>
      </c>
      <c r="L49" s="16">
        <f t="shared" si="8"/>
        <v>130050000</v>
      </c>
      <c r="M49" s="16">
        <f t="shared" si="9"/>
        <v>0</v>
      </c>
      <c r="N49" s="18">
        <f>IF(AND(B49&gt;=설정!$B$6,B49&lt;설정!$B$23),1,0)</f>
        <v>1</v>
      </c>
      <c r="O49" s="18">
        <f>IF(AND(B49&gt;=설정!$B$6,B49&lt;설정!$B$24),1,0)</f>
        <v>1</v>
      </c>
      <c r="P49" s="18">
        <f>IF(B49&gt;=설정!$B$6,J49*(설정!$B$18-설정!$B$13),0)</f>
        <v>0</v>
      </c>
      <c r="Q49" s="16">
        <f t="shared" si="10"/>
        <v>130050000</v>
      </c>
      <c r="R49" s="18">
        <f>IF(물량원가기준!D49="","",물량원가기준!D49*H49)</f>
        <v>128750000</v>
      </c>
      <c r="S49" s="16">
        <f t="shared" si="11"/>
        <v>1092420000</v>
      </c>
      <c r="T49" s="18">
        <f>물량원가기준!I49+IF(B49&gt;=설정!$B$6,I49*(설정!$B$18-설정!$B$13),0)</f>
        <v>65000</v>
      </c>
      <c r="U49" s="18">
        <f>IF(OR(COUNT(물량원가기준!E49:J49)&lt;&gt;6,COUNTIFS(물량원가기준!$A$6:$A$100,A49)&lt;&gt;1),0,1)</f>
        <v>1</v>
      </c>
    </row>
    <row r="50" spans="1:21" ht="30" customHeight="1">
      <c r="A50" s="10" t="str">
        <f>물량원가기준!A50</f>
        <v>2027-09|A-e</v>
      </c>
      <c r="B50" s="21">
        <f>물량원가기준!B50</f>
        <v>46631</v>
      </c>
      <c r="C50" s="10" t="str">
        <f>물량원가기준!C50</f>
        <v>A-e</v>
      </c>
      <c r="D50" s="17">
        <f>물량원가기준!E50</f>
        <v>3059</v>
      </c>
      <c r="E50" s="17">
        <f>물량원가기준!F50</f>
        <v>3059</v>
      </c>
      <c r="F50" s="17">
        <f>물량원가기준!G50</f>
        <v>150000</v>
      </c>
      <c r="G50" s="17">
        <f>SUM(물량원가기준!H50:J50)</f>
        <v>132000</v>
      </c>
      <c r="H50" s="15">
        <f t="shared" si="6"/>
        <v>18000</v>
      </c>
      <c r="I50" s="17">
        <f>부품모델매핑!D10</f>
        <v>0</v>
      </c>
      <c r="J50" s="17">
        <f>IF(ISNUMBER(물량원가기준!F50),E50*I50,"미산출")</f>
        <v>0</v>
      </c>
      <c r="K50" s="15">
        <f t="shared" si="7"/>
        <v>55062000</v>
      </c>
      <c r="L50" s="15">
        <f t="shared" si="8"/>
        <v>55062000</v>
      </c>
      <c r="M50" s="15">
        <f t="shared" si="9"/>
        <v>0</v>
      </c>
      <c r="N50" s="17">
        <f>IF(AND(B50&gt;=설정!$B$6,B50&lt;설정!$B$23),1,0)</f>
        <v>1</v>
      </c>
      <c r="O50" s="17">
        <f>IF(AND(B50&gt;=설정!$B$6,B50&lt;설정!$B$24),1,0)</f>
        <v>1</v>
      </c>
      <c r="P50" s="17">
        <f>IF(B50&gt;=설정!$B$6,J50*(설정!$B$18-설정!$B$13),0)</f>
        <v>0</v>
      </c>
      <c r="Q50" s="15">
        <f t="shared" si="10"/>
        <v>55062000</v>
      </c>
      <c r="R50" s="17">
        <f>IF(물량원가기준!D50="","",물량원가기준!D50*H50)</f>
        <v>55620000</v>
      </c>
      <c r="S50" s="15">
        <f t="shared" si="11"/>
        <v>458850000</v>
      </c>
      <c r="T50" s="17">
        <f>물량원가기준!I50+IF(B50&gt;=설정!$B$6,I50*(설정!$B$18-설정!$B$13),0)</f>
        <v>50000</v>
      </c>
      <c r="U50" s="17">
        <f>IF(OR(COUNT(물량원가기준!E50:J50)&lt;&gt;6,COUNTIFS(물량원가기준!$A$6:$A$100,A50)&lt;&gt;1),0,1)</f>
        <v>1</v>
      </c>
    </row>
    <row r="51" spans="1:21" ht="30" customHeight="1">
      <c r="A51" s="9" t="str">
        <f>물량원가기준!A51</f>
        <v>2027-10|A-a</v>
      </c>
      <c r="B51" s="22">
        <f>물량원가기준!B51</f>
        <v>46661</v>
      </c>
      <c r="C51" s="9" t="str">
        <f>물량원가기준!C51</f>
        <v>A-a</v>
      </c>
      <c r="D51" s="18">
        <f>물량원가기준!E51</f>
        <v>3876</v>
      </c>
      <c r="E51" s="18">
        <f>물량원가기준!F51</f>
        <v>3876</v>
      </c>
      <c r="F51" s="18">
        <f>물량원가기준!G51</f>
        <v>300000</v>
      </c>
      <c r="G51" s="18">
        <f>SUM(물량원가기준!H51:J51)</f>
        <v>270000</v>
      </c>
      <c r="H51" s="16">
        <f t="shared" si="6"/>
        <v>30000</v>
      </c>
      <c r="I51" s="18">
        <f>부품모델매핑!D6</f>
        <v>1</v>
      </c>
      <c r="J51" s="18">
        <f>IF(ISNUMBER(물량원가기준!F51),E51*I51,"미산출")</f>
        <v>3876</v>
      </c>
      <c r="K51" s="16">
        <f t="shared" si="7"/>
        <v>116280000</v>
      </c>
      <c r="L51" s="16">
        <f t="shared" si="8"/>
        <v>116280000</v>
      </c>
      <c r="M51" s="16">
        <f t="shared" si="9"/>
        <v>0</v>
      </c>
      <c r="N51" s="18">
        <f>IF(AND(B51&gt;=설정!$B$6,B51&lt;설정!$B$23),1,0)</f>
        <v>1</v>
      </c>
      <c r="O51" s="18">
        <f>IF(AND(B51&gt;=설정!$B$6,B51&lt;설정!$B$24),1,0)</f>
        <v>1</v>
      </c>
      <c r="P51" s="18">
        <f>IF(B51&gt;=설정!$B$6,J51*(설정!$B$18-설정!$B$13),0)</f>
        <v>465120</v>
      </c>
      <c r="Q51" s="16">
        <f t="shared" si="10"/>
        <v>115814880</v>
      </c>
      <c r="R51" s="18">
        <f>IF(물량원가기준!D51="","",물량원가기준!D51*H51)</f>
        <v>122400000</v>
      </c>
      <c r="S51" s="16">
        <f t="shared" si="11"/>
        <v>1162800000</v>
      </c>
      <c r="T51" s="18">
        <f>물량원가기준!I51+IF(B51&gt;=설정!$B$6,I51*(설정!$B$18-설정!$B$13),0)</f>
        <v>75120</v>
      </c>
      <c r="U51" s="18">
        <f>IF(OR(COUNT(물량원가기준!E51:J51)&lt;&gt;6,COUNTIFS(물량원가기준!$A$6:$A$100,A51)&lt;&gt;1),0,1)</f>
        <v>1</v>
      </c>
    </row>
    <row r="52" spans="1:21" ht="30" customHeight="1">
      <c r="A52" s="10" t="str">
        <f>물량원가기준!A52</f>
        <v>2027-10|A-b</v>
      </c>
      <c r="B52" s="21">
        <f>물량원가기준!B52</f>
        <v>46661</v>
      </c>
      <c r="C52" s="10" t="str">
        <f>물량원가기준!C52</f>
        <v>A-b</v>
      </c>
      <c r="D52" s="17">
        <f>물량원가기준!E52</f>
        <v>9690</v>
      </c>
      <c r="E52" s="17">
        <f>물량원가기준!F52</f>
        <v>9690</v>
      </c>
      <c r="F52" s="17">
        <f>물량원가기준!G52</f>
        <v>180000</v>
      </c>
      <c r="G52" s="17">
        <f>SUM(물량원가기준!H52:J52)</f>
        <v>160000</v>
      </c>
      <c r="H52" s="15">
        <f t="shared" si="6"/>
        <v>20000</v>
      </c>
      <c r="I52" s="17">
        <f>부품모델매핑!D7</f>
        <v>1</v>
      </c>
      <c r="J52" s="17">
        <f>IF(ISNUMBER(물량원가기준!F52),E52*I52,"미산출")</f>
        <v>9690</v>
      </c>
      <c r="K52" s="15">
        <f t="shared" si="7"/>
        <v>193800000</v>
      </c>
      <c r="L52" s="15">
        <f t="shared" si="8"/>
        <v>193800000</v>
      </c>
      <c r="M52" s="15">
        <f t="shared" si="9"/>
        <v>0</v>
      </c>
      <c r="N52" s="17">
        <f>IF(AND(B52&gt;=설정!$B$6,B52&lt;설정!$B$23),1,0)</f>
        <v>1</v>
      </c>
      <c r="O52" s="17">
        <f>IF(AND(B52&gt;=설정!$B$6,B52&lt;설정!$B$24),1,0)</f>
        <v>1</v>
      </c>
      <c r="P52" s="17">
        <f>IF(B52&gt;=설정!$B$6,J52*(설정!$B$18-설정!$B$13),0)</f>
        <v>1162800</v>
      </c>
      <c r="Q52" s="15">
        <f t="shared" si="10"/>
        <v>192637200</v>
      </c>
      <c r="R52" s="17">
        <f>IF(물량원가기준!D52="","",물량원가기준!D52*H52)</f>
        <v>204000000</v>
      </c>
      <c r="S52" s="15">
        <f t="shared" si="11"/>
        <v>1744200000</v>
      </c>
      <c r="T52" s="17">
        <f>물량원가기준!I52+IF(B52&gt;=설정!$B$6,I52*(설정!$B$18-설정!$B$13),0)</f>
        <v>95120</v>
      </c>
      <c r="U52" s="17">
        <f>IF(OR(COUNT(물량원가기준!E52:J52)&lt;&gt;6,COUNTIFS(물량원가기준!$A$6:$A$100,A52)&lt;&gt;1),0,1)</f>
        <v>1</v>
      </c>
    </row>
    <row r="53" spans="1:21" ht="30" customHeight="1">
      <c r="A53" s="9" t="str">
        <f>물량원가기준!A53</f>
        <v>2027-10|A-c</v>
      </c>
      <c r="B53" s="22">
        <f>물량원가기준!B53</f>
        <v>46661</v>
      </c>
      <c r="C53" s="9" t="str">
        <f>물량원가기준!C53</f>
        <v>A-c</v>
      </c>
      <c r="D53" s="18">
        <f>물량원가기준!E53</f>
        <v>6059</v>
      </c>
      <c r="E53" s="18">
        <f>물량원가기준!F53</f>
        <v>6059</v>
      </c>
      <c r="F53" s="18">
        <f>물량원가기준!G53</f>
        <v>230000</v>
      </c>
      <c r="G53" s="18">
        <f>SUM(물량원가기준!H53:J53)</f>
        <v>202000</v>
      </c>
      <c r="H53" s="16">
        <f t="shared" si="6"/>
        <v>28000</v>
      </c>
      <c r="I53" s="18">
        <f>부품모델매핑!D8</f>
        <v>0</v>
      </c>
      <c r="J53" s="18">
        <f>IF(ISNUMBER(물량원가기준!F53),E53*I53,"미산출")</f>
        <v>0</v>
      </c>
      <c r="K53" s="16">
        <f t="shared" si="7"/>
        <v>169652000</v>
      </c>
      <c r="L53" s="16">
        <f t="shared" si="8"/>
        <v>169652000</v>
      </c>
      <c r="M53" s="16">
        <f t="shared" si="9"/>
        <v>0</v>
      </c>
      <c r="N53" s="18">
        <f>IF(AND(B53&gt;=설정!$B$6,B53&lt;설정!$B$23),1,0)</f>
        <v>1</v>
      </c>
      <c r="O53" s="18">
        <f>IF(AND(B53&gt;=설정!$B$6,B53&lt;설정!$B$24),1,0)</f>
        <v>1</v>
      </c>
      <c r="P53" s="18">
        <f>IF(B53&gt;=설정!$B$6,J53*(설정!$B$18-설정!$B$13),0)</f>
        <v>0</v>
      </c>
      <c r="Q53" s="16">
        <f t="shared" si="10"/>
        <v>169652000</v>
      </c>
      <c r="R53" s="18">
        <f>IF(물량원가기준!D53="","",물량원가기준!D53*H53)</f>
        <v>171360000</v>
      </c>
      <c r="S53" s="16">
        <f t="shared" si="11"/>
        <v>1393570000</v>
      </c>
      <c r="T53" s="18">
        <f>물량원가기준!I53+IF(B53&gt;=설정!$B$6,I53*(설정!$B$18-설정!$B$13),0)</f>
        <v>60000</v>
      </c>
      <c r="U53" s="18">
        <f>IF(OR(COUNT(물량원가기준!E53:J53)&lt;&gt;6,COUNTIFS(물량원가기준!$A$6:$A$100,A53)&lt;&gt;1),0,1)</f>
        <v>1</v>
      </c>
    </row>
    <row r="54" spans="1:21" ht="30" customHeight="1">
      <c r="A54" s="10" t="str">
        <f>물량원가기준!A54</f>
        <v>2027-10|A-d</v>
      </c>
      <c r="B54" s="21">
        <f>물량원가기준!B54</f>
        <v>46661</v>
      </c>
      <c r="C54" s="10" t="str">
        <f>물량원가기준!C54</f>
        <v>A-d</v>
      </c>
      <c r="D54" s="17">
        <f>물량원가기준!E54</f>
        <v>5151</v>
      </c>
      <c r="E54" s="17">
        <f>물량원가기준!F54</f>
        <v>5151</v>
      </c>
      <c r="F54" s="17">
        <f>물량원가기준!G54</f>
        <v>210000</v>
      </c>
      <c r="G54" s="17">
        <f>SUM(물량원가기준!H54:J54)</f>
        <v>185000</v>
      </c>
      <c r="H54" s="15">
        <f t="shared" si="6"/>
        <v>25000</v>
      </c>
      <c r="I54" s="17">
        <f>부품모델매핑!D9</f>
        <v>0</v>
      </c>
      <c r="J54" s="17">
        <f>IF(ISNUMBER(물량원가기준!F54),E54*I54,"미산출")</f>
        <v>0</v>
      </c>
      <c r="K54" s="15">
        <f t="shared" si="7"/>
        <v>128775000</v>
      </c>
      <c r="L54" s="15">
        <f t="shared" si="8"/>
        <v>128775000</v>
      </c>
      <c r="M54" s="15">
        <f t="shared" si="9"/>
        <v>0</v>
      </c>
      <c r="N54" s="17">
        <f>IF(AND(B54&gt;=설정!$B$6,B54&lt;설정!$B$23),1,0)</f>
        <v>1</v>
      </c>
      <c r="O54" s="17">
        <f>IF(AND(B54&gt;=설정!$B$6,B54&lt;설정!$B$24),1,0)</f>
        <v>1</v>
      </c>
      <c r="P54" s="17">
        <f>IF(B54&gt;=설정!$B$6,J54*(설정!$B$18-설정!$B$13),0)</f>
        <v>0</v>
      </c>
      <c r="Q54" s="15">
        <f t="shared" si="10"/>
        <v>128775000</v>
      </c>
      <c r="R54" s="17">
        <f>IF(물량원가기준!D54="","",물량원가기준!D54*H54)</f>
        <v>127500000</v>
      </c>
      <c r="S54" s="15">
        <f t="shared" si="11"/>
        <v>1081710000</v>
      </c>
      <c r="T54" s="17">
        <f>물량원가기준!I54+IF(B54&gt;=설정!$B$6,I54*(설정!$B$18-설정!$B$13),0)</f>
        <v>65000</v>
      </c>
      <c r="U54" s="17">
        <f>IF(OR(COUNT(물량원가기준!E54:J54)&lt;&gt;6,COUNTIFS(물량원가기준!$A$6:$A$100,A54)&lt;&gt;1),0,1)</f>
        <v>1</v>
      </c>
    </row>
    <row r="55" spans="1:21" ht="30" customHeight="1">
      <c r="A55" s="9" t="str">
        <f>물량원가기준!A55</f>
        <v>2027-10|A-e</v>
      </c>
      <c r="B55" s="22">
        <f>물량원가기준!B55</f>
        <v>46661</v>
      </c>
      <c r="C55" s="9" t="str">
        <f>물량원가기준!C55</f>
        <v>A-e</v>
      </c>
      <c r="D55" s="18">
        <f>물량원가기준!E55</f>
        <v>3029</v>
      </c>
      <c r="E55" s="18">
        <f>물량원가기준!F55</f>
        <v>3029</v>
      </c>
      <c r="F55" s="18">
        <f>물량원가기준!G55</f>
        <v>150000</v>
      </c>
      <c r="G55" s="18">
        <f>SUM(물량원가기준!H55:J55)</f>
        <v>132000</v>
      </c>
      <c r="H55" s="16">
        <f t="shared" si="6"/>
        <v>18000</v>
      </c>
      <c r="I55" s="18">
        <f>부품모델매핑!D10</f>
        <v>0</v>
      </c>
      <c r="J55" s="18">
        <f>IF(ISNUMBER(물량원가기준!F55),E55*I55,"미산출")</f>
        <v>0</v>
      </c>
      <c r="K55" s="16">
        <f t="shared" si="7"/>
        <v>54522000</v>
      </c>
      <c r="L55" s="16">
        <f t="shared" si="8"/>
        <v>54522000</v>
      </c>
      <c r="M55" s="16">
        <f t="shared" si="9"/>
        <v>0</v>
      </c>
      <c r="N55" s="18">
        <f>IF(AND(B55&gt;=설정!$B$6,B55&lt;설정!$B$23),1,0)</f>
        <v>1</v>
      </c>
      <c r="O55" s="18">
        <f>IF(AND(B55&gt;=설정!$B$6,B55&lt;설정!$B$24),1,0)</f>
        <v>1</v>
      </c>
      <c r="P55" s="18">
        <f>IF(B55&gt;=설정!$B$6,J55*(설정!$B$18-설정!$B$13),0)</f>
        <v>0</v>
      </c>
      <c r="Q55" s="16">
        <f t="shared" si="10"/>
        <v>54522000</v>
      </c>
      <c r="R55" s="18">
        <f>IF(물량원가기준!D55="","",물량원가기준!D55*H55)</f>
        <v>55080000</v>
      </c>
      <c r="S55" s="16">
        <f t="shared" si="11"/>
        <v>454350000</v>
      </c>
      <c r="T55" s="18">
        <f>물량원가기준!I55+IF(B55&gt;=설정!$B$6,I55*(설정!$B$18-설정!$B$13),0)</f>
        <v>50000</v>
      </c>
      <c r="U55" s="18">
        <f>IF(OR(COUNT(물량원가기준!E55:J55)&lt;&gt;6,COUNTIFS(물량원가기준!$A$6:$A$100,A55)&lt;&gt;1),0,1)</f>
        <v>1</v>
      </c>
    </row>
    <row r="56" spans="1:21" ht="30" customHeight="1">
      <c r="A56" s="10" t="str">
        <f>물량원가기준!A56</f>
        <v>2027-11|A-a</v>
      </c>
      <c r="B56" s="21">
        <f>물량원가기준!B56</f>
        <v>46692</v>
      </c>
      <c r="C56" s="10" t="str">
        <f>물량원가기준!C56</f>
        <v>A-a</v>
      </c>
      <c r="D56" s="17">
        <f>물량원가기준!E56</f>
        <v>3800</v>
      </c>
      <c r="E56" s="17">
        <f>물량원가기준!F56</f>
        <v>3800</v>
      </c>
      <c r="F56" s="17">
        <f>물량원가기준!G56</f>
        <v>300000</v>
      </c>
      <c r="G56" s="17">
        <f>SUM(물량원가기준!H56:J56)</f>
        <v>270000</v>
      </c>
      <c r="H56" s="15">
        <f t="shared" si="6"/>
        <v>30000</v>
      </c>
      <c r="I56" s="17">
        <f>부품모델매핑!D6</f>
        <v>1</v>
      </c>
      <c r="J56" s="17">
        <f>IF(ISNUMBER(물량원가기준!F56),E56*I56,"미산출")</f>
        <v>3800</v>
      </c>
      <c r="K56" s="15">
        <f t="shared" si="7"/>
        <v>114000000</v>
      </c>
      <c r="L56" s="15">
        <f t="shared" si="8"/>
        <v>114000000</v>
      </c>
      <c r="M56" s="15">
        <f t="shared" si="9"/>
        <v>0</v>
      </c>
      <c r="N56" s="17">
        <f>IF(AND(B56&gt;=설정!$B$6,B56&lt;설정!$B$23),1,0)</f>
        <v>1</v>
      </c>
      <c r="O56" s="17">
        <f>IF(AND(B56&gt;=설정!$B$6,B56&lt;설정!$B$24),1,0)</f>
        <v>1</v>
      </c>
      <c r="P56" s="17">
        <f>IF(B56&gt;=설정!$B$6,J56*(설정!$B$18-설정!$B$13),0)</f>
        <v>456000</v>
      </c>
      <c r="Q56" s="15">
        <f t="shared" si="10"/>
        <v>113544000</v>
      </c>
      <c r="R56" s="17">
        <f>IF(물량원가기준!D56="","",물량원가기준!D56*H56)</f>
        <v>120000000</v>
      </c>
      <c r="S56" s="15">
        <f t="shared" si="11"/>
        <v>1140000000</v>
      </c>
      <c r="T56" s="17">
        <f>물량원가기준!I56+IF(B56&gt;=설정!$B$6,I56*(설정!$B$18-설정!$B$13),0)</f>
        <v>75120</v>
      </c>
      <c r="U56" s="17">
        <f>IF(OR(COUNT(물량원가기준!E56:J56)&lt;&gt;6,COUNTIFS(물량원가기준!$A$6:$A$100,A56)&lt;&gt;1),0,1)</f>
        <v>1</v>
      </c>
    </row>
    <row r="57" spans="1:21" ht="30" customHeight="1">
      <c r="A57" s="9" t="str">
        <f>물량원가기준!A57</f>
        <v>2027-11|A-b</v>
      </c>
      <c r="B57" s="22">
        <f>물량원가기준!B57</f>
        <v>46692</v>
      </c>
      <c r="C57" s="9" t="str">
        <f>물량원가기준!C57</f>
        <v>A-b</v>
      </c>
      <c r="D57" s="18">
        <f>물량원가기준!E57</f>
        <v>9500</v>
      </c>
      <c r="E57" s="18">
        <f>물량원가기준!F57</f>
        <v>9500</v>
      </c>
      <c r="F57" s="18">
        <f>물량원가기준!G57</f>
        <v>180000</v>
      </c>
      <c r="G57" s="18">
        <f>SUM(물량원가기준!H57:J57)</f>
        <v>160000</v>
      </c>
      <c r="H57" s="16">
        <f t="shared" si="6"/>
        <v>20000</v>
      </c>
      <c r="I57" s="18">
        <f>부품모델매핑!D7</f>
        <v>1</v>
      </c>
      <c r="J57" s="18">
        <f>IF(ISNUMBER(물량원가기준!F57),E57*I57,"미산출")</f>
        <v>9500</v>
      </c>
      <c r="K57" s="16">
        <f t="shared" si="7"/>
        <v>190000000</v>
      </c>
      <c r="L57" s="16">
        <f t="shared" si="8"/>
        <v>190000000</v>
      </c>
      <c r="M57" s="16">
        <f t="shared" si="9"/>
        <v>0</v>
      </c>
      <c r="N57" s="18">
        <f>IF(AND(B57&gt;=설정!$B$6,B57&lt;설정!$B$23),1,0)</f>
        <v>1</v>
      </c>
      <c r="O57" s="18">
        <f>IF(AND(B57&gt;=설정!$B$6,B57&lt;설정!$B$24),1,0)</f>
        <v>1</v>
      </c>
      <c r="P57" s="18">
        <f>IF(B57&gt;=설정!$B$6,J57*(설정!$B$18-설정!$B$13),0)</f>
        <v>1140000</v>
      </c>
      <c r="Q57" s="16">
        <f t="shared" si="10"/>
        <v>188860000</v>
      </c>
      <c r="R57" s="18">
        <f>IF(물량원가기준!D57="","",물량원가기준!D57*H57)</f>
        <v>200000000</v>
      </c>
      <c r="S57" s="16">
        <f t="shared" si="11"/>
        <v>1710000000</v>
      </c>
      <c r="T57" s="18">
        <f>물량원가기준!I57+IF(B57&gt;=설정!$B$6,I57*(설정!$B$18-설정!$B$13),0)</f>
        <v>95120</v>
      </c>
      <c r="U57" s="18">
        <f>IF(OR(COUNT(물량원가기준!E57:J57)&lt;&gt;6,COUNTIFS(물량원가기준!$A$6:$A$100,A57)&lt;&gt;1),0,1)</f>
        <v>1</v>
      </c>
    </row>
    <row r="58" spans="1:21" ht="30" customHeight="1">
      <c r="A58" s="10" t="str">
        <f>물량원가기준!A58</f>
        <v>2027-11|A-c</v>
      </c>
      <c r="B58" s="21">
        <f>물량원가기준!B58</f>
        <v>46692</v>
      </c>
      <c r="C58" s="10" t="str">
        <f>물량원가기준!C58</f>
        <v>A-c</v>
      </c>
      <c r="D58" s="17">
        <f>물량원가기준!E58</f>
        <v>5940</v>
      </c>
      <c r="E58" s="17">
        <f>물량원가기준!F58</f>
        <v>5940</v>
      </c>
      <c r="F58" s="17">
        <f>물량원가기준!G58</f>
        <v>230000</v>
      </c>
      <c r="G58" s="17">
        <f>SUM(물량원가기준!H58:J58)</f>
        <v>202000</v>
      </c>
      <c r="H58" s="15">
        <f t="shared" si="6"/>
        <v>28000</v>
      </c>
      <c r="I58" s="17">
        <f>부품모델매핑!D8</f>
        <v>0</v>
      </c>
      <c r="J58" s="17">
        <f>IF(ISNUMBER(물량원가기준!F58),E58*I58,"미산출")</f>
        <v>0</v>
      </c>
      <c r="K58" s="15">
        <f t="shared" si="7"/>
        <v>166320000</v>
      </c>
      <c r="L58" s="15">
        <f t="shared" si="8"/>
        <v>166320000</v>
      </c>
      <c r="M58" s="15">
        <f t="shared" si="9"/>
        <v>0</v>
      </c>
      <c r="N58" s="17">
        <f>IF(AND(B58&gt;=설정!$B$6,B58&lt;설정!$B$23),1,0)</f>
        <v>1</v>
      </c>
      <c r="O58" s="17">
        <f>IF(AND(B58&gt;=설정!$B$6,B58&lt;설정!$B$24),1,0)</f>
        <v>1</v>
      </c>
      <c r="P58" s="17">
        <f>IF(B58&gt;=설정!$B$6,J58*(설정!$B$18-설정!$B$13),0)</f>
        <v>0</v>
      </c>
      <c r="Q58" s="15">
        <f t="shared" si="10"/>
        <v>166320000</v>
      </c>
      <c r="R58" s="17">
        <f>IF(물량원가기준!D58="","",물량원가기준!D58*H58)</f>
        <v>168000000</v>
      </c>
      <c r="S58" s="15">
        <f t="shared" si="11"/>
        <v>1366200000</v>
      </c>
      <c r="T58" s="17">
        <f>물량원가기준!I58+IF(B58&gt;=설정!$B$6,I58*(설정!$B$18-설정!$B$13),0)</f>
        <v>60000</v>
      </c>
      <c r="U58" s="17">
        <f>IF(OR(COUNT(물량원가기준!E58:J58)&lt;&gt;6,COUNTIFS(물량원가기준!$A$6:$A$100,A58)&lt;&gt;1),0,1)</f>
        <v>1</v>
      </c>
    </row>
    <row r="59" spans="1:21" ht="30" customHeight="1">
      <c r="A59" s="9" t="str">
        <f>물량원가기준!A59</f>
        <v>2027-11|A-d</v>
      </c>
      <c r="B59" s="22">
        <f>물량원가기준!B59</f>
        <v>46692</v>
      </c>
      <c r="C59" s="9" t="str">
        <f>물량원가기준!C59</f>
        <v>A-d</v>
      </c>
      <c r="D59" s="18">
        <f>물량원가기준!E59</f>
        <v>5050</v>
      </c>
      <c r="E59" s="18">
        <f>물량원가기준!F59</f>
        <v>5050</v>
      </c>
      <c r="F59" s="18">
        <f>물량원가기준!G59</f>
        <v>210000</v>
      </c>
      <c r="G59" s="18">
        <f>SUM(물량원가기준!H59:J59)</f>
        <v>185000</v>
      </c>
      <c r="H59" s="16">
        <f t="shared" si="6"/>
        <v>25000</v>
      </c>
      <c r="I59" s="18">
        <f>부품모델매핑!D9</f>
        <v>0</v>
      </c>
      <c r="J59" s="18">
        <f>IF(ISNUMBER(물량원가기준!F59),E59*I59,"미산출")</f>
        <v>0</v>
      </c>
      <c r="K59" s="16">
        <f t="shared" si="7"/>
        <v>126250000</v>
      </c>
      <c r="L59" s="16">
        <f t="shared" si="8"/>
        <v>126250000</v>
      </c>
      <c r="M59" s="16">
        <f t="shared" si="9"/>
        <v>0</v>
      </c>
      <c r="N59" s="18">
        <f>IF(AND(B59&gt;=설정!$B$6,B59&lt;설정!$B$23),1,0)</f>
        <v>1</v>
      </c>
      <c r="O59" s="18">
        <f>IF(AND(B59&gt;=설정!$B$6,B59&lt;설정!$B$24),1,0)</f>
        <v>1</v>
      </c>
      <c r="P59" s="18">
        <f>IF(B59&gt;=설정!$B$6,J59*(설정!$B$18-설정!$B$13),0)</f>
        <v>0</v>
      </c>
      <c r="Q59" s="16">
        <f t="shared" si="10"/>
        <v>126250000</v>
      </c>
      <c r="R59" s="18">
        <f>IF(물량원가기준!D59="","",물량원가기준!D59*H59)</f>
        <v>125000000</v>
      </c>
      <c r="S59" s="16">
        <f t="shared" si="11"/>
        <v>1060500000</v>
      </c>
      <c r="T59" s="18">
        <f>물량원가기준!I59+IF(B59&gt;=설정!$B$6,I59*(설정!$B$18-설정!$B$13),0)</f>
        <v>65000</v>
      </c>
      <c r="U59" s="18">
        <f>IF(OR(COUNT(물량원가기준!E59:J59)&lt;&gt;6,COUNTIFS(물량원가기준!$A$6:$A$100,A59)&lt;&gt;1),0,1)</f>
        <v>1</v>
      </c>
    </row>
    <row r="60" spans="1:21" ht="30" customHeight="1">
      <c r="A60" s="10" t="str">
        <f>물량원가기준!A60</f>
        <v>2027-11|A-e</v>
      </c>
      <c r="B60" s="21">
        <f>물량원가기준!B60</f>
        <v>46692</v>
      </c>
      <c r="C60" s="10" t="str">
        <f>물량원가기준!C60</f>
        <v>A-e</v>
      </c>
      <c r="D60" s="17">
        <f>물량원가기준!E60</f>
        <v>2970</v>
      </c>
      <c r="E60" s="17">
        <f>물량원가기준!F60</f>
        <v>2970</v>
      </c>
      <c r="F60" s="17">
        <f>물량원가기준!G60</f>
        <v>150000</v>
      </c>
      <c r="G60" s="17">
        <f>SUM(물량원가기준!H60:J60)</f>
        <v>132000</v>
      </c>
      <c r="H60" s="15">
        <f t="shared" si="6"/>
        <v>18000</v>
      </c>
      <c r="I60" s="17">
        <f>부품모델매핑!D10</f>
        <v>0</v>
      </c>
      <c r="J60" s="17">
        <f>IF(ISNUMBER(물량원가기준!F60),E60*I60,"미산출")</f>
        <v>0</v>
      </c>
      <c r="K60" s="15">
        <f t="shared" si="7"/>
        <v>53460000</v>
      </c>
      <c r="L60" s="15">
        <f t="shared" si="8"/>
        <v>53460000</v>
      </c>
      <c r="M60" s="15">
        <f t="shared" si="9"/>
        <v>0</v>
      </c>
      <c r="N60" s="17">
        <f>IF(AND(B60&gt;=설정!$B$6,B60&lt;설정!$B$23),1,0)</f>
        <v>1</v>
      </c>
      <c r="O60" s="17">
        <f>IF(AND(B60&gt;=설정!$B$6,B60&lt;설정!$B$24),1,0)</f>
        <v>1</v>
      </c>
      <c r="P60" s="17">
        <f>IF(B60&gt;=설정!$B$6,J60*(설정!$B$18-설정!$B$13),0)</f>
        <v>0</v>
      </c>
      <c r="Q60" s="15">
        <f t="shared" si="10"/>
        <v>53460000</v>
      </c>
      <c r="R60" s="17">
        <f>IF(물량원가기준!D60="","",물량원가기준!D60*H60)</f>
        <v>54000000</v>
      </c>
      <c r="S60" s="15">
        <f t="shared" si="11"/>
        <v>445500000</v>
      </c>
      <c r="T60" s="17">
        <f>물량원가기준!I60+IF(B60&gt;=설정!$B$6,I60*(설정!$B$18-설정!$B$13),0)</f>
        <v>50000</v>
      </c>
      <c r="U60" s="17">
        <f>IF(OR(COUNT(물량원가기준!E60:J60)&lt;&gt;6,COUNTIFS(물량원가기준!$A$6:$A$100,A60)&lt;&gt;1),0,1)</f>
        <v>1</v>
      </c>
    </row>
    <row r="61" spans="1:21" ht="30" customHeight="1">
      <c r="A61" s="9" t="str">
        <f>물량원가기준!A61</f>
        <v>2027-12|A-a</v>
      </c>
      <c r="B61" s="22">
        <f>물량원가기준!B61</f>
        <v>46722</v>
      </c>
      <c r="C61" s="9" t="str">
        <f>물량원가기준!C61</f>
        <v>A-a</v>
      </c>
      <c r="D61" s="18">
        <f>물량원가기준!E61</f>
        <v>3610</v>
      </c>
      <c r="E61" s="18">
        <f>물량원가기준!F61</f>
        <v>3610</v>
      </c>
      <c r="F61" s="18">
        <f>물량원가기준!G61</f>
        <v>300000</v>
      </c>
      <c r="G61" s="18">
        <f>SUM(물량원가기준!H61:J61)</f>
        <v>270000</v>
      </c>
      <c r="H61" s="16">
        <f t="shared" si="6"/>
        <v>30000</v>
      </c>
      <c r="I61" s="18">
        <f>부품모델매핑!D6</f>
        <v>1</v>
      </c>
      <c r="J61" s="18">
        <f>IF(ISNUMBER(물량원가기준!F61),E61*I61,"미산출")</f>
        <v>3610</v>
      </c>
      <c r="K61" s="16">
        <f t="shared" si="7"/>
        <v>108300000</v>
      </c>
      <c r="L61" s="16">
        <f t="shared" si="8"/>
        <v>108300000</v>
      </c>
      <c r="M61" s="16">
        <f t="shared" si="9"/>
        <v>0</v>
      </c>
      <c r="N61" s="18">
        <f>IF(AND(B61&gt;=설정!$B$6,B61&lt;설정!$B$23),1,0)</f>
        <v>1</v>
      </c>
      <c r="O61" s="18">
        <f>IF(AND(B61&gt;=설정!$B$6,B61&lt;설정!$B$24),1,0)</f>
        <v>1</v>
      </c>
      <c r="P61" s="18">
        <f>IF(B61&gt;=설정!$B$6,J61*(설정!$B$18-설정!$B$13),0)</f>
        <v>433200</v>
      </c>
      <c r="Q61" s="16">
        <f t="shared" si="10"/>
        <v>107866800</v>
      </c>
      <c r="R61" s="18">
        <f>IF(물량원가기준!D61="","",물량원가기준!D61*H61)</f>
        <v>114000000</v>
      </c>
      <c r="S61" s="16">
        <f t="shared" si="11"/>
        <v>1083000000</v>
      </c>
      <c r="T61" s="18">
        <f>물량원가기준!I61+IF(B61&gt;=설정!$B$6,I61*(설정!$B$18-설정!$B$13),0)</f>
        <v>75120</v>
      </c>
      <c r="U61" s="18">
        <f>IF(OR(COUNT(물량원가기준!E61:J61)&lt;&gt;6,COUNTIFS(물량원가기준!$A$6:$A$100,A61)&lt;&gt;1),0,1)</f>
        <v>1</v>
      </c>
    </row>
    <row r="62" spans="1:21" ht="30" customHeight="1">
      <c r="A62" s="10" t="str">
        <f>물량원가기준!A62</f>
        <v>2027-12|A-b</v>
      </c>
      <c r="B62" s="21">
        <f>물량원가기준!B62</f>
        <v>46722</v>
      </c>
      <c r="C62" s="10" t="str">
        <f>물량원가기준!C62</f>
        <v>A-b</v>
      </c>
      <c r="D62" s="17">
        <f>물량원가기준!E62</f>
        <v>9025</v>
      </c>
      <c r="E62" s="17">
        <f>물량원가기준!F62</f>
        <v>9025</v>
      </c>
      <c r="F62" s="17">
        <f>물량원가기준!G62</f>
        <v>180000</v>
      </c>
      <c r="G62" s="17">
        <f>SUM(물량원가기준!H62:J62)</f>
        <v>160000</v>
      </c>
      <c r="H62" s="15">
        <f t="shared" si="6"/>
        <v>20000</v>
      </c>
      <c r="I62" s="17">
        <f>부품모델매핑!D7</f>
        <v>1</v>
      </c>
      <c r="J62" s="17">
        <f>IF(ISNUMBER(물량원가기준!F62),E62*I62,"미산출")</f>
        <v>9025</v>
      </c>
      <c r="K62" s="15">
        <f t="shared" si="7"/>
        <v>180500000</v>
      </c>
      <c r="L62" s="15">
        <f t="shared" si="8"/>
        <v>180500000</v>
      </c>
      <c r="M62" s="15">
        <f t="shared" si="9"/>
        <v>0</v>
      </c>
      <c r="N62" s="17">
        <f>IF(AND(B62&gt;=설정!$B$6,B62&lt;설정!$B$23),1,0)</f>
        <v>1</v>
      </c>
      <c r="O62" s="17">
        <f>IF(AND(B62&gt;=설정!$B$6,B62&lt;설정!$B$24),1,0)</f>
        <v>1</v>
      </c>
      <c r="P62" s="17">
        <f>IF(B62&gt;=설정!$B$6,J62*(설정!$B$18-설정!$B$13),0)</f>
        <v>1083000</v>
      </c>
      <c r="Q62" s="15">
        <f t="shared" si="10"/>
        <v>179417000</v>
      </c>
      <c r="R62" s="17">
        <f>IF(물량원가기준!D62="","",물량원가기준!D62*H62)</f>
        <v>190000000</v>
      </c>
      <c r="S62" s="15">
        <f t="shared" si="11"/>
        <v>1624500000</v>
      </c>
      <c r="T62" s="17">
        <f>물량원가기준!I62+IF(B62&gt;=설정!$B$6,I62*(설정!$B$18-설정!$B$13),0)</f>
        <v>95120</v>
      </c>
      <c r="U62" s="17">
        <f>IF(OR(COUNT(물량원가기준!E62:J62)&lt;&gt;6,COUNTIFS(물량원가기준!$A$6:$A$100,A62)&lt;&gt;1),0,1)</f>
        <v>1</v>
      </c>
    </row>
    <row r="63" spans="1:21" ht="30" customHeight="1">
      <c r="A63" s="9" t="str">
        <f>물량원가기준!A63</f>
        <v>2027-12|A-c</v>
      </c>
      <c r="B63" s="22">
        <f>물량원가기준!B63</f>
        <v>46722</v>
      </c>
      <c r="C63" s="9" t="str">
        <f>물량원가기준!C63</f>
        <v>A-c</v>
      </c>
      <c r="D63" s="18">
        <f>물량원가기준!E63</f>
        <v>5643</v>
      </c>
      <c r="E63" s="18">
        <f>물량원가기준!F63</f>
        <v>5643</v>
      </c>
      <c r="F63" s="18">
        <f>물량원가기준!G63</f>
        <v>230000</v>
      </c>
      <c r="G63" s="18">
        <f>SUM(물량원가기준!H63:J63)</f>
        <v>202000</v>
      </c>
      <c r="H63" s="16">
        <f t="shared" si="6"/>
        <v>28000</v>
      </c>
      <c r="I63" s="18">
        <f>부품모델매핑!D8</f>
        <v>0</v>
      </c>
      <c r="J63" s="18">
        <f>IF(ISNUMBER(물량원가기준!F63),E63*I63,"미산출")</f>
        <v>0</v>
      </c>
      <c r="K63" s="16">
        <f t="shared" si="7"/>
        <v>158004000</v>
      </c>
      <c r="L63" s="16">
        <f t="shared" si="8"/>
        <v>158004000</v>
      </c>
      <c r="M63" s="16">
        <f t="shared" si="9"/>
        <v>0</v>
      </c>
      <c r="N63" s="18">
        <f>IF(AND(B63&gt;=설정!$B$6,B63&lt;설정!$B$23),1,0)</f>
        <v>1</v>
      </c>
      <c r="O63" s="18">
        <f>IF(AND(B63&gt;=설정!$B$6,B63&lt;설정!$B$24),1,0)</f>
        <v>1</v>
      </c>
      <c r="P63" s="18">
        <f>IF(B63&gt;=설정!$B$6,J63*(설정!$B$18-설정!$B$13),0)</f>
        <v>0</v>
      </c>
      <c r="Q63" s="16">
        <f t="shared" si="10"/>
        <v>158004000</v>
      </c>
      <c r="R63" s="18">
        <f>IF(물량원가기준!D63="","",물량원가기준!D63*H63)</f>
        <v>159600000</v>
      </c>
      <c r="S63" s="16">
        <f t="shared" si="11"/>
        <v>1297890000</v>
      </c>
      <c r="T63" s="18">
        <f>물량원가기준!I63+IF(B63&gt;=설정!$B$6,I63*(설정!$B$18-설정!$B$13),0)</f>
        <v>60000</v>
      </c>
      <c r="U63" s="18">
        <f>IF(OR(COUNT(물량원가기준!E63:J63)&lt;&gt;6,COUNTIFS(물량원가기준!$A$6:$A$100,A63)&lt;&gt;1),0,1)</f>
        <v>1</v>
      </c>
    </row>
    <row r="64" spans="1:21" ht="30" customHeight="1">
      <c r="A64" s="10" t="str">
        <f>물량원가기준!A64</f>
        <v>2027-12|A-d</v>
      </c>
      <c r="B64" s="21">
        <f>물량원가기준!B64</f>
        <v>46722</v>
      </c>
      <c r="C64" s="10" t="str">
        <f>물량원가기준!C64</f>
        <v>A-d</v>
      </c>
      <c r="D64" s="17">
        <f>물량원가기준!E64</f>
        <v>4798</v>
      </c>
      <c r="E64" s="17">
        <f>물량원가기준!F64</f>
        <v>4798</v>
      </c>
      <c r="F64" s="17">
        <f>물량원가기준!G64</f>
        <v>210000</v>
      </c>
      <c r="G64" s="17">
        <f>SUM(물량원가기준!H64:J64)</f>
        <v>185000</v>
      </c>
      <c r="H64" s="15">
        <f t="shared" si="6"/>
        <v>25000</v>
      </c>
      <c r="I64" s="17">
        <f>부품모델매핑!D9</f>
        <v>0</v>
      </c>
      <c r="J64" s="17">
        <f>IF(ISNUMBER(물량원가기준!F64),E64*I64,"미산출")</f>
        <v>0</v>
      </c>
      <c r="K64" s="15">
        <f t="shared" si="7"/>
        <v>119950000</v>
      </c>
      <c r="L64" s="15">
        <f t="shared" si="8"/>
        <v>119950000</v>
      </c>
      <c r="M64" s="15">
        <f t="shared" si="9"/>
        <v>0</v>
      </c>
      <c r="N64" s="17">
        <f>IF(AND(B64&gt;=설정!$B$6,B64&lt;설정!$B$23),1,0)</f>
        <v>1</v>
      </c>
      <c r="O64" s="17">
        <f>IF(AND(B64&gt;=설정!$B$6,B64&lt;설정!$B$24),1,0)</f>
        <v>1</v>
      </c>
      <c r="P64" s="17">
        <f>IF(B64&gt;=설정!$B$6,J64*(설정!$B$18-설정!$B$13),0)</f>
        <v>0</v>
      </c>
      <c r="Q64" s="15">
        <f t="shared" si="10"/>
        <v>119950000</v>
      </c>
      <c r="R64" s="17">
        <f>IF(물량원가기준!D64="","",물량원가기준!D64*H64)</f>
        <v>118750000</v>
      </c>
      <c r="S64" s="15">
        <f t="shared" si="11"/>
        <v>1007580000</v>
      </c>
      <c r="T64" s="17">
        <f>물량원가기준!I64+IF(B64&gt;=설정!$B$6,I64*(설정!$B$18-설정!$B$13),0)</f>
        <v>65000</v>
      </c>
      <c r="U64" s="17">
        <f>IF(OR(COUNT(물량원가기준!E64:J64)&lt;&gt;6,COUNTIFS(물량원가기준!$A$6:$A$100,A64)&lt;&gt;1),0,1)</f>
        <v>1</v>
      </c>
    </row>
    <row r="65" spans="1:21" ht="30" customHeight="1">
      <c r="A65" s="9" t="str">
        <f>물량원가기준!A65</f>
        <v>2027-12|A-e</v>
      </c>
      <c r="B65" s="22">
        <f>물량원가기준!B65</f>
        <v>46722</v>
      </c>
      <c r="C65" s="9" t="str">
        <f>물량원가기준!C65</f>
        <v>A-e</v>
      </c>
      <c r="D65" s="18">
        <f>물량원가기준!E65</f>
        <v>2822</v>
      </c>
      <c r="E65" s="18">
        <f>물량원가기준!F65</f>
        <v>2822</v>
      </c>
      <c r="F65" s="18">
        <f>물량원가기준!G65</f>
        <v>150000</v>
      </c>
      <c r="G65" s="18">
        <f>SUM(물량원가기준!H65:J65)</f>
        <v>132000</v>
      </c>
      <c r="H65" s="16">
        <f t="shared" si="6"/>
        <v>18000</v>
      </c>
      <c r="I65" s="18">
        <f>부품모델매핑!D10</f>
        <v>0</v>
      </c>
      <c r="J65" s="18">
        <f>IF(ISNUMBER(물량원가기준!F65),E65*I65,"미산출")</f>
        <v>0</v>
      </c>
      <c r="K65" s="16">
        <f t="shared" si="7"/>
        <v>50796000</v>
      </c>
      <c r="L65" s="16">
        <f t="shared" si="8"/>
        <v>50796000</v>
      </c>
      <c r="M65" s="16">
        <f t="shared" si="9"/>
        <v>0</v>
      </c>
      <c r="N65" s="18">
        <f>IF(AND(B65&gt;=설정!$B$6,B65&lt;설정!$B$23),1,0)</f>
        <v>1</v>
      </c>
      <c r="O65" s="18">
        <f>IF(AND(B65&gt;=설정!$B$6,B65&lt;설정!$B$24),1,0)</f>
        <v>1</v>
      </c>
      <c r="P65" s="18">
        <f>IF(B65&gt;=설정!$B$6,J65*(설정!$B$18-설정!$B$13),0)</f>
        <v>0</v>
      </c>
      <c r="Q65" s="16">
        <f t="shared" si="10"/>
        <v>50796000</v>
      </c>
      <c r="R65" s="18">
        <f>IF(물량원가기준!D65="","",물량원가기준!D65*H65)</f>
        <v>51300000</v>
      </c>
      <c r="S65" s="16">
        <f t="shared" si="11"/>
        <v>423300000</v>
      </c>
      <c r="T65" s="18">
        <f>물량원가기준!I65+IF(B65&gt;=설정!$B$6,I65*(설정!$B$18-설정!$B$13),0)</f>
        <v>50000</v>
      </c>
      <c r="U65" s="18">
        <f>IF(OR(COUNT(물량원가기준!E65:J65)&lt;&gt;6,COUNTIFS(물량원가기준!$A$6:$A$100,A65)&lt;&gt;1),0,1)</f>
        <v>1</v>
      </c>
    </row>
    <row r="66" spans="1:21" ht="30" customHeight="1">
      <c r="A66" s="10" t="str">
        <f>물량원가기준!A66</f>
        <v>2028-01|A-a</v>
      </c>
      <c r="B66" s="21">
        <f>물량원가기준!B66</f>
        <v>46753</v>
      </c>
      <c r="C66" s="10" t="str">
        <f>물량원가기준!C66</f>
        <v>A-a</v>
      </c>
      <c r="D66" s="17">
        <f>물량원가기준!E66</f>
        <v>3958</v>
      </c>
      <c r="E66" s="17">
        <f>물량원가기준!F66</f>
        <v>3958</v>
      </c>
      <c r="F66" s="17">
        <f>물량원가기준!G66</f>
        <v>300000</v>
      </c>
      <c r="G66" s="17">
        <f>SUM(물량원가기준!H66:J66)</f>
        <v>270000</v>
      </c>
      <c r="H66" s="15">
        <f t="shared" si="6"/>
        <v>30000</v>
      </c>
      <c r="I66" s="17">
        <f>부품모델매핑!D6</f>
        <v>1</v>
      </c>
      <c r="J66" s="17">
        <f>IF(ISNUMBER(물량원가기준!F66),E66*I66,"미산출")</f>
        <v>3958</v>
      </c>
      <c r="K66" s="15">
        <f t="shared" si="7"/>
        <v>118740000</v>
      </c>
      <c r="L66" s="15">
        <f t="shared" si="8"/>
        <v>118740000</v>
      </c>
      <c r="M66" s="15">
        <f t="shared" si="9"/>
        <v>0</v>
      </c>
      <c r="N66" s="17">
        <f>IF(AND(B66&gt;=설정!$B$6,B66&lt;설정!$B$23),1,0)</f>
        <v>1</v>
      </c>
      <c r="O66" s="17">
        <f>IF(AND(B66&gt;=설정!$B$6,B66&lt;설정!$B$24),1,0)</f>
        <v>0</v>
      </c>
      <c r="P66" s="17">
        <f>IF(B66&gt;=설정!$B$6,J66*(설정!$B$18-설정!$B$13),0)</f>
        <v>474960</v>
      </c>
      <c r="Q66" s="15">
        <f t="shared" si="10"/>
        <v>118265040</v>
      </c>
      <c r="R66" s="17" t="str">
        <f>IF(물량원가기준!D66="","",물량원가기준!D66*H66)</f>
        <v/>
      </c>
      <c r="S66" s="15">
        <f t="shared" si="11"/>
        <v>1187400000</v>
      </c>
      <c r="T66" s="17">
        <f>물량원가기준!I66+IF(B66&gt;=설정!$B$6,I66*(설정!$B$18-설정!$B$13),0)</f>
        <v>75120</v>
      </c>
      <c r="U66" s="17">
        <f>IF(OR(COUNT(물량원가기준!E66:J66)&lt;&gt;6,COUNTIFS(물량원가기준!$A$6:$A$100,A66)&lt;&gt;1),0,1)</f>
        <v>1</v>
      </c>
    </row>
    <row r="67" spans="1:21" ht="30" customHeight="1">
      <c r="A67" s="9" t="str">
        <f>물량원가기준!A67</f>
        <v>2028-01|A-b</v>
      </c>
      <c r="B67" s="22">
        <f>물량원가기준!B67</f>
        <v>46753</v>
      </c>
      <c r="C67" s="9" t="str">
        <f>물량원가기준!C67</f>
        <v>A-b</v>
      </c>
      <c r="D67" s="18">
        <f>물량원가기준!E67</f>
        <v>9894</v>
      </c>
      <c r="E67" s="18">
        <f>물량원가기준!F67</f>
        <v>9894</v>
      </c>
      <c r="F67" s="18">
        <f>물량원가기준!G67</f>
        <v>180000</v>
      </c>
      <c r="G67" s="18">
        <f>SUM(물량원가기준!H67:J67)</f>
        <v>160000</v>
      </c>
      <c r="H67" s="16">
        <f t="shared" si="6"/>
        <v>20000</v>
      </c>
      <c r="I67" s="18">
        <f>부품모델매핑!D7</f>
        <v>1</v>
      </c>
      <c r="J67" s="18">
        <f>IF(ISNUMBER(물량원가기준!F67),E67*I67,"미산출")</f>
        <v>9894</v>
      </c>
      <c r="K67" s="16">
        <f t="shared" si="7"/>
        <v>197880000</v>
      </c>
      <c r="L67" s="16">
        <f t="shared" si="8"/>
        <v>197880000</v>
      </c>
      <c r="M67" s="16">
        <f t="shared" si="9"/>
        <v>0</v>
      </c>
      <c r="N67" s="18">
        <f>IF(AND(B67&gt;=설정!$B$6,B67&lt;설정!$B$23),1,0)</f>
        <v>1</v>
      </c>
      <c r="O67" s="18">
        <f>IF(AND(B67&gt;=설정!$B$6,B67&lt;설정!$B$24),1,0)</f>
        <v>0</v>
      </c>
      <c r="P67" s="18">
        <f>IF(B67&gt;=설정!$B$6,J67*(설정!$B$18-설정!$B$13),0)</f>
        <v>1187280</v>
      </c>
      <c r="Q67" s="16">
        <f t="shared" si="10"/>
        <v>196692720</v>
      </c>
      <c r="R67" s="18" t="str">
        <f>IF(물량원가기준!D67="","",물량원가기준!D67*H67)</f>
        <v/>
      </c>
      <c r="S67" s="16">
        <f t="shared" si="11"/>
        <v>1780920000</v>
      </c>
      <c r="T67" s="18">
        <f>물량원가기준!I67+IF(B67&gt;=설정!$B$6,I67*(설정!$B$18-설정!$B$13),0)</f>
        <v>95120</v>
      </c>
      <c r="U67" s="18">
        <f>IF(OR(COUNT(물량원가기준!E67:J67)&lt;&gt;6,COUNTIFS(물량원가기준!$A$6:$A$100,A67)&lt;&gt;1),0,1)</f>
        <v>1</v>
      </c>
    </row>
    <row r="68" spans="1:21" ht="30" customHeight="1">
      <c r="A68" s="10" t="str">
        <f>물량원가기준!A68</f>
        <v>2028-01|A-c</v>
      </c>
      <c r="B68" s="21">
        <f>물량원가기준!B68</f>
        <v>46753</v>
      </c>
      <c r="C68" s="10" t="str">
        <f>물량원가기준!C68</f>
        <v>A-c</v>
      </c>
      <c r="D68" s="17">
        <f>물량원가기준!E68</f>
        <v>5877</v>
      </c>
      <c r="E68" s="17">
        <f>물량원가기준!F68</f>
        <v>5877</v>
      </c>
      <c r="F68" s="17">
        <f>물량원가기준!G68</f>
        <v>230000</v>
      </c>
      <c r="G68" s="17">
        <f>SUM(물량원가기준!H68:J68)</f>
        <v>202000</v>
      </c>
      <c r="H68" s="15">
        <f t="shared" si="6"/>
        <v>28000</v>
      </c>
      <c r="I68" s="17">
        <f>부품모델매핑!D8</f>
        <v>0</v>
      </c>
      <c r="J68" s="17">
        <f>IF(ISNUMBER(물량원가기준!F68),E68*I68,"미산출")</f>
        <v>0</v>
      </c>
      <c r="K68" s="15">
        <f t="shared" si="7"/>
        <v>164556000</v>
      </c>
      <c r="L68" s="15">
        <f t="shared" si="8"/>
        <v>164556000</v>
      </c>
      <c r="M68" s="15">
        <f t="shared" si="9"/>
        <v>0</v>
      </c>
      <c r="N68" s="17">
        <f>IF(AND(B68&gt;=설정!$B$6,B68&lt;설정!$B$23),1,0)</f>
        <v>1</v>
      </c>
      <c r="O68" s="17">
        <f>IF(AND(B68&gt;=설정!$B$6,B68&lt;설정!$B$24),1,0)</f>
        <v>0</v>
      </c>
      <c r="P68" s="17">
        <f>IF(B68&gt;=설정!$B$6,J68*(설정!$B$18-설정!$B$13),0)</f>
        <v>0</v>
      </c>
      <c r="Q68" s="15">
        <f t="shared" si="10"/>
        <v>164556000</v>
      </c>
      <c r="R68" s="17" t="str">
        <f>IF(물량원가기준!D68="","",물량원가기준!D68*H68)</f>
        <v/>
      </c>
      <c r="S68" s="15">
        <f t="shared" si="11"/>
        <v>1351710000</v>
      </c>
      <c r="T68" s="17">
        <f>물량원가기준!I68+IF(B68&gt;=설정!$B$6,I68*(설정!$B$18-설정!$B$13),0)</f>
        <v>60000</v>
      </c>
      <c r="U68" s="17">
        <f>IF(OR(COUNT(물량원가기준!E68:J68)&lt;&gt;6,COUNTIFS(물량원가기준!$A$6:$A$100,A68)&lt;&gt;1),0,1)</f>
        <v>1</v>
      </c>
    </row>
    <row r="69" spans="1:21" ht="30" customHeight="1">
      <c r="A69" s="9" t="str">
        <f>물량원가기준!A69</f>
        <v>2028-01|A-d</v>
      </c>
      <c r="B69" s="22">
        <f>물량원가기준!B69</f>
        <v>46753</v>
      </c>
      <c r="C69" s="9" t="str">
        <f>물량원가기준!C69</f>
        <v>A-d</v>
      </c>
      <c r="D69" s="18">
        <f>물량원가기준!E69</f>
        <v>4996</v>
      </c>
      <c r="E69" s="18">
        <f>물량원가기준!F69</f>
        <v>4996</v>
      </c>
      <c r="F69" s="18">
        <f>물량원가기준!G69</f>
        <v>210000</v>
      </c>
      <c r="G69" s="18">
        <f>SUM(물량원가기준!H69:J69)</f>
        <v>185000</v>
      </c>
      <c r="H69" s="16">
        <f t="shared" si="6"/>
        <v>25000</v>
      </c>
      <c r="I69" s="18">
        <f>부품모델매핑!D9</f>
        <v>0</v>
      </c>
      <c r="J69" s="18">
        <f>IF(ISNUMBER(물량원가기준!F69),E69*I69,"미산출")</f>
        <v>0</v>
      </c>
      <c r="K69" s="16">
        <f t="shared" si="7"/>
        <v>124900000</v>
      </c>
      <c r="L69" s="16">
        <f t="shared" si="8"/>
        <v>124900000</v>
      </c>
      <c r="M69" s="16">
        <f t="shared" si="9"/>
        <v>0</v>
      </c>
      <c r="N69" s="18">
        <f>IF(AND(B69&gt;=설정!$B$6,B69&lt;설정!$B$23),1,0)</f>
        <v>1</v>
      </c>
      <c r="O69" s="18">
        <f>IF(AND(B69&gt;=설정!$B$6,B69&lt;설정!$B$24),1,0)</f>
        <v>0</v>
      </c>
      <c r="P69" s="18">
        <f>IF(B69&gt;=설정!$B$6,J69*(설정!$B$18-설정!$B$13),0)</f>
        <v>0</v>
      </c>
      <c r="Q69" s="16">
        <f t="shared" si="10"/>
        <v>124900000</v>
      </c>
      <c r="R69" s="18" t="str">
        <f>IF(물량원가기준!D69="","",물량원가기준!D69*H69)</f>
        <v/>
      </c>
      <c r="S69" s="16">
        <f t="shared" si="11"/>
        <v>1049160000</v>
      </c>
      <c r="T69" s="18">
        <f>물량원가기준!I69+IF(B69&gt;=설정!$B$6,I69*(설정!$B$18-설정!$B$13),0)</f>
        <v>65000</v>
      </c>
      <c r="U69" s="18">
        <f>IF(OR(COUNT(물량원가기준!E69:J69)&lt;&gt;6,COUNTIFS(물량원가기준!$A$6:$A$100,A69)&lt;&gt;1),0,1)</f>
        <v>1</v>
      </c>
    </row>
    <row r="70" spans="1:21" ht="30" customHeight="1">
      <c r="A70" s="10" t="str">
        <f>물량원가기준!A70</f>
        <v>2028-01|A-e</v>
      </c>
      <c r="B70" s="21">
        <f>물량원가기준!B70</f>
        <v>46753</v>
      </c>
      <c r="C70" s="10" t="str">
        <f>물량원가기준!C70</f>
        <v>A-e</v>
      </c>
      <c r="D70" s="17">
        <f>물량원가기준!E70</f>
        <v>2938</v>
      </c>
      <c r="E70" s="17">
        <f>물량원가기준!F70</f>
        <v>2938</v>
      </c>
      <c r="F70" s="17">
        <f>물량원가기준!G70</f>
        <v>150000</v>
      </c>
      <c r="G70" s="17">
        <f>SUM(물량원가기준!H70:J70)</f>
        <v>132000</v>
      </c>
      <c r="H70" s="15">
        <f t="shared" ref="H70:H101" si="12">F70-G70</f>
        <v>18000</v>
      </c>
      <c r="I70" s="17">
        <f>부품모델매핑!D10</f>
        <v>0</v>
      </c>
      <c r="J70" s="17">
        <f>IF(ISNUMBER(물량원가기준!F70),E70*I70,"미산출")</f>
        <v>0</v>
      </c>
      <c r="K70" s="15">
        <f t="shared" ref="K70:K100" si="13">D70*H70</f>
        <v>52884000</v>
      </c>
      <c r="L70" s="15">
        <f t="shared" ref="L70:L100" si="14">E70*H70</f>
        <v>52884000</v>
      </c>
      <c r="M70" s="15">
        <f t="shared" ref="M70:M101" si="15">L70-K70</f>
        <v>0</v>
      </c>
      <c r="N70" s="17">
        <f>IF(AND(B70&gt;=설정!$B$6,B70&lt;설정!$B$23),1,0)</f>
        <v>1</v>
      </c>
      <c r="O70" s="17">
        <f>IF(AND(B70&gt;=설정!$B$6,B70&lt;설정!$B$24),1,0)</f>
        <v>0</v>
      </c>
      <c r="P70" s="17">
        <f>IF(B70&gt;=설정!$B$6,J70*(설정!$B$18-설정!$B$13),0)</f>
        <v>0</v>
      </c>
      <c r="Q70" s="15">
        <f t="shared" ref="Q70:Q101" si="16">L70-P70</f>
        <v>52884000</v>
      </c>
      <c r="R70" s="17" t="str">
        <f>IF(물량원가기준!D70="","",물량원가기준!D70*H70)</f>
        <v/>
      </c>
      <c r="S70" s="15">
        <f t="shared" ref="S70:S100" si="17">E70*F70</f>
        <v>440700000</v>
      </c>
      <c r="T70" s="17">
        <f>물량원가기준!I70+IF(B70&gt;=설정!$B$6,I70*(설정!$B$18-설정!$B$13),0)</f>
        <v>50000</v>
      </c>
      <c r="U70" s="17">
        <f>IF(OR(COUNT(물량원가기준!E70:J70)&lt;&gt;6,COUNTIFS(물량원가기준!$A$6:$A$100,A70)&lt;&gt;1),0,1)</f>
        <v>1</v>
      </c>
    </row>
    <row r="71" spans="1:21" ht="30" customHeight="1">
      <c r="A71" s="9" t="str">
        <f>물량원가기준!A71</f>
        <v>2028-02|A-a</v>
      </c>
      <c r="B71" s="22">
        <f>물량원가기준!B71</f>
        <v>46784</v>
      </c>
      <c r="C71" s="9" t="str">
        <f>물량원가기준!C71</f>
        <v>A-a</v>
      </c>
      <c r="D71" s="18">
        <f>물량원가기준!E71</f>
        <v>3457</v>
      </c>
      <c r="E71" s="18">
        <f>물량원가기준!F71</f>
        <v>3457</v>
      </c>
      <c r="F71" s="18">
        <f>물량원가기준!G71</f>
        <v>300000</v>
      </c>
      <c r="G71" s="18">
        <f>SUM(물량원가기준!H71:J71)</f>
        <v>270000</v>
      </c>
      <c r="H71" s="16">
        <f t="shared" si="12"/>
        <v>30000</v>
      </c>
      <c r="I71" s="18">
        <f>부품모델매핑!D6</f>
        <v>1</v>
      </c>
      <c r="J71" s="18">
        <f>IF(ISNUMBER(물량원가기준!F71),E71*I71,"미산출")</f>
        <v>3457</v>
      </c>
      <c r="K71" s="16">
        <f t="shared" si="13"/>
        <v>103710000</v>
      </c>
      <c r="L71" s="16">
        <f t="shared" si="14"/>
        <v>103710000</v>
      </c>
      <c r="M71" s="16">
        <f t="shared" si="15"/>
        <v>0</v>
      </c>
      <c r="N71" s="18">
        <f>IF(AND(B71&gt;=설정!$B$6,B71&lt;설정!$B$23),1,0)</f>
        <v>1</v>
      </c>
      <c r="O71" s="18">
        <f>IF(AND(B71&gt;=설정!$B$6,B71&lt;설정!$B$24),1,0)</f>
        <v>0</v>
      </c>
      <c r="P71" s="18">
        <f>IF(B71&gt;=설정!$B$6,J71*(설정!$B$18-설정!$B$13),0)</f>
        <v>414840</v>
      </c>
      <c r="Q71" s="16">
        <f t="shared" si="16"/>
        <v>103295160</v>
      </c>
      <c r="R71" s="18" t="str">
        <f>IF(물량원가기준!D71="","",물량원가기준!D71*H71)</f>
        <v/>
      </c>
      <c r="S71" s="16">
        <f t="shared" si="17"/>
        <v>1037100000</v>
      </c>
      <c r="T71" s="18">
        <f>물량원가기준!I71+IF(B71&gt;=설정!$B$6,I71*(설정!$B$18-설정!$B$13),0)</f>
        <v>75120</v>
      </c>
      <c r="U71" s="18">
        <f>IF(OR(COUNT(물량원가기준!E71:J71)&lt;&gt;6,COUNTIFS(물량원가기준!$A$6:$A$100,A71)&lt;&gt;1),0,1)</f>
        <v>1</v>
      </c>
    </row>
    <row r="72" spans="1:21" ht="30" customHeight="1">
      <c r="A72" s="10" t="str">
        <f>물량원가기준!A72</f>
        <v>2028-02|A-b</v>
      </c>
      <c r="B72" s="21">
        <f>물량원가기준!B72</f>
        <v>46784</v>
      </c>
      <c r="C72" s="10" t="str">
        <f>물량원가기준!C72</f>
        <v>A-b</v>
      </c>
      <c r="D72" s="17">
        <f>물량원가기준!E72</f>
        <v>8643</v>
      </c>
      <c r="E72" s="17">
        <f>물량원가기준!F72</f>
        <v>8643</v>
      </c>
      <c r="F72" s="17">
        <f>물량원가기준!G72</f>
        <v>180000</v>
      </c>
      <c r="G72" s="17">
        <f>SUM(물량원가기준!H72:J72)</f>
        <v>160000</v>
      </c>
      <c r="H72" s="15">
        <f t="shared" si="12"/>
        <v>20000</v>
      </c>
      <c r="I72" s="17">
        <f>부품모델매핑!D7</f>
        <v>1</v>
      </c>
      <c r="J72" s="17">
        <f>IF(ISNUMBER(물량원가기준!F72),E72*I72,"미산출")</f>
        <v>8643</v>
      </c>
      <c r="K72" s="15">
        <f t="shared" si="13"/>
        <v>172860000</v>
      </c>
      <c r="L72" s="15">
        <f t="shared" si="14"/>
        <v>172860000</v>
      </c>
      <c r="M72" s="15">
        <f t="shared" si="15"/>
        <v>0</v>
      </c>
      <c r="N72" s="17">
        <f>IF(AND(B72&gt;=설정!$B$6,B72&lt;설정!$B$23),1,0)</f>
        <v>1</v>
      </c>
      <c r="O72" s="17">
        <f>IF(AND(B72&gt;=설정!$B$6,B72&lt;설정!$B$24),1,0)</f>
        <v>0</v>
      </c>
      <c r="P72" s="17">
        <f>IF(B72&gt;=설정!$B$6,J72*(설정!$B$18-설정!$B$13),0)</f>
        <v>1037160</v>
      </c>
      <c r="Q72" s="15">
        <f t="shared" si="16"/>
        <v>171822840</v>
      </c>
      <c r="R72" s="17" t="str">
        <f>IF(물량원가기준!D72="","",물량원가기준!D72*H72)</f>
        <v/>
      </c>
      <c r="S72" s="15">
        <f t="shared" si="17"/>
        <v>1555740000</v>
      </c>
      <c r="T72" s="17">
        <f>물량원가기준!I72+IF(B72&gt;=설정!$B$6,I72*(설정!$B$18-설정!$B$13),0)</f>
        <v>95120</v>
      </c>
      <c r="U72" s="17">
        <f>IF(OR(COUNT(물량원가기준!E72:J72)&lt;&gt;6,COUNTIFS(물량원가기준!$A$6:$A$100,A72)&lt;&gt;1),0,1)</f>
        <v>1</v>
      </c>
    </row>
    <row r="73" spans="1:21" ht="30" customHeight="1">
      <c r="A73" s="9" t="str">
        <f>물량원가기준!A73</f>
        <v>2028-02|A-c</v>
      </c>
      <c r="B73" s="22">
        <f>물량원가기준!B73</f>
        <v>46784</v>
      </c>
      <c r="C73" s="9" t="str">
        <f>물량원가기준!C73</f>
        <v>A-c</v>
      </c>
      <c r="D73" s="18">
        <f>물량원가기준!E73</f>
        <v>5186</v>
      </c>
      <c r="E73" s="18">
        <f>물량원가기준!F73</f>
        <v>5186</v>
      </c>
      <c r="F73" s="18">
        <f>물량원가기준!G73</f>
        <v>230000</v>
      </c>
      <c r="G73" s="18">
        <f>SUM(물량원가기준!H73:J73)</f>
        <v>202000</v>
      </c>
      <c r="H73" s="16">
        <f t="shared" si="12"/>
        <v>28000</v>
      </c>
      <c r="I73" s="18">
        <f>부품모델매핑!D8</f>
        <v>0</v>
      </c>
      <c r="J73" s="18">
        <f>IF(ISNUMBER(물량원가기준!F73),E73*I73,"미산출")</f>
        <v>0</v>
      </c>
      <c r="K73" s="16">
        <f t="shared" si="13"/>
        <v>145208000</v>
      </c>
      <c r="L73" s="16">
        <f t="shared" si="14"/>
        <v>145208000</v>
      </c>
      <c r="M73" s="16">
        <f t="shared" si="15"/>
        <v>0</v>
      </c>
      <c r="N73" s="18">
        <f>IF(AND(B73&gt;=설정!$B$6,B73&lt;설정!$B$23),1,0)</f>
        <v>1</v>
      </c>
      <c r="O73" s="18">
        <f>IF(AND(B73&gt;=설정!$B$6,B73&lt;설정!$B$24),1,0)</f>
        <v>0</v>
      </c>
      <c r="P73" s="18">
        <f>IF(B73&gt;=설정!$B$6,J73*(설정!$B$18-설정!$B$13),0)</f>
        <v>0</v>
      </c>
      <c r="Q73" s="16">
        <f t="shared" si="16"/>
        <v>145208000</v>
      </c>
      <c r="R73" s="18" t="str">
        <f>IF(물량원가기준!D73="","",물량원가기준!D73*H73)</f>
        <v/>
      </c>
      <c r="S73" s="16">
        <f t="shared" si="17"/>
        <v>1192780000</v>
      </c>
      <c r="T73" s="18">
        <f>물량원가기준!I73+IF(B73&gt;=설정!$B$6,I73*(설정!$B$18-설정!$B$13),0)</f>
        <v>60000</v>
      </c>
      <c r="U73" s="18">
        <f>IF(OR(COUNT(물량원가기준!E73:J73)&lt;&gt;6,COUNTIFS(물량원가기준!$A$6:$A$100,A73)&lt;&gt;1),0,1)</f>
        <v>1</v>
      </c>
    </row>
    <row r="74" spans="1:21" ht="30" customHeight="1">
      <c r="A74" s="10" t="str">
        <f>물량원가기준!A74</f>
        <v>2028-02|A-d</v>
      </c>
      <c r="B74" s="21">
        <f>물량원가기준!B74</f>
        <v>46784</v>
      </c>
      <c r="C74" s="10" t="str">
        <f>물량원가기준!C74</f>
        <v>A-d</v>
      </c>
      <c r="D74" s="17">
        <f>물량원가기준!E74</f>
        <v>4409</v>
      </c>
      <c r="E74" s="17">
        <f>물량원가기준!F74</f>
        <v>4409</v>
      </c>
      <c r="F74" s="17">
        <f>물량원가기준!G74</f>
        <v>210000</v>
      </c>
      <c r="G74" s="17">
        <f>SUM(물량원가기준!H74:J74)</f>
        <v>185000</v>
      </c>
      <c r="H74" s="15">
        <f t="shared" si="12"/>
        <v>25000</v>
      </c>
      <c r="I74" s="17">
        <f>부품모델매핑!D9</f>
        <v>0</v>
      </c>
      <c r="J74" s="17">
        <f>IF(ISNUMBER(물량원가기준!F74),E74*I74,"미산출")</f>
        <v>0</v>
      </c>
      <c r="K74" s="15">
        <f t="shared" si="13"/>
        <v>110225000</v>
      </c>
      <c r="L74" s="15">
        <f t="shared" si="14"/>
        <v>110225000</v>
      </c>
      <c r="M74" s="15">
        <f t="shared" si="15"/>
        <v>0</v>
      </c>
      <c r="N74" s="17">
        <f>IF(AND(B74&gt;=설정!$B$6,B74&lt;설정!$B$23),1,0)</f>
        <v>1</v>
      </c>
      <c r="O74" s="17">
        <f>IF(AND(B74&gt;=설정!$B$6,B74&lt;설정!$B$24),1,0)</f>
        <v>0</v>
      </c>
      <c r="P74" s="17">
        <f>IF(B74&gt;=설정!$B$6,J74*(설정!$B$18-설정!$B$13),0)</f>
        <v>0</v>
      </c>
      <c r="Q74" s="15">
        <f t="shared" si="16"/>
        <v>110225000</v>
      </c>
      <c r="R74" s="17" t="str">
        <f>IF(물량원가기준!D74="","",물량원가기준!D74*H74)</f>
        <v/>
      </c>
      <c r="S74" s="15">
        <f t="shared" si="17"/>
        <v>925890000</v>
      </c>
      <c r="T74" s="17">
        <f>물량원가기준!I74+IF(B74&gt;=설정!$B$6,I74*(설정!$B$18-설정!$B$13),0)</f>
        <v>65000</v>
      </c>
      <c r="U74" s="17">
        <f>IF(OR(COUNT(물량원가기준!E74:J74)&lt;&gt;6,COUNTIFS(물량원가기준!$A$6:$A$100,A74)&lt;&gt;1),0,1)</f>
        <v>1</v>
      </c>
    </row>
    <row r="75" spans="1:21" ht="30" customHeight="1">
      <c r="A75" s="9" t="str">
        <f>물량원가기준!A75</f>
        <v>2028-02|A-e</v>
      </c>
      <c r="B75" s="22">
        <f>물량원가기준!B75</f>
        <v>46784</v>
      </c>
      <c r="C75" s="9" t="str">
        <f>물량원가기준!C75</f>
        <v>A-e</v>
      </c>
      <c r="D75" s="18">
        <f>물량원가기준!E75</f>
        <v>2593</v>
      </c>
      <c r="E75" s="18">
        <f>물량원가기준!F75</f>
        <v>2593</v>
      </c>
      <c r="F75" s="18">
        <f>물량원가기준!G75</f>
        <v>150000</v>
      </c>
      <c r="G75" s="18">
        <f>SUM(물량원가기준!H75:J75)</f>
        <v>132000</v>
      </c>
      <c r="H75" s="16">
        <f t="shared" si="12"/>
        <v>18000</v>
      </c>
      <c r="I75" s="18">
        <f>부품모델매핑!D10</f>
        <v>0</v>
      </c>
      <c r="J75" s="18">
        <f>IF(ISNUMBER(물량원가기준!F75),E75*I75,"미산출")</f>
        <v>0</v>
      </c>
      <c r="K75" s="16">
        <f t="shared" si="13"/>
        <v>46674000</v>
      </c>
      <c r="L75" s="16">
        <f t="shared" si="14"/>
        <v>46674000</v>
      </c>
      <c r="M75" s="16">
        <f t="shared" si="15"/>
        <v>0</v>
      </c>
      <c r="N75" s="18">
        <f>IF(AND(B75&gt;=설정!$B$6,B75&lt;설정!$B$23),1,0)</f>
        <v>1</v>
      </c>
      <c r="O75" s="18">
        <f>IF(AND(B75&gt;=설정!$B$6,B75&lt;설정!$B$24),1,0)</f>
        <v>0</v>
      </c>
      <c r="P75" s="18">
        <f>IF(B75&gt;=설정!$B$6,J75*(설정!$B$18-설정!$B$13),0)</f>
        <v>0</v>
      </c>
      <c r="Q75" s="16">
        <f t="shared" si="16"/>
        <v>46674000</v>
      </c>
      <c r="R75" s="18" t="str">
        <f>IF(물량원가기준!D75="","",물량원가기준!D75*H75)</f>
        <v/>
      </c>
      <c r="S75" s="16">
        <f t="shared" si="17"/>
        <v>388950000</v>
      </c>
      <c r="T75" s="18">
        <f>물량원가기준!I75+IF(B75&gt;=설정!$B$6,I75*(설정!$B$18-설정!$B$13),0)</f>
        <v>50000</v>
      </c>
      <c r="U75" s="18">
        <f>IF(OR(COUNT(물량원가기준!E75:J75)&lt;&gt;6,COUNTIFS(물량원가기준!$A$6:$A$100,A75)&lt;&gt;1),0,1)</f>
        <v>1</v>
      </c>
    </row>
    <row r="76" spans="1:21" ht="30" customHeight="1">
      <c r="A76" s="10" t="str">
        <f>물량원가기준!A76</f>
        <v>2028-03|A-a</v>
      </c>
      <c r="B76" s="21">
        <f>물량원가기준!B76</f>
        <v>46813</v>
      </c>
      <c r="C76" s="10" t="str">
        <f>물량원가기준!C76</f>
        <v>A-a</v>
      </c>
      <c r="D76" s="17">
        <f>물량원가기준!E76</f>
        <v>3993</v>
      </c>
      <c r="E76" s="17">
        <f>물량원가기준!F76</f>
        <v>3993</v>
      </c>
      <c r="F76" s="17">
        <f>물량원가기준!G76</f>
        <v>300000</v>
      </c>
      <c r="G76" s="17">
        <f>SUM(물량원가기준!H76:J76)</f>
        <v>270000</v>
      </c>
      <c r="H76" s="15">
        <f t="shared" si="12"/>
        <v>30000</v>
      </c>
      <c r="I76" s="17">
        <f>부품모델매핑!D6</f>
        <v>1</v>
      </c>
      <c r="J76" s="17">
        <f>IF(ISNUMBER(물량원가기준!F76),E76*I76,"미산출")</f>
        <v>3993</v>
      </c>
      <c r="K76" s="15">
        <f t="shared" si="13"/>
        <v>119790000</v>
      </c>
      <c r="L76" s="15">
        <f t="shared" si="14"/>
        <v>119790000</v>
      </c>
      <c r="M76" s="15">
        <f t="shared" si="15"/>
        <v>0</v>
      </c>
      <c r="N76" s="17">
        <f>IF(AND(B76&gt;=설정!$B$6,B76&lt;설정!$B$23),1,0)</f>
        <v>1</v>
      </c>
      <c r="O76" s="17">
        <f>IF(AND(B76&gt;=설정!$B$6,B76&lt;설정!$B$24),1,0)</f>
        <v>0</v>
      </c>
      <c r="P76" s="17">
        <f>IF(B76&gt;=설정!$B$6,J76*(설정!$B$18-설정!$B$13),0)</f>
        <v>479160</v>
      </c>
      <c r="Q76" s="15">
        <f t="shared" si="16"/>
        <v>119310840</v>
      </c>
      <c r="R76" s="17" t="str">
        <f>IF(물량원가기준!D76="","",물량원가기준!D76*H76)</f>
        <v/>
      </c>
      <c r="S76" s="15">
        <f t="shared" si="17"/>
        <v>1197900000</v>
      </c>
      <c r="T76" s="17">
        <f>물량원가기준!I76+IF(B76&gt;=설정!$B$6,I76*(설정!$B$18-설정!$B$13),0)</f>
        <v>75120</v>
      </c>
      <c r="U76" s="17">
        <f>IF(OR(COUNT(물량원가기준!E76:J76)&lt;&gt;6,COUNTIFS(물량원가기준!$A$6:$A$100,A76)&lt;&gt;1),0,1)</f>
        <v>1</v>
      </c>
    </row>
    <row r="77" spans="1:21" ht="30" customHeight="1">
      <c r="A77" s="9" t="str">
        <f>물량원가기준!A77</f>
        <v>2028-03|A-b</v>
      </c>
      <c r="B77" s="22">
        <f>물량원가기준!B77</f>
        <v>46813</v>
      </c>
      <c r="C77" s="9" t="str">
        <f>물량원가기준!C77</f>
        <v>A-b</v>
      </c>
      <c r="D77" s="18">
        <f>물량원가기준!E77</f>
        <v>9981</v>
      </c>
      <c r="E77" s="18">
        <f>물량원가기준!F77</f>
        <v>9981</v>
      </c>
      <c r="F77" s="18">
        <f>물량원가기준!G77</f>
        <v>180000</v>
      </c>
      <c r="G77" s="18">
        <f>SUM(물량원가기준!H77:J77)</f>
        <v>160000</v>
      </c>
      <c r="H77" s="16">
        <f t="shared" si="12"/>
        <v>20000</v>
      </c>
      <c r="I77" s="18">
        <f>부품모델매핑!D7</f>
        <v>1</v>
      </c>
      <c r="J77" s="18">
        <f>IF(ISNUMBER(물량원가기준!F77),E77*I77,"미산출")</f>
        <v>9981</v>
      </c>
      <c r="K77" s="16">
        <f t="shared" si="13"/>
        <v>199620000</v>
      </c>
      <c r="L77" s="16">
        <f t="shared" si="14"/>
        <v>199620000</v>
      </c>
      <c r="M77" s="16">
        <f t="shared" si="15"/>
        <v>0</v>
      </c>
      <c r="N77" s="18">
        <f>IF(AND(B77&gt;=설정!$B$6,B77&lt;설정!$B$23),1,0)</f>
        <v>1</v>
      </c>
      <c r="O77" s="18">
        <f>IF(AND(B77&gt;=설정!$B$6,B77&lt;설정!$B$24),1,0)</f>
        <v>0</v>
      </c>
      <c r="P77" s="18">
        <f>IF(B77&gt;=설정!$B$6,J77*(설정!$B$18-설정!$B$13),0)</f>
        <v>1197720</v>
      </c>
      <c r="Q77" s="16">
        <f t="shared" si="16"/>
        <v>198422280</v>
      </c>
      <c r="R77" s="18" t="str">
        <f>IF(물량원가기준!D77="","",물량원가기준!D77*H77)</f>
        <v/>
      </c>
      <c r="S77" s="16">
        <f t="shared" si="17"/>
        <v>1796580000</v>
      </c>
      <c r="T77" s="18">
        <f>물량원가기준!I77+IF(B77&gt;=설정!$B$6,I77*(설정!$B$18-설정!$B$13),0)</f>
        <v>95120</v>
      </c>
      <c r="U77" s="18">
        <f>IF(OR(COUNT(물량원가기준!E77:J77)&lt;&gt;6,COUNTIFS(물량원가기준!$A$6:$A$100,A77)&lt;&gt;1),0,1)</f>
        <v>1</v>
      </c>
    </row>
    <row r="78" spans="1:21" ht="30" customHeight="1">
      <c r="A78" s="10" t="str">
        <f>물량원가기준!A78</f>
        <v>2028-03|A-c</v>
      </c>
      <c r="B78" s="21">
        <f>물량원가기준!B78</f>
        <v>46813</v>
      </c>
      <c r="C78" s="10" t="str">
        <f>물량원가기준!C78</f>
        <v>A-c</v>
      </c>
      <c r="D78" s="17">
        <f>물량원가기준!E78</f>
        <v>6050</v>
      </c>
      <c r="E78" s="17">
        <f>물량원가기준!F78</f>
        <v>6050</v>
      </c>
      <c r="F78" s="17">
        <f>물량원가기준!G78</f>
        <v>230000</v>
      </c>
      <c r="G78" s="17">
        <f>SUM(물량원가기준!H78:J78)</f>
        <v>202000</v>
      </c>
      <c r="H78" s="15">
        <f t="shared" si="12"/>
        <v>28000</v>
      </c>
      <c r="I78" s="17">
        <f>부품모델매핑!D8</f>
        <v>0</v>
      </c>
      <c r="J78" s="17">
        <f>IF(ISNUMBER(물량원가기준!F78),E78*I78,"미산출")</f>
        <v>0</v>
      </c>
      <c r="K78" s="15">
        <f t="shared" si="13"/>
        <v>169400000</v>
      </c>
      <c r="L78" s="15">
        <f t="shared" si="14"/>
        <v>169400000</v>
      </c>
      <c r="M78" s="15">
        <f t="shared" si="15"/>
        <v>0</v>
      </c>
      <c r="N78" s="17">
        <f>IF(AND(B78&gt;=설정!$B$6,B78&lt;설정!$B$23),1,0)</f>
        <v>1</v>
      </c>
      <c r="O78" s="17">
        <f>IF(AND(B78&gt;=설정!$B$6,B78&lt;설정!$B$24),1,0)</f>
        <v>0</v>
      </c>
      <c r="P78" s="17">
        <f>IF(B78&gt;=설정!$B$6,J78*(설정!$B$18-설정!$B$13),0)</f>
        <v>0</v>
      </c>
      <c r="Q78" s="15">
        <f t="shared" si="16"/>
        <v>169400000</v>
      </c>
      <c r="R78" s="17" t="str">
        <f>IF(물량원가기준!D78="","",물량원가기준!D78*H78)</f>
        <v/>
      </c>
      <c r="S78" s="15">
        <f t="shared" si="17"/>
        <v>1391500000</v>
      </c>
      <c r="T78" s="17">
        <f>물량원가기준!I78+IF(B78&gt;=설정!$B$6,I78*(설정!$B$18-설정!$B$13),0)</f>
        <v>60000</v>
      </c>
      <c r="U78" s="17">
        <f>IF(OR(COUNT(물량원가기준!E78:J78)&lt;&gt;6,COUNTIFS(물량원가기준!$A$6:$A$100,A78)&lt;&gt;1),0,1)</f>
        <v>1</v>
      </c>
    </row>
    <row r="79" spans="1:21" ht="30" customHeight="1">
      <c r="A79" s="9" t="str">
        <f>물량원가기준!A79</f>
        <v>2028-03|A-d</v>
      </c>
      <c r="B79" s="22">
        <f>물량원가기준!B79</f>
        <v>46813</v>
      </c>
      <c r="C79" s="9" t="str">
        <f>물량원가기준!C79</f>
        <v>A-d</v>
      </c>
      <c r="D79" s="18">
        <f>물량원가기준!E79</f>
        <v>5144</v>
      </c>
      <c r="E79" s="18">
        <f>물량원가기준!F79</f>
        <v>5144</v>
      </c>
      <c r="F79" s="18">
        <f>물량원가기준!G79</f>
        <v>210000</v>
      </c>
      <c r="G79" s="18">
        <f>SUM(물량원가기준!H79:J79)</f>
        <v>185000</v>
      </c>
      <c r="H79" s="16">
        <f t="shared" si="12"/>
        <v>25000</v>
      </c>
      <c r="I79" s="18">
        <f>부품모델매핑!D9</f>
        <v>0</v>
      </c>
      <c r="J79" s="18">
        <f>IF(ISNUMBER(물량원가기준!F79),E79*I79,"미산출")</f>
        <v>0</v>
      </c>
      <c r="K79" s="16">
        <f t="shared" si="13"/>
        <v>128600000</v>
      </c>
      <c r="L79" s="16">
        <f t="shared" si="14"/>
        <v>128600000</v>
      </c>
      <c r="M79" s="16">
        <f t="shared" si="15"/>
        <v>0</v>
      </c>
      <c r="N79" s="18">
        <f>IF(AND(B79&gt;=설정!$B$6,B79&lt;설정!$B$23),1,0)</f>
        <v>1</v>
      </c>
      <c r="O79" s="18">
        <f>IF(AND(B79&gt;=설정!$B$6,B79&lt;설정!$B$24),1,0)</f>
        <v>0</v>
      </c>
      <c r="P79" s="18">
        <f>IF(B79&gt;=설정!$B$6,J79*(설정!$B$18-설정!$B$13),0)</f>
        <v>0</v>
      </c>
      <c r="Q79" s="16">
        <f t="shared" si="16"/>
        <v>128600000</v>
      </c>
      <c r="R79" s="18" t="str">
        <f>IF(물량원가기준!D79="","",물량원가기준!D79*H79)</f>
        <v/>
      </c>
      <c r="S79" s="16">
        <f t="shared" si="17"/>
        <v>1080240000</v>
      </c>
      <c r="T79" s="18">
        <f>물량원가기준!I79+IF(B79&gt;=설정!$B$6,I79*(설정!$B$18-설정!$B$13),0)</f>
        <v>65000</v>
      </c>
      <c r="U79" s="18">
        <f>IF(OR(COUNT(물량원가기준!E79:J79)&lt;&gt;6,COUNTIFS(물량원가기준!$A$6:$A$100,A79)&lt;&gt;1),0,1)</f>
        <v>1</v>
      </c>
    </row>
    <row r="80" spans="1:21" ht="30" customHeight="1">
      <c r="A80" s="10" t="str">
        <f>물량원가기준!A80</f>
        <v>2028-03|A-e</v>
      </c>
      <c r="B80" s="21">
        <f>물량원가기준!B80</f>
        <v>46813</v>
      </c>
      <c r="C80" s="10" t="str">
        <f>물량원가기준!C80</f>
        <v>A-e</v>
      </c>
      <c r="D80" s="17">
        <f>물량원가기준!E80</f>
        <v>3025</v>
      </c>
      <c r="E80" s="17">
        <f>물량원가기준!F80</f>
        <v>3025</v>
      </c>
      <c r="F80" s="17">
        <f>물량원가기준!G80</f>
        <v>150000</v>
      </c>
      <c r="G80" s="17">
        <f>SUM(물량원가기준!H80:J80)</f>
        <v>132000</v>
      </c>
      <c r="H80" s="15">
        <f t="shared" si="12"/>
        <v>18000</v>
      </c>
      <c r="I80" s="17">
        <f>부품모델매핑!D10</f>
        <v>0</v>
      </c>
      <c r="J80" s="17">
        <f>IF(ISNUMBER(물량원가기준!F80),E80*I80,"미산출")</f>
        <v>0</v>
      </c>
      <c r="K80" s="15">
        <f t="shared" si="13"/>
        <v>54450000</v>
      </c>
      <c r="L80" s="15">
        <f t="shared" si="14"/>
        <v>54450000</v>
      </c>
      <c r="M80" s="15">
        <f t="shared" si="15"/>
        <v>0</v>
      </c>
      <c r="N80" s="17">
        <f>IF(AND(B80&gt;=설정!$B$6,B80&lt;설정!$B$23),1,0)</f>
        <v>1</v>
      </c>
      <c r="O80" s="17">
        <f>IF(AND(B80&gt;=설정!$B$6,B80&lt;설정!$B$24),1,0)</f>
        <v>0</v>
      </c>
      <c r="P80" s="17">
        <f>IF(B80&gt;=설정!$B$6,J80*(설정!$B$18-설정!$B$13),0)</f>
        <v>0</v>
      </c>
      <c r="Q80" s="15">
        <f t="shared" si="16"/>
        <v>54450000</v>
      </c>
      <c r="R80" s="17" t="str">
        <f>IF(물량원가기준!D80="","",물량원가기준!D80*H80)</f>
        <v/>
      </c>
      <c r="S80" s="15">
        <f t="shared" si="17"/>
        <v>453750000</v>
      </c>
      <c r="T80" s="17">
        <f>물량원가기준!I80+IF(B80&gt;=설정!$B$6,I80*(설정!$B$18-설정!$B$13),0)</f>
        <v>50000</v>
      </c>
      <c r="U80" s="17">
        <f>IF(OR(COUNT(물량원가기준!E80:J80)&lt;&gt;6,COUNTIFS(물량원가기준!$A$6:$A$100,A80)&lt;&gt;1),0,1)</f>
        <v>1</v>
      </c>
    </row>
    <row r="81" spans="1:21" ht="30" customHeight="1">
      <c r="A81" s="9" t="str">
        <f>물량원가기준!A81</f>
        <v>2028-04|A-a</v>
      </c>
      <c r="B81" s="22">
        <f>물량원가기준!B81</f>
        <v>46844</v>
      </c>
      <c r="C81" s="9" t="str">
        <f>물량원가기준!C81</f>
        <v>A-a</v>
      </c>
      <c r="D81" s="18">
        <f>물량원가기준!E81</f>
        <v>3764</v>
      </c>
      <c r="E81" s="18">
        <f>물량원가기준!F81</f>
        <v>3764</v>
      </c>
      <c r="F81" s="18">
        <f>물량원가기준!G81</f>
        <v>300000</v>
      </c>
      <c r="G81" s="18">
        <f>SUM(물량원가기준!H81:J81)</f>
        <v>270000</v>
      </c>
      <c r="H81" s="16">
        <f t="shared" si="12"/>
        <v>30000</v>
      </c>
      <c r="I81" s="18">
        <f>부품모델매핑!D6</f>
        <v>1</v>
      </c>
      <c r="J81" s="18">
        <f>IF(ISNUMBER(물량원가기준!F81),E81*I81,"미산출")</f>
        <v>3764</v>
      </c>
      <c r="K81" s="16">
        <f t="shared" si="13"/>
        <v>112920000</v>
      </c>
      <c r="L81" s="16">
        <f t="shared" si="14"/>
        <v>112920000</v>
      </c>
      <c r="M81" s="16">
        <f t="shared" si="15"/>
        <v>0</v>
      </c>
      <c r="N81" s="18">
        <f>IF(AND(B81&gt;=설정!$B$6,B81&lt;설정!$B$23),1,0)</f>
        <v>1</v>
      </c>
      <c r="O81" s="18">
        <f>IF(AND(B81&gt;=설정!$B$6,B81&lt;설정!$B$24),1,0)</f>
        <v>0</v>
      </c>
      <c r="P81" s="18">
        <f>IF(B81&gt;=설정!$B$6,J81*(설정!$B$18-설정!$B$13),0)</f>
        <v>451680</v>
      </c>
      <c r="Q81" s="16">
        <f t="shared" si="16"/>
        <v>112468320</v>
      </c>
      <c r="R81" s="18" t="str">
        <f>IF(물량원가기준!D81="","",물량원가기준!D81*H81)</f>
        <v/>
      </c>
      <c r="S81" s="16">
        <f t="shared" si="17"/>
        <v>1129200000</v>
      </c>
      <c r="T81" s="18">
        <f>물량원가기준!I81+IF(B81&gt;=설정!$B$6,I81*(설정!$B$18-설정!$B$13),0)</f>
        <v>75120</v>
      </c>
      <c r="U81" s="18">
        <f>IF(OR(COUNT(물량원가기준!E81:J81)&lt;&gt;6,COUNTIFS(물량원가기준!$A$6:$A$100,A81)&lt;&gt;1),0,1)</f>
        <v>1</v>
      </c>
    </row>
    <row r="82" spans="1:21" ht="30" customHeight="1">
      <c r="A82" s="10" t="str">
        <f>물량원가기준!A82</f>
        <v>2028-04|A-b</v>
      </c>
      <c r="B82" s="21">
        <f>물량원가기준!B82</f>
        <v>46844</v>
      </c>
      <c r="C82" s="10" t="str">
        <f>물량원가기준!C82</f>
        <v>A-b</v>
      </c>
      <c r="D82" s="17">
        <f>물량원가기준!E82</f>
        <v>9409</v>
      </c>
      <c r="E82" s="17">
        <f>물량원가기준!F82</f>
        <v>9409</v>
      </c>
      <c r="F82" s="17">
        <f>물량원가기준!G82</f>
        <v>180000</v>
      </c>
      <c r="G82" s="17">
        <f>SUM(물량원가기준!H82:J82)</f>
        <v>160000</v>
      </c>
      <c r="H82" s="15">
        <f t="shared" si="12"/>
        <v>20000</v>
      </c>
      <c r="I82" s="17">
        <f>부품모델매핑!D7</f>
        <v>1</v>
      </c>
      <c r="J82" s="17">
        <f>IF(ISNUMBER(물량원가기준!F82),E82*I82,"미산출")</f>
        <v>9409</v>
      </c>
      <c r="K82" s="15">
        <f t="shared" si="13"/>
        <v>188180000</v>
      </c>
      <c r="L82" s="15">
        <f t="shared" si="14"/>
        <v>188180000</v>
      </c>
      <c r="M82" s="15">
        <f t="shared" si="15"/>
        <v>0</v>
      </c>
      <c r="N82" s="17">
        <f>IF(AND(B82&gt;=설정!$B$6,B82&lt;설정!$B$23),1,0)</f>
        <v>1</v>
      </c>
      <c r="O82" s="17">
        <f>IF(AND(B82&gt;=설정!$B$6,B82&lt;설정!$B$24),1,0)</f>
        <v>0</v>
      </c>
      <c r="P82" s="17">
        <f>IF(B82&gt;=설정!$B$6,J82*(설정!$B$18-설정!$B$13),0)</f>
        <v>1129080</v>
      </c>
      <c r="Q82" s="15">
        <f t="shared" si="16"/>
        <v>187050920</v>
      </c>
      <c r="R82" s="17" t="str">
        <f>IF(물량원가기준!D82="","",물량원가기준!D82*H82)</f>
        <v/>
      </c>
      <c r="S82" s="15">
        <f t="shared" si="17"/>
        <v>1693620000</v>
      </c>
      <c r="T82" s="17">
        <f>물량원가기준!I82+IF(B82&gt;=설정!$B$6,I82*(설정!$B$18-설정!$B$13),0)</f>
        <v>95120</v>
      </c>
      <c r="U82" s="17">
        <f>IF(OR(COUNT(물량원가기준!E82:J82)&lt;&gt;6,COUNTIFS(물량원가기준!$A$6:$A$100,A82)&lt;&gt;1),0,1)</f>
        <v>1</v>
      </c>
    </row>
    <row r="83" spans="1:21" ht="30" customHeight="1">
      <c r="A83" s="9" t="str">
        <f>물량원가기준!A83</f>
        <v>2028-04|A-c</v>
      </c>
      <c r="B83" s="22">
        <f>물량원가기준!B83</f>
        <v>46844</v>
      </c>
      <c r="C83" s="9" t="str">
        <f>물량원가기준!C83</f>
        <v>A-c</v>
      </c>
      <c r="D83" s="18">
        <f>물량원가기준!E83</f>
        <v>5762</v>
      </c>
      <c r="E83" s="18">
        <f>물량원가기준!F83</f>
        <v>5762</v>
      </c>
      <c r="F83" s="18">
        <f>물량원가기준!G83</f>
        <v>230000</v>
      </c>
      <c r="G83" s="18">
        <f>SUM(물량원가기준!H83:J83)</f>
        <v>202000</v>
      </c>
      <c r="H83" s="16">
        <f t="shared" si="12"/>
        <v>28000</v>
      </c>
      <c r="I83" s="18">
        <f>부품모델매핑!D8</f>
        <v>0</v>
      </c>
      <c r="J83" s="18">
        <f>IF(ISNUMBER(물량원가기준!F83),E83*I83,"미산출")</f>
        <v>0</v>
      </c>
      <c r="K83" s="16">
        <f t="shared" si="13"/>
        <v>161336000</v>
      </c>
      <c r="L83" s="16">
        <f t="shared" si="14"/>
        <v>161336000</v>
      </c>
      <c r="M83" s="16">
        <f t="shared" si="15"/>
        <v>0</v>
      </c>
      <c r="N83" s="18">
        <f>IF(AND(B83&gt;=설정!$B$6,B83&lt;설정!$B$23),1,0)</f>
        <v>1</v>
      </c>
      <c r="O83" s="18">
        <f>IF(AND(B83&gt;=설정!$B$6,B83&lt;설정!$B$24),1,0)</f>
        <v>0</v>
      </c>
      <c r="P83" s="18">
        <f>IF(B83&gt;=설정!$B$6,J83*(설정!$B$18-설정!$B$13),0)</f>
        <v>0</v>
      </c>
      <c r="Q83" s="16">
        <f t="shared" si="16"/>
        <v>161336000</v>
      </c>
      <c r="R83" s="18" t="str">
        <f>IF(물량원가기준!D83="","",물량원가기준!D83*H83)</f>
        <v/>
      </c>
      <c r="S83" s="16">
        <f t="shared" si="17"/>
        <v>1325260000</v>
      </c>
      <c r="T83" s="18">
        <f>물량원가기준!I83+IF(B83&gt;=설정!$B$6,I83*(설정!$B$18-설정!$B$13),0)</f>
        <v>60000</v>
      </c>
      <c r="U83" s="18">
        <f>IF(OR(COUNT(물량원가기준!E83:J83)&lt;&gt;6,COUNTIFS(물량원가기준!$A$6:$A$100,A83)&lt;&gt;1),0,1)</f>
        <v>1</v>
      </c>
    </row>
    <row r="84" spans="1:21" ht="30" customHeight="1">
      <c r="A84" s="10" t="str">
        <f>물량원가기준!A84</f>
        <v>2028-04|A-d</v>
      </c>
      <c r="B84" s="21">
        <f>물량원가기준!B84</f>
        <v>46844</v>
      </c>
      <c r="C84" s="10" t="str">
        <f>물량원가기준!C84</f>
        <v>A-d</v>
      </c>
      <c r="D84" s="17">
        <f>물량원가기준!E84</f>
        <v>4899</v>
      </c>
      <c r="E84" s="17">
        <f>물량원가기준!F84</f>
        <v>4899</v>
      </c>
      <c r="F84" s="17">
        <f>물량원가기준!G84</f>
        <v>210000</v>
      </c>
      <c r="G84" s="17">
        <f>SUM(물량원가기준!H84:J84)</f>
        <v>185000</v>
      </c>
      <c r="H84" s="15">
        <f t="shared" si="12"/>
        <v>25000</v>
      </c>
      <c r="I84" s="17">
        <f>부품모델매핑!D9</f>
        <v>0</v>
      </c>
      <c r="J84" s="17">
        <f>IF(ISNUMBER(물량원가기준!F84),E84*I84,"미산출")</f>
        <v>0</v>
      </c>
      <c r="K84" s="15">
        <f t="shared" si="13"/>
        <v>122475000</v>
      </c>
      <c r="L84" s="15">
        <f t="shared" si="14"/>
        <v>122475000</v>
      </c>
      <c r="M84" s="15">
        <f t="shared" si="15"/>
        <v>0</v>
      </c>
      <c r="N84" s="17">
        <f>IF(AND(B84&gt;=설정!$B$6,B84&lt;설정!$B$23),1,0)</f>
        <v>1</v>
      </c>
      <c r="O84" s="17">
        <f>IF(AND(B84&gt;=설정!$B$6,B84&lt;설정!$B$24),1,0)</f>
        <v>0</v>
      </c>
      <c r="P84" s="17">
        <f>IF(B84&gt;=설정!$B$6,J84*(설정!$B$18-설정!$B$13),0)</f>
        <v>0</v>
      </c>
      <c r="Q84" s="15">
        <f t="shared" si="16"/>
        <v>122475000</v>
      </c>
      <c r="R84" s="17" t="str">
        <f>IF(물량원가기준!D84="","",물량원가기준!D84*H84)</f>
        <v/>
      </c>
      <c r="S84" s="15">
        <f t="shared" si="17"/>
        <v>1028790000</v>
      </c>
      <c r="T84" s="17">
        <f>물량원가기준!I84+IF(B84&gt;=설정!$B$6,I84*(설정!$B$18-설정!$B$13),0)</f>
        <v>65000</v>
      </c>
      <c r="U84" s="17">
        <f>IF(OR(COUNT(물량원가기준!E84:J84)&lt;&gt;6,COUNTIFS(물량원가기준!$A$6:$A$100,A84)&lt;&gt;1),0,1)</f>
        <v>1</v>
      </c>
    </row>
    <row r="85" spans="1:21" ht="30" customHeight="1">
      <c r="A85" s="9" t="str">
        <f>물량원가기준!A85</f>
        <v>2028-04|A-e</v>
      </c>
      <c r="B85" s="22">
        <f>물량원가기준!B85</f>
        <v>46844</v>
      </c>
      <c r="C85" s="9" t="str">
        <f>물량원가기준!C85</f>
        <v>A-e</v>
      </c>
      <c r="D85" s="18">
        <f>물량원가기준!E85</f>
        <v>2881</v>
      </c>
      <c r="E85" s="18">
        <f>물량원가기준!F85</f>
        <v>2881</v>
      </c>
      <c r="F85" s="18">
        <f>물량원가기준!G85</f>
        <v>150000</v>
      </c>
      <c r="G85" s="18">
        <f>SUM(물량원가기준!H85:J85)</f>
        <v>132000</v>
      </c>
      <c r="H85" s="16">
        <f t="shared" si="12"/>
        <v>18000</v>
      </c>
      <c r="I85" s="18">
        <f>부품모델매핑!D10</f>
        <v>0</v>
      </c>
      <c r="J85" s="18">
        <f>IF(ISNUMBER(물량원가기준!F85),E85*I85,"미산출")</f>
        <v>0</v>
      </c>
      <c r="K85" s="16">
        <f t="shared" si="13"/>
        <v>51858000</v>
      </c>
      <c r="L85" s="16">
        <f t="shared" si="14"/>
        <v>51858000</v>
      </c>
      <c r="M85" s="16">
        <f t="shared" si="15"/>
        <v>0</v>
      </c>
      <c r="N85" s="18">
        <f>IF(AND(B85&gt;=설정!$B$6,B85&lt;설정!$B$23),1,0)</f>
        <v>1</v>
      </c>
      <c r="O85" s="18">
        <f>IF(AND(B85&gt;=설정!$B$6,B85&lt;설정!$B$24),1,0)</f>
        <v>0</v>
      </c>
      <c r="P85" s="18">
        <f>IF(B85&gt;=설정!$B$6,J85*(설정!$B$18-설정!$B$13),0)</f>
        <v>0</v>
      </c>
      <c r="Q85" s="16">
        <f t="shared" si="16"/>
        <v>51858000</v>
      </c>
      <c r="R85" s="18" t="str">
        <f>IF(물량원가기준!D85="","",물량원가기준!D85*H85)</f>
        <v/>
      </c>
      <c r="S85" s="16">
        <f t="shared" si="17"/>
        <v>432150000</v>
      </c>
      <c r="T85" s="18">
        <f>물량원가기준!I85+IF(B85&gt;=설정!$B$6,I85*(설정!$B$18-설정!$B$13),0)</f>
        <v>50000</v>
      </c>
      <c r="U85" s="18">
        <f>IF(OR(COUNT(물량원가기준!E85:J85)&lt;&gt;6,COUNTIFS(물량원가기준!$A$6:$A$100,A85)&lt;&gt;1),0,1)</f>
        <v>1</v>
      </c>
    </row>
    <row r="86" spans="1:21" ht="30" customHeight="1">
      <c r="A86" s="10" t="str">
        <f>물량원가기준!A86</f>
        <v>2028-05|A-a</v>
      </c>
      <c r="B86" s="21">
        <f>물량원가기준!B86</f>
        <v>46874</v>
      </c>
      <c r="C86" s="10" t="str">
        <f>물량원가기준!C86</f>
        <v>A-a</v>
      </c>
      <c r="D86" s="17">
        <f>물량원가기준!E86</f>
        <v>3650</v>
      </c>
      <c r="E86" s="17">
        <f>물량원가기준!F86</f>
        <v>3650</v>
      </c>
      <c r="F86" s="17">
        <f>물량원가기준!G86</f>
        <v>300000</v>
      </c>
      <c r="G86" s="17">
        <f>SUM(물량원가기준!H86:J86)</f>
        <v>270000</v>
      </c>
      <c r="H86" s="15">
        <f t="shared" si="12"/>
        <v>30000</v>
      </c>
      <c r="I86" s="17">
        <f>부품모델매핑!D6</f>
        <v>1</v>
      </c>
      <c r="J86" s="17">
        <f>IF(ISNUMBER(물량원가기준!F86),E86*I86,"미산출")</f>
        <v>3650</v>
      </c>
      <c r="K86" s="15">
        <f t="shared" si="13"/>
        <v>109500000</v>
      </c>
      <c r="L86" s="15">
        <f t="shared" si="14"/>
        <v>109500000</v>
      </c>
      <c r="M86" s="15">
        <f t="shared" si="15"/>
        <v>0</v>
      </c>
      <c r="N86" s="17">
        <f>IF(AND(B86&gt;=설정!$B$6,B86&lt;설정!$B$23),1,0)</f>
        <v>1</v>
      </c>
      <c r="O86" s="17">
        <f>IF(AND(B86&gt;=설정!$B$6,B86&lt;설정!$B$24),1,0)</f>
        <v>0</v>
      </c>
      <c r="P86" s="17">
        <f>IF(B86&gt;=설정!$B$6,J86*(설정!$B$18-설정!$B$13),0)</f>
        <v>438000</v>
      </c>
      <c r="Q86" s="15">
        <f t="shared" si="16"/>
        <v>109062000</v>
      </c>
      <c r="R86" s="17" t="str">
        <f>IF(물량원가기준!D86="","",물량원가기준!D86*H86)</f>
        <v/>
      </c>
      <c r="S86" s="15">
        <f t="shared" si="17"/>
        <v>1095000000</v>
      </c>
      <c r="T86" s="17">
        <f>물량원가기준!I86+IF(B86&gt;=설정!$B$6,I86*(설정!$B$18-설정!$B$13),0)</f>
        <v>75120</v>
      </c>
      <c r="U86" s="17">
        <f>IF(OR(COUNT(물량원가기준!E86:J86)&lt;&gt;6,COUNTIFS(물량원가기준!$A$6:$A$100,A86)&lt;&gt;1),0,1)</f>
        <v>1</v>
      </c>
    </row>
    <row r="87" spans="1:21" ht="30" customHeight="1">
      <c r="A87" s="9" t="str">
        <f>물량원가기준!A87</f>
        <v>2028-05|A-b</v>
      </c>
      <c r="B87" s="22">
        <f>물량원가기준!B87</f>
        <v>46874</v>
      </c>
      <c r="C87" s="9" t="str">
        <f>물량원가기준!C87</f>
        <v>A-b</v>
      </c>
      <c r="D87" s="18">
        <f>물량원가기준!E87</f>
        <v>9126</v>
      </c>
      <c r="E87" s="18">
        <f>물량원가기준!F87</f>
        <v>9126</v>
      </c>
      <c r="F87" s="18">
        <f>물량원가기준!G87</f>
        <v>180000</v>
      </c>
      <c r="G87" s="18">
        <f>SUM(물량원가기준!H87:J87)</f>
        <v>160000</v>
      </c>
      <c r="H87" s="16">
        <f t="shared" si="12"/>
        <v>20000</v>
      </c>
      <c r="I87" s="18">
        <f>부품모델매핑!D7</f>
        <v>1</v>
      </c>
      <c r="J87" s="18">
        <f>IF(ISNUMBER(물량원가기준!F87),E87*I87,"미산출")</f>
        <v>9126</v>
      </c>
      <c r="K87" s="16">
        <f t="shared" si="13"/>
        <v>182520000</v>
      </c>
      <c r="L87" s="16">
        <f t="shared" si="14"/>
        <v>182520000</v>
      </c>
      <c r="M87" s="16">
        <f t="shared" si="15"/>
        <v>0</v>
      </c>
      <c r="N87" s="18">
        <f>IF(AND(B87&gt;=설정!$B$6,B87&lt;설정!$B$23),1,0)</f>
        <v>1</v>
      </c>
      <c r="O87" s="18">
        <f>IF(AND(B87&gt;=설정!$B$6,B87&lt;설정!$B$24),1,0)</f>
        <v>0</v>
      </c>
      <c r="P87" s="18">
        <f>IF(B87&gt;=설정!$B$6,J87*(설정!$B$18-설정!$B$13),0)</f>
        <v>1095120</v>
      </c>
      <c r="Q87" s="16">
        <f t="shared" si="16"/>
        <v>181424880</v>
      </c>
      <c r="R87" s="18" t="str">
        <f>IF(물량원가기준!D87="","",물량원가기준!D87*H87)</f>
        <v/>
      </c>
      <c r="S87" s="16">
        <f t="shared" si="17"/>
        <v>1642680000</v>
      </c>
      <c r="T87" s="18">
        <f>물량원가기준!I87+IF(B87&gt;=설정!$B$6,I87*(설정!$B$18-설정!$B$13),0)</f>
        <v>95120</v>
      </c>
      <c r="U87" s="18">
        <f>IF(OR(COUNT(물량원가기준!E87:J87)&lt;&gt;6,COUNTIFS(물량원가기준!$A$6:$A$100,A87)&lt;&gt;1),0,1)</f>
        <v>1</v>
      </c>
    </row>
    <row r="88" spans="1:21" ht="30" customHeight="1">
      <c r="A88" s="10" t="str">
        <f>물량원가기준!A88</f>
        <v>2028-05|A-c</v>
      </c>
      <c r="B88" s="21">
        <f>물량원가기준!B88</f>
        <v>46874</v>
      </c>
      <c r="C88" s="10" t="str">
        <f>물량원가기준!C88</f>
        <v>A-c</v>
      </c>
      <c r="D88" s="17">
        <f>물량원가기준!E88</f>
        <v>5646</v>
      </c>
      <c r="E88" s="17">
        <f>물량원가기준!F88</f>
        <v>5646</v>
      </c>
      <c r="F88" s="17">
        <f>물량원가기준!G88</f>
        <v>230000</v>
      </c>
      <c r="G88" s="17">
        <f>SUM(물량원가기준!H88:J88)</f>
        <v>202000</v>
      </c>
      <c r="H88" s="15">
        <f t="shared" si="12"/>
        <v>28000</v>
      </c>
      <c r="I88" s="17">
        <f>부품모델매핑!D8</f>
        <v>0</v>
      </c>
      <c r="J88" s="17">
        <f>IF(ISNUMBER(물량원가기준!F88),E88*I88,"미산출")</f>
        <v>0</v>
      </c>
      <c r="K88" s="15">
        <f t="shared" si="13"/>
        <v>158088000</v>
      </c>
      <c r="L88" s="15">
        <f t="shared" si="14"/>
        <v>158088000</v>
      </c>
      <c r="M88" s="15">
        <f t="shared" si="15"/>
        <v>0</v>
      </c>
      <c r="N88" s="17">
        <f>IF(AND(B88&gt;=설정!$B$6,B88&lt;설정!$B$23),1,0)</f>
        <v>1</v>
      </c>
      <c r="O88" s="17">
        <f>IF(AND(B88&gt;=설정!$B$6,B88&lt;설정!$B$24),1,0)</f>
        <v>0</v>
      </c>
      <c r="P88" s="17">
        <f>IF(B88&gt;=설정!$B$6,J88*(설정!$B$18-설정!$B$13),0)</f>
        <v>0</v>
      </c>
      <c r="Q88" s="15">
        <f t="shared" si="16"/>
        <v>158088000</v>
      </c>
      <c r="R88" s="17" t="str">
        <f>IF(물량원가기준!D88="","",물량원가기준!D88*H88)</f>
        <v/>
      </c>
      <c r="S88" s="15">
        <f t="shared" si="17"/>
        <v>1298580000</v>
      </c>
      <c r="T88" s="17">
        <f>물량원가기준!I88+IF(B88&gt;=설정!$B$6,I88*(설정!$B$18-설정!$B$13),0)</f>
        <v>60000</v>
      </c>
      <c r="U88" s="17">
        <f>IF(OR(COUNT(물량원가기준!E88:J88)&lt;&gt;6,COUNTIFS(물량원가기준!$A$6:$A$100,A88)&lt;&gt;1),0,1)</f>
        <v>1</v>
      </c>
    </row>
    <row r="89" spans="1:21" ht="30" customHeight="1">
      <c r="A89" s="9" t="str">
        <f>물량원가기준!A89</f>
        <v>2028-05|A-d</v>
      </c>
      <c r="B89" s="22">
        <f>물량원가기준!B89</f>
        <v>46874</v>
      </c>
      <c r="C89" s="9" t="str">
        <f>물량원가기준!C89</f>
        <v>A-d</v>
      </c>
      <c r="D89" s="18">
        <f>물량원가기준!E89</f>
        <v>4801</v>
      </c>
      <c r="E89" s="18">
        <f>물량원가기준!F89</f>
        <v>4801</v>
      </c>
      <c r="F89" s="18">
        <f>물량원가기준!G89</f>
        <v>210000</v>
      </c>
      <c r="G89" s="18">
        <f>SUM(물량원가기준!H89:J89)</f>
        <v>185000</v>
      </c>
      <c r="H89" s="16">
        <f t="shared" si="12"/>
        <v>25000</v>
      </c>
      <c r="I89" s="18">
        <f>부품모델매핑!D9</f>
        <v>0</v>
      </c>
      <c r="J89" s="18">
        <f>IF(ISNUMBER(물량원가기준!F89),E89*I89,"미산출")</f>
        <v>0</v>
      </c>
      <c r="K89" s="16">
        <f t="shared" si="13"/>
        <v>120025000</v>
      </c>
      <c r="L89" s="16">
        <f t="shared" si="14"/>
        <v>120025000</v>
      </c>
      <c r="M89" s="16">
        <f t="shared" si="15"/>
        <v>0</v>
      </c>
      <c r="N89" s="18">
        <f>IF(AND(B89&gt;=설정!$B$6,B89&lt;설정!$B$23),1,0)</f>
        <v>1</v>
      </c>
      <c r="O89" s="18">
        <f>IF(AND(B89&gt;=설정!$B$6,B89&lt;설정!$B$24),1,0)</f>
        <v>0</v>
      </c>
      <c r="P89" s="18">
        <f>IF(B89&gt;=설정!$B$6,J89*(설정!$B$18-설정!$B$13),0)</f>
        <v>0</v>
      </c>
      <c r="Q89" s="16">
        <f t="shared" si="16"/>
        <v>120025000</v>
      </c>
      <c r="R89" s="18" t="str">
        <f>IF(물량원가기준!D89="","",물량원가기준!D89*H89)</f>
        <v/>
      </c>
      <c r="S89" s="16">
        <f t="shared" si="17"/>
        <v>1008210000</v>
      </c>
      <c r="T89" s="18">
        <f>물량원가기준!I89+IF(B89&gt;=설정!$B$6,I89*(설정!$B$18-설정!$B$13),0)</f>
        <v>65000</v>
      </c>
      <c r="U89" s="18">
        <f>IF(OR(COUNT(물량원가기준!E89:J89)&lt;&gt;6,COUNTIFS(물량원가기준!$A$6:$A$100,A89)&lt;&gt;1),0,1)</f>
        <v>1</v>
      </c>
    </row>
    <row r="90" spans="1:21" ht="30" customHeight="1">
      <c r="A90" s="10" t="str">
        <f>물량원가기준!A90</f>
        <v>2028-05|A-e</v>
      </c>
      <c r="B90" s="21">
        <f>물량원가기준!B90</f>
        <v>46874</v>
      </c>
      <c r="C90" s="10" t="str">
        <f>물량원가기준!C90</f>
        <v>A-e</v>
      </c>
      <c r="D90" s="17">
        <f>물량원가기준!E90</f>
        <v>2824</v>
      </c>
      <c r="E90" s="17">
        <f>물량원가기준!F90</f>
        <v>2824</v>
      </c>
      <c r="F90" s="17">
        <f>물량원가기준!G90</f>
        <v>150000</v>
      </c>
      <c r="G90" s="17">
        <f>SUM(물량원가기준!H90:J90)</f>
        <v>132000</v>
      </c>
      <c r="H90" s="15">
        <f t="shared" si="12"/>
        <v>18000</v>
      </c>
      <c r="I90" s="17">
        <f>부품모델매핑!D10</f>
        <v>0</v>
      </c>
      <c r="J90" s="17">
        <f>IF(ISNUMBER(물량원가기준!F90),E90*I90,"미산출")</f>
        <v>0</v>
      </c>
      <c r="K90" s="15">
        <f t="shared" si="13"/>
        <v>50832000</v>
      </c>
      <c r="L90" s="15">
        <f t="shared" si="14"/>
        <v>50832000</v>
      </c>
      <c r="M90" s="15">
        <f t="shared" si="15"/>
        <v>0</v>
      </c>
      <c r="N90" s="17">
        <f>IF(AND(B90&gt;=설정!$B$6,B90&lt;설정!$B$23),1,0)</f>
        <v>1</v>
      </c>
      <c r="O90" s="17">
        <f>IF(AND(B90&gt;=설정!$B$6,B90&lt;설정!$B$24),1,0)</f>
        <v>0</v>
      </c>
      <c r="P90" s="17">
        <f>IF(B90&gt;=설정!$B$6,J90*(설정!$B$18-설정!$B$13),0)</f>
        <v>0</v>
      </c>
      <c r="Q90" s="15">
        <f t="shared" si="16"/>
        <v>50832000</v>
      </c>
      <c r="R90" s="17" t="str">
        <f>IF(물량원가기준!D90="","",물량원가기준!D90*H90)</f>
        <v/>
      </c>
      <c r="S90" s="15">
        <f t="shared" si="17"/>
        <v>423600000</v>
      </c>
      <c r="T90" s="17">
        <f>물량원가기준!I90+IF(B90&gt;=설정!$B$6,I90*(설정!$B$18-설정!$B$13),0)</f>
        <v>50000</v>
      </c>
      <c r="U90" s="17">
        <f>IF(OR(COUNT(물량원가기준!E90:J90)&lt;&gt;6,COUNTIFS(물량원가기준!$A$6:$A$100,A90)&lt;&gt;1),0,1)</f>
        <v>1</v>
      </c>
    </row>
    <row r="91" spans="1:21" ht="30" customHeight="1">
      <c r="A91" s="9" t="str">
        <f>물량원가기준!A91</f>
        <v>2028-06|A-a</v>
      </c>
      <c r="B91" s="22">
        <f>물량원가기준!B91</f>
        <v>46905</v>
      </c>
      <c r="C91" s="9" t="str">
        <f>물량원가기준!C91</f>
        <v>A-a</v>
      </c>
      <c r="D91" s="18">
        <f>물량원가기준!E91</f>
        <v>3686</v>
      </c>
      <c r="E91" s="18">
        <f>물량원가기준!F91</f>
        <v>3686</v>
      </c>
      <c r="F91" s="18">
        <f>물량원가기준!G91</f>
        <v>300000</v>
      </c>
      <c r="G91" s="18">
        <f>SUM(물량원가기준!H91:J91)</f>
        <v>270000</v>
      </c>
      <c r="H91" s="16">
        <f t="shared" si="12"/>
        <v>30000</v>
      </c>
      <c r="I91" s="18">
        <f>부품모델매핑!D6</f>
        <v>1</v>
      </c>
      <c r="J91" s="18">
        <f>IF(ISNUMBER(물량원가기준!F91),E91*I91,"미산출")</f>
        <v>3686</v>
      </c>
      <c r="K91" s="16">
        <f t="shared" si="13"/>
        <v>110580000</v>
      </c>
      <c r="L91" s="16">
        <f t="shared" si="14"/>
        <v>110580000</v>
      </c>
      <c r="M91" s="16">
        <f t="shared" si="15"/>
        <v>0</v>
      </c>
      <c r="N91" s="18">
        <f>IF(AND(B91&gt;=설정!$B$6,B91&lt;설정!$B$23),1,0)</f>
        <v>1</v>
      </c>
      <c r="O91" s="18">
        <f>IF(AND(B91&gt;=설정!$B$6,B91&lt;설정!$B$24),1,0)</f>
        <v>0</v>
      </c>
      <c r="P91" s="18">
        <f>IF(B91&gt;=설정!$B$6,J91*(설정!$B$18-설정!$B$13),0)</f>
        <v>442320</v>
      </c>
      <c r="Q91" s="16">
        <f t="shared" si="16"/>
        <v>110137680</v>
      </c>
      <c r="R91" s="18" t="str">
        <f>IF(물량원가기준!D91="","",물량원가기준!D91*H91)</f>
        <v/>
      </c>
      <c r="S91" s="16">
        <f t="shared" si="17"/>
        <v>1105800000</v>
      </c>
      <c r="T91" s="18">
        <f>물량원가기준!I91+IF(B91&gt;=설정!$B$6,I91*(설정!$B$18-설정!$B$13),0)</f>
        <v>75120</v>
      </c>
      <c r="U91" s="18">
        <f>IF(OR(COUNT(물량원가기준!E91:J91)&lt;&gt;6,COUNTIFS(물량원가기준!$A$6:$A$100,A91)&lt;&gt;1),0,1)</f>
        <v>1</v>
      </c>
    </row>
    <row r="92" spans="1:21" ht="30" customHeight="1">
      <c r="A92" s="10" t="str">
        <f>물량원가기준!A92</f>
        <v>2028-06|A-b</v>
      </c>
      <c r="B92" s="21">
        <f>물량원가기준!B92</f>
        <v>46905</v>
      </c>
      <c r="C92" s="10" t="str">
        <f>물량원가기준!C92</f>
        <v>A-b</v>
      </c>
      <c r="D92" s="17">
        <f>물량원가기준!E92</f>
        <v>9215</v>
      </c>
      <c r="E92" s="17">
        <f>물량원가기준!F92</f>
        <v>9215</v>
      </c>
      <c r="F92" s="17">
        <f>물량원가기준!G92</f>
        <v>180000</v>
      </c>
      <c r="G92" s="17">
        <f>SUM(물량원가기준!H92:J92)</f>
        <v>160000</v>
      </c>
      <c r="H92" s="15">
        <f t="shared" si="12"/>
        <v>20000</v>
      </c>
      <c r="I92" s="17">
        <f>부품모델매핑!D7</f>
        <v>1</v>
      </c>
      <c r="J92" s="17">
        <f>IF(ISNUMBER(물량원가기준!F92),E92*I92,"미산출")</f>
        <v>9215</v>
      </c>
      <c r="K92" s="15">
        <f t="shared" si="13"/>
        <v>184300000</v>
      </c>
      <c r="L92" s="15">
        <f t="shared" si="14"/>
        <v>184300000</v>
      </c>
      <c r="M92" s="15">
        <f t="shared" si="15"/>
        <v>0</v>
      </c>
      <c r="N92" s="17">
        <f>IF(AND(B92&gt;=설정!$B$6,B92&lt;설정!$B$23),1,0)</f>
        <v>1</v>
      </c>
      <c r="O92" s="17">
        <f>IF(AND(B92&gt;=설정!$B$6,B92&lt;설정!$B$24),1,0)</f>
        <v>0</v>
      </c>
      <c r="P92" s="17">
        <f>IF(B92&gt;=설정!$B$6,J92*(설정!$B$18-설정!$B$13),0)</f>
        <v>1105800</v>
      </c>
      <c r="Q92" s="15">
        <f t="shared" si="16"/>
        <v>183194200</v>
      </c>
      <c r="R92" s="17" t="str">
        <f>IF(물량원가기준!D92="","",물량원가기준!D92*H92)</f>
        <v/>
      </c>
      <c r="S92" s="15">
        <f t="shared" si="17"/>
        <v>1658700000</v>
      </c>
      <c r="T92" s="17">
        <f>물량원가기준!I92+IF(B92&gt;=설정!$B$6,I92*(설정!$B$18-설정!$B$13),0)</f>
        <v>95120</v>
      </c>
      <c r="U92" s="17">
        <f>IF(OR(COUNT(물량원가기준!E92:J92)&lt;&gt;6,COUNTIFS(물량원가기준!$A$6:$A$100,A92)&lt;&gt;1),0,1)</f>
        <v>1</v>
      </c>
    </row>
    <row r="93" spans="1:21" ht="30" customHeight="1">
      <c r="A93" s="9" t="str">
        <f>물량원가기준!A93</f>
        <v>2028-06|A-c</v>
      </c>
      <c r="B93" s="22">
        <f>물량원가기준!B93</f>
        <v>46905</v>
      </c>
      <c r="C93" s="9" t="str">
        <f>물량원가기준!C93</f>
        <v>A-c</v>
      </c>
      <c r="D93" s="18">
        <f>물량원가기준!E93</f>
        <v>5762</v>
      </c>
      <c r="E93" s="18">
        <f>물량원가기준!F93</f>
        <v>5762</v>
      </c>
      <c r="F93" s="18">
        <f>물량원가기준!G93</f>
        <v>230000</v>
      </c>
      <c r="G93" s="18">
        <f>SUM(물량원가기준!H93:J93)</f>
        <v>202000</v>
      </c>
      <c r="H93" s="16">
        <f t="shared" si="12"/>
        <v>28000</v>
      </c>
      <c r="I93" s="18">
        <f>부품모델매핑!D8</f>
        <v>0</v>
      </c>
      <c r="J93" s="18">
        <f>IF(ISNUMBER(물량원가기준!F93),E93*I93,"미산출")</f>
        <v>0</v>
      </c>
      <c r="K93" s="16">
        <f t="shared" si="13"/>
        <v>161336000</v>
      </c>
      <c r="L93" s="16">
        <f t="shared" si="14"/>
        <v>161336000</v>
      </c>
      <c r="M93" s="16">
        <f t="shared" si="15"/>
        <v>0</v>
      </c>
      <c r="N93" s="18">
        <f>IF(AND(B93&gt;=설정!$B$6,B93&lt;설정!$B$23),1,0)</f>
        <v>1</v>
      </c>
      <c r="O93" s="18">
        <f>IF(AND(B93&gt;=설정!$B$6,B93&lt;설정!$B$24),1,0)</f>
        <v>0</v>
      </c>
      <c r="P93" s="18">
        <f>IF(B93&gt;=설정!$B$6,J93*(설정!$B$18-설정!$B$13),0)</f>
        <v>0</v>
      </c>
      <c r="Q93" s="16">
        <f t="shared" si="16"/>
        <v>161336000</v>
      </c>
      <c r="R93" s="18" t="str">
        <f>IF(물량원가기준!D93="","",물량원가기준!D93*H93)</f>
        <v/>
      </c>
      <c r="S93" s="16">
        <f t="shared" si="17"/>
        <v>1325260000</v>
      </c>
      <c r="T93" s="18">
        <f>물량원가기준!I93+IF(B93&gt;=설정!$B$6,I93*(설정!$B$18-설정!$B$13),0)</f>
        <v>60000</v>
      </c>
      <c r="U93" s="18">
        <f>IF(OR(COUNT(물량원가기준!E93:J93)&lt;&gt;6,COUNTIFS(물량원가기준!$A$6:$A$100,A93)&lt;&gt;1),0,1)</f>
        <v>1</v>
      </c>
    </row>
    <row r="94" spans="1:21" ht="30" customHeight="1">
      <c r="A94" s="10" t="str">
        <f>물량원가기준!A94</f>
        <v>2028-06|A-d</v>
      </c>
      <c r="B94" s="21">
        <f>물량원가기준!B94</f>
        <v>46905</v>
      </c>
      <c r="C94" s="10" t="str">
        <f>물량원가기준!C94</f>
        <v>A-d</v>
      </c>
      <c r="D94" s="17">
        <f>물량원가기준!E94</f>
        <v>4899</v>
      </c>
      <c r="E94" s="17">
        <f>물량원가기준!F94</f>
        <v>4899</v>
      </c>
      <c r="F94" s="17">
        <f>물량원가기준!G94</f>
        <v>210000</v>
      </c>
      <c r="G94" s="17">
        <f>SUM(물량원가기준!H94:J94)</f>
        <v>185000</v>
      </c>
      <c r="H94" s="15">
        <f t="shared" si="12"/>
        <v>25000</v>
      </c>
      <c r="I94" s="17">
        <f>부품모델매핑!D9</f>
        <v>0</v>
      </c>
      <c r="J94" s="17">
        <f>IF(ISNUMBER(물량원가기준!F94),E94*I94,"미산출")</f>
        <v>0</v>
      </c>
      <c r="K94" s="15">
        <f t="shared" si="13"/>
        <v>122475000</v>
      </c>
      <c r="L94" s="15">
        <f t="shared" si="14"/>
        <v>122475000</v>
      </c>
      <c r="M94" s="15">
        <f t="shared" si="15"/>
        <v>0</v>
      </c>
      <c r="N94" s="17">
        <f>IF(AND(B94&gt;=설정!$B$6,B94&lt;설정!$B$23),1,0)</f>
        <v>1</v>
      </c>
      <c r="O94" s="17">
        <f>IF(AND(B94&gt;=설정!$B$6,B94&lt;설정!$B$24),1,0)</f>
        <v>0</v>
      </c>
      <c r="P94" s="17">
        <f>IF(B94&gt;=설정!$B$6,J94*(설정!$B$18-설정!$B$13),0)</f>
        <v>0</v>
      </c>
      <c r="Q94" s="15">
        <f t="shared" si="16"/>
        <v>122475000</v>
      </c>
      <c r="R94" s="17" t="str">
        <f>IF(물량원가기준!D94="","",물량원가기준!D94*H94)</f>
        <v/>
      </c>
      <c r="S94" s="15">
        <f t="shared" si="17"/>
        <v>1028790000</v>
      </c>
      <c r="T94" s="17">
        <f>물량원가기준!I94+IF(B94&gt;=설정!$B$6,I94*(설정!$B$18-설정!$B$13),0)</f>
        <v>65000</v>
      </c>
      <c r="U94" s="17">
        <f>IF(OR(COUNT(물량원가기준!E94:J94)&lt;&gt;6,COUNTIFS(물량원가기준!$A$6:$A$100,A94)&lt;&gt;1),0,1)</f>
        <v>1</v>
      </c>
    </row>
    <row r="95" spans="1:21" ht="30" customHeight="1">
      <c r="A95" s="9" t="str">
        <f>물량원가기준!A95</f>
        <v>2028-06|A-e</v>
      </c>
      <c r="B95" s="22">
        <f>물량원가기준!B95</f>
        <v>46905</v>
      </c>
      <c r="C95" s="9" t="str">
        <f>물량원가기준!C95</f>
        <v>A-e</v>
      </c>
      <c r="D95" s="18">
        <f>물량원가기준!E95</f>
        <v>2881</v>
      </c>
      <c r="E95" s="18">
        <f>물량원가기준!F95</f>
        <v>2881</v>
      </c>
      <c r="F95" s="18">
        <f>물량원가기준!G95</f>
        <v>150000</v>
      </c>
      <c r="G95" s="18">
        <f>SUM(물량원가기준!H95:J95)</f>
        <v>132000</v>
      </c>
      <c r="H95" s="16">
        <f t="shared" si="12"/>
        <v>18000</v>
      </c>
      <c r="I95" s="18">
        <f>부품모델매핑!D10</f>
        <v>0</v>
      </c>
      <c r="J95" s="18">
        <f>IF(ISNUMBER(물량원가기준!F95),E95*I95,"미산출")</f>
        <v>0</v>
      </c>
      <c r="K95" s="16">
        <f t="shared" si="13"/>
        <v>51858000</v>
      </c>
      <c r="L95" s="16">
        <f t="shared" si="14"/>
        <v>51858000</v>
      </c>
      <c r="M95" s="16">
        <f t="shared" si="15"/>
        <v>0</v>
      </c>
      <c r="N95" s="18">
        <f>IF(AND(B95&gt;=설정!$B$6,B95&lt;설정!$B$23),1,0)</f>
        <v>1</v>
      </c>
      <c r="O95" s="18">
        <f>IF(AND(B95&gt;=설정!$B$6,B95&lt;설정!$B$24),1,0)</f>
        <v>0</v>
      </c>
      <c r="P95" s="18">
        <f>IF(B95&gt;=설정!$B$6,J95*(설정!$B$18-설정!$B$13),0)</f>
        <v>0</v>
      </c>
      <c r="Q95" s="16">
        <f t="shared" si="16"/>
        <v>51858000</v>
      </c>
      <c r="R95" s="18" t="str">
        <f>IF(물량원가기준!D95="","",물량원가기준!D95*H95)</f>
        <v/>
      </c>
      <c r="S95" s="16">
        <f t="shared" si="17"/>
        <v>432150000</v>
      </c>
      <c r="T95" s="18">
        <f>물량원가기준!I95+IF(B95&gt;=설정!$B$6,I95*(설정!$B$18-설정!$B$13),0)</f>
        <v>50000</v>
      </c>
      <c r="U95" s="18">
        <f>IF(OR(COUNT(물량원가기준!E95:J95)&lt;&gt;6,COUNTIFS(물량원가기준!$A$6:$A$100,A95)&lt;&gt;1),0,1)</f>
        <v>1</v>
      </c>
    </row>
    <row r="96" spans="1:21" ht="30" customHeight="1">
      <c r="A96" s="10" t="str">
        <f>물량원가기준!A96</f>
        <v>2028-07|A-a</v>
      </c>
      <c r="B96" s="21">
        <f>물량원가기준!B96</f>
        <v>46935</v>
      </c>
      <c r="C96" s="10" t="str">
        <f>물량원가기준!C96</f>
        <v>A-a</v>
      </c>
      <c r="D96" s="17">
        <f>물량원가기준!E96</f>
        <v>3686</v>
      </c>
      <c r="E96" s="17">
        <f>물량원가기준!F96</f>
        <v>3686</v>
      </c>
      <c r="F96" s="17">
        <f>물량원가기준!G96</f>
        <v>300000</v>
      </c>
      <c r="G96" s="17">
        <f>SUM(물량원가기준!H96:J96)</f>
        <v>270000</v>
      </c>
      <c r="H96" s="15">
        <f t="shared" si="12"/>
        <v>30000</v>
      </c>
      <c r="I96" s="17">
        <f>부품모델매핑!D6</f>
        <v>1</v>
      </c>
      <c r="J96" s="17">
        <f>IF(ISNUMBER(물량원가기준!F96),E96*I96,"미산출")</f>
        <v>3686</v>
      </c>
      <c r="K96" s="15">
        <f t="shared" si="13"/>
        <v>110580000</v>
      </c>
      <c r="L96" s="15">
        <f t="shared" si="14"/>
        <v>110580000</v>
      </c>
      <c r="M96" s="15">
        <f t="shared" si="15"/>
        <v>0</v>
      </c>
      <c r="N96" s="17">
        <f>IF(AND(B96&gt;=설정!$B$6,B96&lt;설정!$B$23),1,0)</f>
        <v>0</v>
      </c>
      <c r="O96" s="17">
        <f>IF(AND(B96&gt;=설정!$B$6,B96&lt;설정!$B$24),1,0)</f>
        <v>0</v>
      </c>
      <c r="P96" s="17">
        <f>IF(B96&gt;=설정!$B$6,J96*(설정!$B$18-설정!$B$13),0)</f>
        <v>442320</v>
      </c>
      <c r="Q96" s="15">
        <f t="shared" si="16"/>
        <v>110137680</v>
      </c>
      <c r="R96" s="17" t="str">
        <f>IF(물량원가기준!D96="","",물량원가기준!D96*H96)</f>
        <v/>
      </c>
      <c r="S96" s="15">
        <f t="shared" si="17"/>
        <v>1105800000</v>
      </c>
      <c r="T96" s="17">
        <f>물량원가기준!I96+IF(B96&gt;=설정!$B$6,I96*(설정!$B$18-설정!$B$13),0)</f>
        <v>75120</v>
      </c>
      <c r="U96" s="17">
        <f>IF(OR(COUNT(물량원가기준!E96:J96)&lt;&gt;6,COUNTIFS(물량원가기준!$A$6:$A$100,A96)&lt;&gt;1),0,1)</f>
        <v>1</v>
      </c>
    </row>
    <row r="97" spans="1:21" ht="30" customHeight="1">
      <c r="A97" s="9" t="str">
        <f>물량원가기준!A97</f>
        <v>2028-07|A-b</v>
      </c>
      <c r="B97" s="22">
        <f>물량원가기준!B97</f>
        <v>46935</v>
      </c>
      <c r="C97" s="9" t="str">
        <f>물량원가기준!C97</f>
        <v>A-b</v>
      </c>
      <c r="D97" s="18">
        <f>물량원가기준!E97</f>
        <v>9215</v>
      </c>
      <c r="E97" s="18">
        <f>물량원가기준!F97</f>
        <v>9215</v>
      </c>
      <c r="F97" s="18">
        <f>물량원가기준!G97</f>
        <v>180000</v>
      </c>
      <c r="G97" s="18">
        <f>SUM(물량원가기준!H97:J97)</f>
        <v>160000</v>
      </c>
      <c r="H97" s="16">
        <f t="shared" si="12"/>
        <v>20000</v>
      </c>
      <c r="I97" s="18">
        <f>부품모델매핑!D7</f>
        <v>1</v>
      </c>
      <c r="J97" s="18">
        <f>IF(ISNUMBER(물량원가기준!F97),E97*I97,"미산출")</f>
        <v>9215</v>
      </c>
      <c r="K97" s="16">
        <f t="shared" si="13"/>
        <v>184300000</v>
      </c>
      <c r="L97" s="16">
        <f t="shared" si="14"/>
        <v>184300000</v>
      </c>
      <c r="M97" s="16">
        <f t="shared" si="15"/>
        <v>0</v>
      </c>
      <c r="N97" s="18">
        <f>IF(AND(B97&gt;=설정!$B$6,B97&lt;설정!$B$23),1,0)</f>
        <v>0</v>
      </c>
      <c r="O97" s="18">
        <f>IF(AND(B97&gt;=설정!$B$6,B97&lt;설정!$B$24),1,0)</f>
        <v>0</v>
      </c>
      <c r="P97" s="18">
        <f>IF(B97&gt;=설정!$B$6,J97*(설정!$B$18-설정!$B$13),0)</f>
        <v>1105800</v>
      </c>
      <c r="Q97" s="16">
        <f t="shared" si="16"/>
        <v>183194200</v>
      </c>
      <c r="R97" s="18" t="str">
        <f>IF(물량원가기준!D97="","",물량원가기준!D97*H97)</f>
        <v/>
      </c>
      <c r="S97" s="16">
        <f t="shared" si="17"/>
        <v>1658700000</v>
      </c>
      <c r="T97" s="18">
        <f>물량원가기준!I97+IF(B97&gt;=설정!$B$6,I97*(설정!$B$18-설정!$B$13),0)</f>
        <v>95120</v>
      </c>
      <c r="U97" s="18">
        <f>IF(OR(COUNT(물량원가기준!E97:J97)&lt;&gt;6,COUNTIFS(물량원가기준!$A$6:$A$100,A97)&lt;&gt;1),0,1)</f>
        <v>1</v>
      </c>
    </row>
    <row r="98" spans="1:21" ht="30" customHeight="1">
      <c r="A98" s="10" t="str">
        <f>물량원가기준!A98</f>
        <v>2028-07|A-c</v>
      </c>
      <c r="B98" s="21">
        <f>물량원가기준!B98</f>
        <v>46935</v>
      </c>
      <c r="C98" s="10" t="str">
        <f>물량원가기준!C98</f>
        <v>A-c</v>
      </c>
      <c r="D98" s="17">
        <f>물량원가기준!E98</f>
        <v>5762</v>
      </c>
      <c r="E98" s="17">
        <f>물량원가기준!F98</f>
        <v>5762</v>
      </c>
      <c r="F98" s="17">
        <f>물량원가기준!G98</f>
        <v>230000</v>
      </c>
      <c r="G98" s="17">
        <f>SUM(물량원가기준!H98:J98)</f>
        <v>202000</v>
      </c>
      <c r="H98" s="15">
        <f t="shared" si="12"/>
        <v>28000</v>
      </c>
      <c r="I98" s="17">
        <f>부품모델매핑!D8</f>
        <v>0</v>
      </c>
      <c r="J98" s="17">
        <f>IF(ISNUMBER(물량원가기준!F98),E98*I98,"미산출")</f>
        <v>0</v>
      </c>
      <c r="K98" s="15">
        <f t="shared" si="13"/>
        <v>161336000</v>
      </c>
      <c r="L98" s="15">
        <f t="shared" si="14"/>
        <v>161336000</v>
      </c>
      <c r="M98" s="15">
        <f t="shared" si="15"/>
        <v>0</v>
      </c>
      <c r="N98" s="17">
        <f>IF(AND(B98&gt;=설정!$B$6,B98&lt;설정!$B$23),1,0)</f>
        <v>0</v>
      </c>
      <c r="O98" s="17">
        <f>IF(AND(B98&gt;=설정!$B$6,B98&lt;설정!$B$24),1,0)</f>
        <v>0</v>
      </c>
      <c r="P98" s="17">
        <f>IF(B98&gt;=설정!$B$6,J98*(설정!$B$18-설정!$B$13),0)</f>
        <v>0</v>
      </c>
      <c r="Q98" s="15">
        <f t="shared" si="16"/>
        <v>161336000</v>
      </c>
      <c r="R98" s="17" t="str">
        <f>IF(물량원가기준!D98="","",물량원가기준!D98*H98)</f>
        <v/>
      </c>
      <c r="S98" s="15">
        <f t="shared" si="17"/>
        <v>1325260000</v>
      </c>
      <c r="T98" s="17">
        <f>물량원가기준!I98+IF(B98&gt;=설정!$B$6,I98*(설정!$B$18-설정!$B$13),0)</f>
        <v>60000</v>
      </c>
      <c r="U98" s="17">
        <f>IF(OR(COUNT(물량원가기준!E98:J98)&lt;&gt;6,COUNTIFS(물량원가기준!$A$6:$A$100,A98)&lt;&gt;1),0,1)</f>
        <v>1</v>
      </c>
    </row>
    <row r="99" spans="1:21" ht="30" customHeight="1">
      <c r="A99" s="9" t="str">
        <f>물량원가기준!A99</f>
        <v>2028-07|A-d</v>
      </c>
      <c r="B99" s="22">
        <f>물량원가기준!B99</f>
        <v>46935</v>
      </c>
      <c r="C99" s="9" t="str">
        <f>물량원가기준!C99</f>
        <v>A-d</v>
      </c>
      <c r="D99" s="18">
        <f>물량원가기준!E99</f>
        <v>4899</v>
      </c>
      <c r="E99" s="18">
        <f>물량원가기준!F99</f>
        <v>4899</v>
      </c>
      <c r="F99" s="18">
        <f>물량원가기준!G99</f>
        <v>210000</v>
      </c>
      <c r="G99" s="18">
        <f>SUM(물량원가기준!H99:J99)</f>
        <v>185000</v>
      </c>
      <c r="H99" s="16">
        <f t="shared" si="12"/>
        <v>25000</v>
      </c>
      <c r="I99" s="18">
        <f>부품모델매핑!D9</f>
        <v>0</v>
      </c>
      <c r="J99" s="18">
        <f>IF(ISNUMBER(물량원가기준!F99),E99*I99,"미산출")</f>
        <v>0</v>
      </c>
      <c r="K99" s="16">
        <f t="shared" si="13"/>
        <v>122475000</v>
      </c>
      <c r="L99" s="16">
        <f t="shared" si="14"/>
        <v>122475000</v>
      </c>
      <c r="M99" s="16">
        <f t="shared" si="15"/>
        <v>0</v>
      </c>
      <c r="N99" s="18">
        <f>IF(AND(B99&gt;=설정!$B$6,B99&lt;설정!$B$23),1,0)</f>
        <v>0</v>
      </c>
      <c r="O99" s="18">
        <f>IF(AND(B99&gt;=설정!$B$6,B99&lt;설정!$B$24),1,0)</f>
        <v>0</v>
      </c>
      <c r="P99" s="18">
        <f>IF(B99&gt;=설정!$B$6,J99*(설정!$B$18-설정!$B$13),0)</f>
        <v>0</v>
      </c>
      <c r="Q99" s="16">
        <f t="shared" si="16"/>
        <v>122475000</v>
      </c>
      <c r="R99" s="18" t="str">
        <f>IF(물량원가기준!D99="","",물량원가기준!D99*H99)</f>
        <v/>
      </c>
      <c r="S99" s="16">
        <f t="shared" si="17"/>
        <v>1028790000</v>
      </c>
      <c r="T99" s="18">
        <f>물량원가기준!I99+IF(B99&gt;=설정!$B$6,I99*(설정!$B$18-설정!$B$13),0)</f>
        <v>65000</v>
      </c>
      <c r="U99" s="18">
        <f>IF(OR(COUNT(물량원가기준!E99:J99)&lt;&gt;6,COUNTIFS(물량원가기준!$A$6:$A$100,A99)&lt;&gt;1),0,1)</f>
        <v>1</v>
      </c>
    </row>
    <row r="100" spans="1:21" ht="30" customHeight="1">
      <c r="A100" s="10" t="str">
        <f>물량원가기준!A100</f>
        <v>2028-07|A-e</v>
      </c>
      <c r="B100" s="21">
        <f>물량원가기준!B100</f>
        <v>46935</v>
      </c>
      <c r="C100" s="10" t="str">
        <f>물량원가기준!C100</f>
        <v>A-e</v>
      </c>
      <c r="D100" s="17">
        <f>물량원가기준!E100</f>
        <v>2881</v>
      </c>
      <c r="E100" s="17">
        <f>물량원가기준!F100</f>
        <v>2881</v>
      </c>
      <c r="F100" s="17">
        <f>물량원가기준!G100</f>
        <v>150000</v>
      </c>
      <c r="G100" s="17">
        <f>SUM(물량원가기준!H100:J100)</f>
        <v>132000</v>
      </c>
      <c r="H100" s="15">
        <f t="shared" si="12"/>
        <v>18000</v>
      </c>
      <c r="I100" s="17">
        <f>부품모델매핑!D10</f>
        <v>0</v>
      </c>
      <c r="J100" s="17">
        <f>IF(ISNUMBER(물량원가기준!F100),E100*I100,"미산출")</f>
        <v>0</v>
      </c>
      <c r="K100" s="15">
        <f t="shared" si="13"/>
        <v>51858000</v>
      </c>
      <c r="L100" s="15">
        <f t="shared" si="14"/>
        <v>51858000</v>
      </c>
      <c r="M100" s="15">
        <f t="shared" si="15"/>
        <v>0</v>
      </c>
      <c r="N100" s="17">
        <f>IF(AND(B100&gt;=설정!$B$6,B100&lt;설정!$B$23),1,0)</f>
        <v>0</v>
      </c>
      <c r="O100" s="17">
        <f>IF(AND(B100&gt;=설정!$B$6,B100&lt;설정!$B$24),1,0)</f>
        <v>0</v>
      </c>
      <c r="P100" s="17">
        <f>IF(B100&gt;=설정!$B$6,J100*(설정!$B$18-설정!$B$13),0)</f>
        <v>0</v>
      </c>
      <c r="Q100" s="15">
        <f t="shared" si="16"/>
        <v>51858000</v>
      </c>
      <c r="R100" s="17" t="str">
        <f>IF(물량원가기준!D100="","",물량원가기준!D100*H100)</f>
        <v/>
      </c>
      <c r="S100" s="15">
        <f t="shared" si="17"/>
        <v>432150000</v>
      </c>
      <c r="T100" s="17">
        <f>물량원가기준!I100+IF(B100&gt;=설정!$B$6,I100*(설정!$B$18-설정!$B$13),0)</f>
        <v>50000</v>
      </c>
      <c r="U100" s="17">
        <f>IF(OR(COUNT(물량원가기준!E100:J100)&lt;&gt;6,COUNTIFS(물량원가기준!$A$6:$A$100,A100)&lt;&gt;1),0,1)</f>
        <v>1</v>
      </c>
    </row>
  </sheetData>
  <mergeCells count="2">
    <mergeCell ref="A1:U2"/>
    <mergeCell ref="A3:U3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showGridLines="0" workbookViewId="0">
      <pane xSplit="1" ySplit="5" topLeftCell="B104" activePane="bottomRight" state="frozen"/>
      <selection pane="topRight"/>
      <selection pane="bottomLeft"/>
      <selection pane="bottomRight" activeCell="A51" sqref="A51"/>
    </sheetView>
  </sheetViews>
  <sheetFormatPr defaultRowHeight="13.8"/>
  <cols>
    <col min="1" max="1" width="29" customWidth="1"/>
    <col min="2" max="2" width="14" customWidth="1"/>
    <col min="3" max="3" width="13" customWidth="1"/>
    <col min="4" max="6" width="14" customWidth="1"/>
    <col min="7" max="10" width="17" customWidth="1"/>
    <col min="11" max="11" width="14" customWidth="1"/>
    <col min="12" max="12" width="18.69921875" customWidth="1"/>
    <col min="13" max="13" width="23.5" customWidth="1"/>
    <col min="14" max="14" width="20.296875" customWidth="1"/>
  </cols>
  <sheetData>
    <row r="1" spans="1:14" ht="30" customHeight="1">
      <c r="A1" s="32" t="s">
        <v>219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43.95" customHeight="1">
      <c r="A3" s="33" t="s">
        <v>220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2" t="s">
        <v>199</v>
      </c>
      <c r="B5" s="2" t="s">
        <v>200</v>
      </c>
      <c r="C5" s="2" t="s">
        <v>201</v>
      </c>
      <c r="D5" s="2" t="s">
        <v>221</v>
      </c>
      <c r="E5" s="2" t="s">
        <v>202</v>
      </c>
      <c r="F5" s="2" t="s">
        <v>203</v>
      </c>
      <c r="G5" s="2" t="s">
        <v>204</v>
      </c>
      <c r="H5" s="2" t="s">
        <v>222</v>
      </c>
      <c r="I5" s="2" t="s">
        <v>223</v>
      </c>
      <c r="J5" s="2" t="s">
        <v>224</v>
      </c>
      <c r="K5" s="2" t="s">
        <v>225</v>
      </c>
      <c r="L5" s="2" t="s">
        <v>226</v>
      </c>
      <c r="M5" s="2" t="s">
        <v>227</v>
      </c>
      <c r="N5" s="2" t="s">
        <v>228</v>
      </c>
    </row>
    <row r="6" spans="1:14" ht="30" customHeight="1">
      <c r="A6" s="3" t="s">
        <v>229</v>
      </c>
      <c r="B6" s="11">
        <v>46388</v>
      </c>
      <c r="C6" s="3" t="s">
        <v>191</v>
      </c>
      <c r="D6" s="13">
        <v>4080</v>
      </c>
      <c r="E6" s="13">
        <v>4080</v>
      </c>
      <c r="F6" s="13">
        <v>4080</v>
      </c>
      <c r="G6" s="13">
        <v>300000</v>
      </c>
      <c r="H6" s="13">
        <v>175000</v>
      </c>
      <c r="I6" s="13">
        <v>75000</v>
      </c>
      <c r="J6" s="13">
        <v>20000</v>
      </c>
      <c r="K6" s="13">
        <v>4080</v>
      </c>
      <c r="L6" s="3" t="s">
        <v>230</v>
      </c>
      <c r="M6" s="3" t="s">
        <v>231</v>
      </c>
      <c r="N6" s="3" t="s">
        <v>232</v>
      </c>
    </row>
    <row r="7" spans="1:14" ht="30" customHeight="1">
      <c r="A7" s="1" t="s">
        <v>233</v>
      </c>
      <c r="B7" s="12">
        <v>46388</v>
      </c>
      <c r="C7" s="1" t="s">
        <v>193</v>
      </c>
      <c r="D7" s="14">
        <v>10200</v>
      </c>
      <c r="E7" s="14">
        <v>10200</v>
      </c>
      <c r="F7" s="14">
        <v>10200</v>
      </c>
      <c r="G7" s="14">
        <v>180000</v>
      </c>
      <c r="H7" s="14">
        <v>55000</v>
      </c>
      <c r="I7" s="14">
        <v>95000</v>
      </c>
      <c r="J7" s="14">
        <v>10000</v>
      </c>
      <c r="K7" s="14">
        <v>10200</v>
      </c>
      <c r="L7" s="1" t="s">
        <v>230</v>
      </c>
      <c r="M7" s="1" t="s">
        <v>231</v>
      </c>
      <c r="N7" s="1" t="s">
        <v>232</v>
      </c>
    </row>
    <row r="8" spans="1:14" ht="30" customHeight="1">
      <c r="A8" s="3" t="s">
        <v>234</v>
      </c>
      <c r="B8" s="11">
        <v>46388</v>
      </c>
      <c r="C8" s="3" t="s">
        <v>194</v>
      </c>
      <c r="D8" s="13">
        <v>6120</v>
      </c>
      <c r="E8" s="13">
        <v>6059</v>
      </c>
      <c r="F8" s="13">
        <v>6059</v>
      </c>
      <c r="G8" s="13">
        <v>230000</v>
      </c>
      <c r="H8" s="13">
        <v>125000</v>
      </c>
      <c r="I8" s="13">
        <v>60000</v>
      </c>
      <c r="J8" s="13">
        <v>17000</v>
      </c>
      <c r="K8" s="13">
        <v>6059</v>
      </c>
      <c r="L8" s="3" t="s">
        <v>230</v>
      </c>
      <c r="M8" s="3" t="s">
        <v>231</v>
      </c>
      <c r="N8" s="3" t="s">
        <v>232</v>
      </c>
    </row>
    <row r="9" spans="1:14" ht="30" customHeight="1">
      <c r="A9" s="1" t="s">
        <v>235</v>
      </c>
      <c r="B9" s="12">
        <v>46388</v>
      </c>
      <c r="C9" s="1" t="s">
        <v>195</v>
      </c>
      <c r="D9" s="14">
        <v>5100</v>
      </c>
      <c r="E9" s="14">
        <v>5151</v>
      </c>
      <c r="F9" s="14">
        <v>5151</v>
      </c>
      <c r="G9" s="14">
        <v>210000</v>
      </c>
      <c r="H9" s="14">
        <v>105000</v>
      </c>
      <c r="I9" s="14">
        <v>65000</v>
      </c>
      <c r="J9" s="14">
        <v>15000</v>
      </c>
      <c r="K9" s="14">
        <v>5151</v>
      </c>
      <c r="L9" s="1" t="s">
        <v>230</v>
      </c>
      <c r="M9" s="1" t="s">
        <v>231</v>
      </c>
      <c r="N9" s="1" t="s">
        <v>232</v>
      </c>
    </row>
    <row r="10" spans="1:14" ht="30" customHeight="1">
      <c r="A10" s="3" t="s">
        <v>236</v>
      </c>
      <c r="B10" s="11">
        <v>46388</v>
      </c>
      <c r="C10" s="3" t="s">
        <v>196</v>
      </c>
      <c r="D10" s="13">
        <v>3060</v>
      </c>
      <c r="E10" s="13">
        <v>3029</v>
      </c>
      <c r="F10" s="13">
        <v>3029</v>
      </c>
      <c r="G10" s="13">
        <v>150000</v>
      </c>
      <c r="H10" s="13">
        <v>70000</v>
      </c>
      <c r="I10" s="13">
        <v>50000</v>
      </c>
      <c r="J10" s="13">
        <v>12000</v>
      </c>
      <c r="K10" s="13">
        <v>3029</v>
      </c>
      <c r="L10" s="3" t="s">
        <v>230</v>
      </c>
      <c r="M10" s="3" t="s">
        <v>231</v>
      </c>
      <c r="N10" s="3" t="s">
        <v>232</v>
      </c>
    </row>
    <row r="11" spans="1:14" ht="30" customHeight="1">
      <c r="A11" s="1" t="s">
        <v>237</v>
      </c>
      <c r="B11" s="12">
        <v>46419</v>
      </c>
      <c r="C11" s="1" t="s">
        <v>191</v>
      </c>
      <c r="D11" s="14">
        <v>3600</v>
      </c>
      <c r="E11" s="14">
        <v>3564</v>
      </c>
      <c r="F11" s="14">
        <v>3564</v>
      </c>
      <c r="G11" s="14">
        <v>300000</v>
      </c>
      <c r="H11" s="14">
        <v>175000</v>
      </c>
      <c r="I11" s="14">
        <v>75000</v>
      </c>
      <c r="J11" s="14">
        <v>20000</v>
      </c>
      <c r="K11" s="14">
        <v>3564</v>
      </c>
      <c r="L11" s="1" t="s">
        <v>230</v>
      </c>
      <c r="M11" s="1" t="s">
        <v>231</v>
      </c>
      <c r="N11" s="1" t="s">
        <v>232</v>
      </c>
    </row>
    <row r="12" spans="1:14" ht="30" customHeight="1">
      <c r="A12" s="3" t="s">
        <v>238</v>
      </c>
      <c r="B12" s="11">
        <v>46419</v>
      </c>
      <c r="C12" s="3" t="s">
        <v>193</v>
      </c>
      <c r="D12" s="13">
        <v>9000</v>
      </c>
      <c r="E12" s="13">
        <v>8910</v>
      </c>
      <c r="F12" s="13">
        <v>8910</v>
      </c>
      <c r="G12" s="13">
        <v>180000</v>
      </c>
      <c r="H12" s="13">
        <v>55000</v>
      </c>
      <c r="I12" s="13">
        <v>95000</v>
      </c>
      <c r="J12" s="13">
        <v>10000</v>
      </c>
      <c r="K12" s="13">
        <v>8910</v>
      </c>
      <c r="L12" s="3" t="s">
        <v>230</v>
      </c>
      <c r="M12" s="3" t="s">
        <v>231</v>
      </c>
      <c r="N12" s="3" t="s">
        <v>232</v>
      </c>
    </row>
    <row r="13" spans="1:14" ht="30" customHeight="1">
      <c r="A13" s="1" t="s">
        <v>239</v>
      </c>
      <c r="B13" s="12">
        <v>46419</v>
      </c>
      <c r="C13" s="1" t="s">
        <v>194</v>
      </c>
      <c r="D13" s="14">
        <v>5400</v>
      </c>
      <c r="E13" s="14">
        <v>5346</v>
      </c>
      <c r="F13" s="14">
        <v>5346</v>
      </c>
      <c r="G13" s="14">
        <v>230000</v>
      </c>
      <c r="H13" s="14">
        <v>125000</v>
      </c>
      <c r="I13" s="14">
        <v>60000</v>
      </c>
      <c r="J13" s="14">
        <v>17000</v>
      </c>
      <c r="K13" s="14">
        <v>5346</v>
      </c>
      <c r="L13" s="1" t="s">
        <v>230</v>
      </c>
      <c r="M13" s="1" t="s">
        <v>231</v>
      </c>
      <c r="N13" s="1" t="s">
        <v>232</v>
      </c>
    </row>
    <row r="14" spans="1:14" ht="30" customHeight="1">
      <c r="A14" s="3" t="s">
        <v>240</v>
      </c>
      <c r="B14" s="11">
        <v>46419</v>
      </c>
      <c r="C14" s="3" t="s">
        <v>195</v>
      </c>
      <c r="D14" s="13">
        <v>4500</v>
      </c>
      <c r="E14" s="13">
        <v>4545</v>
      </c>
      <c r="F14" s="13">
        <v>4545</v>
      </c>
      <c r="G14" s="13">
        <v>210000</v>
      </c>
      <c r="H14" s="13">
        <v>105000</v>
      </c>
      <c r="I14" s="13">
        <v>65000</v>
      </c>
      <c r="J14" s="13">
        <v>15000</v>
      </c>
      <c r="K14" s="13">
        <v>4545</v>
      </c>
      <c r="L14" s="3" t="s">
        <v>230</v>
      </c>
      <c r="M14" s="3" t="s">
        <v>231</v>
      </c>
      <c r="N14" s="3" t="s">
        <v>232</v>
      </c>
    </row>
    <row r="15" spans="1:14" ht="30" customHeight="1">
      <c r="A15" s="1" t="s">
        <v>241</v>
      </c>
      <c r="B15" s="12">
        <v>46419</v>
      </c>
      <c r="C15" s="1" t="s">
        <v>196</v>
      </c>
      <c r="D15" s="14">
        <v>2700</v>
      </c>
      <c r="E15" s="14">
        <v>2673</v>
      </c>
      <c r="F15" s="14">
        <v>2673</v>
      </c>
      <c r="G15" s="14">
        <v>150000</v>
      </c>
      <c r="H15" s="14">
        <v>70000</v>
      </c>
      <c r="I15" s="14">
        <v>50000</v>
      </c>
      <c r="J15" s="14">
        <v>12000</v>
      </c>
      <c r="K15" s="14">
        <v>2673</v>
      </c>
      <c r="L15" s="1" t="s">
        <v>230</v>
      </c>
      <c r="M15" s="1" t="s">
        <v>231</v>
      </c>
      <c r="N15" s="1" t="s">
        <v>232</v>
      </c>
    </row>
    <row r="16" spans="1:14" ht="30" customHeight="1">
      <c r="A16" s="3" t="s">
        <v>242</v>
      </c>
      <c r="B16" s="11">
        <v>46447</v>
      </c>
      <c r="C16" s="3" t="s">
        <v>191</v>
      </c>
      <c r="D16" s="13">
        <v>4200</v>
      </c>
      <c r="E16" s="13">
        <v>4116</v>
      </c>
      <c r="F16" s="13">
        <v>4116</v>
      </c>
      <c r="G16" s="13">
        <v>300000</v>
      </c>
      <c r="H16" s="13">
        <v>175000</v>
      </c>
      <c r="I16" s="13">
        <v>75000</v>
      </c>
      <c r="J16" s="13">
        <v>20000</v>
      </c>
      <c r="K16" s="13">
        <v>4116</v>
      </c>
      <c r="L16" s="3" t="s">
        <v>230</v>
      </c>
      <c r="M16" s="3" t="s">
        <v>231</v>
      </c>
      <c r="N16" s="3" t="s">
        <v>232</v>
      </c>
    </row>
    <row r="17" spans="1:14" ht="30" customHeight="1">
      <c r="A17" s="1" t="s">
        <v>243</v>
      </c>
      <c r="B17" s="12">
        <v>46447</v>
      </c>
      <c r="C17" s="1" t="s">
        <v>193</v>
      </c>
      <c r="D17" s="14">
        <v>10500</v>
      </c>
      <c r="E17" s="14">
        <v>10290</v>
      </c>
      <c r="F17" s="14">
        <v>10290</v>
      </c>
      <c r="G17" s="14">
        <v>180000</v>
      </c>
      <c r="H17" s="14">
        <v>55000</v>
      </c>
      <c r="I17" s="14">
        <v>95000</v>
      </c>
      <c r="J17" s="14">
        <v>10000</v>
      </c>
      <c r="K17" s="14">
        <v>10290</v>
      </c>
      <c r="L17" s="1" t="s">
        <v>230</v>
      </c>
      <c r="M17" s="1" t="s">
        <v>231</v>
      </c>
      <c r="N17" s="1" t="s">
        <v>232</v>
      </c>
    </row>
    <row r="18" spans="1:14" ht="30" customHeight="1">
      <c r="A18" s="3" t="s">
        <v>244</v>
      </c>
      <c r="B18" s="11">
        <v>46447</v>
      </c>
      <c r="C18" s="3" t="s">
        <v>194</v>
      </c>
      <c r="D18" s="13">
        <v>6300</v>
      </c>
      <c r="E18" s="13">
        <v>6237</v>
      </c>
      <c r="F18" s="13">
        <v>6237</v>
      </c>
      <c r="G18" s="13">
        <v>230000</v>
      </c>
      <c r="H18" s="13">
        <v>125000</v>
      </c>
      <c r="I18" s="13">
        <v>60000</v>
      </c>
      <c r="J18" s="13">
        <v>17000</v>
      </c>
      <c r="K18" s="13">
        <v>6237</v>
      </c>
      <c r="L18" s="3" t="s">
        <v>230</v>
      </c>
      <c r="M18" s="3" t="s">
        <v>231</v>
      </c>
      <c r="N18" s="3" t="s">
        <v>232</v>
      </c>
    </row>
    <row r="19" spans="1:14" ht="30" customHeight="1">
      <c r="A19" s="1" t="s">
        <v>245</v>
      </c>
      <c r="B19" s="12">
        <v>46447</v>
      </c>
      <c r="C19" s="1" t="s">
        <v>195</v>
      </c>
      <c r="D19" s="14">
        <v>5250</v>
      </c>
      <c r="E19" s="14">
        <v>5303</v>
      </c>
      <c r="F19" s="14">
        <v>5303</v>
      </c>
      <c r="G19" s="14">
        <v>210000</v>
      </c>
      <c r="H19" s="14">
        <v>105000</v>
      </c>
      <c r="I19" s="14">
        <v>65000</v>
      </c>
      <c r="J19" s="14">
        <v>15000</v>
      </c>
      <c r="K19" s="14">
        <v>5303</v>
      </c>
      <c r="L19" s="1" t="s">
        <v>230</v>
      </c>
      <c r="M19" s="1" t="s">
        <v>231</v>
      </c>
      <c r="N19" s="1" t="s">
        <v>232</v>
      </c>
    </row>
    <row r="20" spans="1:14" ht="30" customHeight="1">
      <c r="A20" s="3" t="s">
        <v>246</v>
      </c>
      <c r="B20" s="11">
        <v>46447</v>
      </c>
      <c r="C20" s="3" t="s">
        <v>196</v>
      </c>
      <c r="D20" s="13">
        <v>3150</v>
      </c>
      <c r="E20" s="13">
        <v>3119</v>
      </c>
      <c r="F20" s="13">
        <v>3119</v>
      </c>
      <c r="G20" s="13">
        <v>150000</v>
      </c>
      <c r="H20" s="13">
        <v>70000</v>
      </c>
      <c r="I20" s="13">
        <v>50000</v>
      </c>
      <c r="J20" s="13">
        <v>12000</v>
      </c>
      <c r="K20" s="13">
        <v>3119</v>
      </c>
      <c r="L20" s="3" t="s">
        <v>230</v>
      </c>
      <c r="M20" s="3" t="s">
        <v>231</v>
      </c>
      <c r="N20" s="3" t="s">
        <v>232</v>
      </c>
    </row>
    <row r="21" spans="1:14" ht="30" customHeight="1">
      <c r="A21" s="1" t="s">
        <v>247</v>
      </c>
      <c r="B21" s="12">
        <v>46478</v>
      </c>
      <c r="C21" s="1" t="s">
        <v>191</v>
      </c>
      <c r="D21" s="14">
        <v>4000</v>
      </c>
      <c r="E21" s="14">
        <v>3880</v>
      </c>
      <c r="F21" s="14">
        <v>3880</v>
      </c>
      <c r="G21" s="14">
        <v>300000</v>
      </c>
      <c r="H21" s="14">
        <v>175000</v>
      </c>
      <c r="I21" s="14">
        <v>75000</v>
      </c>
      <c r="J21" s="14">
        <v>20000</v>
      </c>
      <c r="K21" s="14">
        <v>3880</v>
      </c>
      <c r="L21" s="1" t="s">
        <v>230</v>
      </c>
      <c r="M21" s="1" t="s">
        <v>231</v>
      </c>
      <c r="N21" s="1" t="s">
        <v>232</v>
      </c>
    </row>
    <row r="22" spans="1:14" ht="30" customHeight="1">
      <c r="A22" s="3" t="s">
        <v>248</v>
      </c>
      <c r="B22" s="11">
        <v>46478</v>
      </c>
      <c r="C22" s="3" t="s">
        <v>193</v>
      </c>
      <c r="D22" s="13">
        <v>10000</v>
      </c>
      <c r="E22" s="13">
        <v>9700</v>
      </c>
      <c r="F22" s="13">
        <v>9700</v>
      </c>
      <c r="G22" s="13">
        <v>180000</v>
      </c>
      <c r="H22" s="13">
        <v>55000</v>
      </c>
      <c r="I22" s="13">
        <v>95000</v>
      </c>
      <c r="J22" s="13">
        <v>10000</v>
      </c>
      <c r="K22" s="13">
        <v>9700</v>
      </c>
      <c r="L22" s="3" t="s">
        <v>230</v>
      </c>
      <c r="M22" s="3" t="s">
        <v>231</v>
      </c>
      <c r="N22" s="3" t="s">
        <v>232</v>
      </c>
    </row>
    <row r="23" spans="1:14" ht="30" customHeight="1">
      <c r="A23" s="1" t="s">
        <v>249</v>
      </c>
      <c r="B23" s="12">
        <v>46478</v>
      </c>
      <c r="C23" s="1" t="s">
        <v>194</v>
      </c>
      <c r="D23" s="14">
        <v>6000</v>
      </c>
      <c r="E23" s="14">
        <v>5940</v>
      </c>
      <c r="F23" s="14">
        <v>5940</v>
      </c>
      <c r="G23" s="14">
        <v>230000</v>
      </c>
      <c r="H23" s="14">
        <v>125000</v>
      </c>
      <c r="I23" s="14">
        <v>60000</v>
      </c>
      <c r="J23" s="14">
        <v>17000</v>
      </c>
      <c r="K23" s="14">
        <v>5940</v>
      </c>
      <c r="L23" s="1" t="s">
        <v>230</v>
      </c>
      <c r="M23" s="1" t="s">
        <v>231</v>
      </c>
      <c r="N23" s="1" t="s">
        <v>232</v>
      </c>
    </row>
    <row r="24" spans="1:14" ht="30" customHeight="1">
      <c r="A24" s="3" t="s">
        <v>250</v>
      </c>
      <c r="B24" s="11">
        <v>46478</v>
      </c>
      <c r="C24" s="3" t="s">
        <v>195</v>
      </c>
      <c r="D24" s="13">
        <v>5000</v>
      </c>
      <c r="E24" s="13">
        <v>5050</v>
      </c>
      <c r="F24" s="13">
        <v>5050</v>
      </c>
      <c r="G24" s="13">
        <v>210000</v>
      </c>
      <c r="H24" s="13">
        <v>105000</v>
      </c>
      <c r="I24" s="13">
        <v>65000</v>
      </c>
      <c r="J24" s="13">
        <v>15000</v>
      </c>
      <c r="K24" s="13">
        <v>5050</v>
      </c>
      <c r="L24" s="3" t="s">
        <v>230</v>
      </c>
      <c r="M24" s="3" t="s">
        <v>231</v>
      </c>
      <c r="N24" s="3" t="s">
        <v>232</v>
      </c>
    </row>
    <row r="25" spans="1:14" ht="30" customHeight="1">
      <c r="A25" s="1" t="s">
        <v>251</v>
      </c>
      <c r="B25" s="12">
        <v>46478</v>
      </c>
      <c r="C25" s="1" t="s">
        <v>196</v>
      </c>
      <c r="D25" s="14">
        <v>3000</v>
      </c>
      <c r="E25" s="14">
        <v>2970</v>
      </c>
      <c r="F25" s="14">
        <v>2970</v>
      </c>
      <c r="G25" s="14">
        <v>150000</v>
      </c>
      <c r="H25" s="14">
        <v>70000</v>
      </c>
      <c r="I25" s="14">
        <v>50000</v>
      </c>
      <c r="J25" s="14">
        <v>12000</v>
      </c>
      <c r="K25" s="14">
        <v>2970</v>
      </c>
      <c r="L25" s="1" t="s">
        <v>230</v>
      </c>
      <c r="M25" s="1" t="s">
        <v>231</v>
      </c>
      <c r="N25" s="1" t="s">
        <v>232</v>
      </c>
    </row>
    <row r="26" spans="1:14" ht="30" customHeight="1">
      <c r="A26" s="3" t="s">
        <v>252</v>
      </c>
      <c r="B26" s="11">
        <v>46508</v>
      </c>
      <c r="C26" s="3" t="s">
        <v>191</v>
      </c>
      <c r="D26" s="13">
        <v>3920</v>
      </c>
      <c r="E26" s="13">
        <v>3763</v>
      </c>
      <c r="F26" s="13">
        <v>3763</v>
      </c>
      <c r="G26" s="13">
        <v>300000</v>
      </c>
      <c r="H26" s="13">
        <v>175000</v>
      </c>
      <c r="I26" s="13">
        <v>75000</v>
      </c>
      <c r="J26" s="13">
        <v>20000</v>
      </c>
      <c r="K26" s="13">
        <v>3763</v>
      </c>
      <c r="L26" s="3" t="s">
        <v>230</v>
      </c>
      <c r="M26" s="3" t="s">
        <v>231</v>
      </c>
      <c r="N26" s="3" t="s">
        <v>232</v>
      </c>
    </row>
    <row r="27" spans="1:14" ht="30" customHeight="1">
      <c r="A27" s="1" t="s">
        <v>253</v>
      </c>
      <c r="B27" s="12">
        <v>46508</v>
      </c>
      <c r="C27" s="1" t="s">
        <v>193</v>
      </c>
      <c r="D27" s="14">
        <v>9800</v>
      </c>
      <c r="E27" s="14">
        <v>9408</v>
      </c>
      <c r="F27" s="14">
        <v>9408</v>
      </c>
      <c r="G27" s="14">
        <v>180000</v>
      </c>
      <c r="H27" s="14">
        <v>55000</v>
      </c>
      <c r="I27" s="14">
        <v>95000</v>
      </c>
      <c r="J27" s="14">
        <v>10000</v>
      </c>
      <c r="K27" s="14">
        <v>9408</v>
      </c>
      <c r="L27" s="1" t="s">
        <v>230</v>
      </c>
      <c r="M27" s="1" t="s">
        <v>231</v>
      </c>
      <c r="N27" s="1" t="s">
        <v>232</v>
      </c>
    </row>
    <row r="28" spans="1:14" ht="30" customHeight="1">
      <c r="A28" s="3" t="s">
        <v>254</v>
      </c>
      <c r="B28" s="11">
        <v>46508</v>
      </c>
      <c r="C28" s="3" t="s">
        <v>194</v>
      </c>
      <c r="D28" s="13">
        <v>5880</v>
      </c>
      <c r="E28" s="13">
        <v>5821</v>
      </c>
      <c r="F28" s="13">
        <v>5821</v>
      </c>
      <c r="G28" s="13">
        <v>230000</v>
      </c>
      <c r="H28" s="13">
        <v>125000</v>
      </c>
      <c r="I28" s="13">
        <v>60000</v>
      </c>
      <c r="J28" s="13">
        <v>17000</v>
      </c>
      <c r="K28" s="13">
        <v>5821</v>
      </c>
      <c r="L28" s="3" t="s">
        <v>230</v>
      </c>
      <c r="M28" s="3" t="s">
        <v>231</v>
      </c>
      <c r="N28" s="3" t="s">
        <v>232</v>
      </c>
    </row>
    <row r="29" spans="1:14" ht="30" customHeight="1">
      <c r="A29" s="1" t="s">
        <v>255</v>
      </c>
      <c r="B29" s="12">
        <v>46508</v>
      </c>
      <c r="C29" s="1" t="s">
        <v>195</v>
      </c>
      <c r="D29" s="14">
        <v>4900</v>
      </c>
      <c r="E29" s="14">
        <v>4949</v>
      </c>
      <c r="F29" s="14">
        <v>4949</v>
      </c>
      <c r="G29" s="14">
        <v>210000</v>
      </c>
      <c r="H29" s="14">
        <v>105000</v>
      </c>
      <c r="I29" s="14">
        <v>65000</v>
      </c>
      <c r="J29" s="14">
        <v>15000</v>
      </c>
      <c r="K29" s="14">
        <v>4949</v>
      </c>
      <c r="L29" s="1" t="s">
        <v>230</v>
      </c>
      <c r="M29" s="1" t="s">
        <v>231</v>
      </c>
      <c r="N29" s="1" t="s">
        <v>232</v>
      </c>
    </row>
    <row r="30" spans="1:14" ht="30" customHeight="1">
      <c r="A30" s="3" t="s">
        <v>256</v>
      </c>
      <c r="B30" s="11">
        <v>46508</v>
      </c>
      <c r="C30" s="3" t="s">
        <v>196</v>
      </c>
      <c r="D30" s="13">
        <v>2940</v>
      </c>
      <c r="E30" s="13">
        <v>2911</v>
      </c>
      <c r="F30" s="13">
        <v>2911</v>
      </c>
      <c r="G30" s="13">
        <v>150000</v>
      </c>
      <c r="H30" s="13">
        <v>70000</v>
      </c>
      <c r="I30" s="13">
        <v>50000</v>
      </c>
      <c r="J30" s="13">
        <v>12000</v>
      </c>
      <c r="K30" s="13">
        <v>2911</v>
      </c>
      <c r="L30" s="3" t="s">
        <v>230</v>
      </c>
      <c r="M30" s="3" t="s">
        <v>231</v>
      </c>
      <c r="N30" s="3" t="s">
        <v>232</v>
      </c>
    </row>
    <row r="31" spans="1:14" ht="30" customHeight="1">
      <c r="A31" s="1" t="s">
        <v>257</v>
      </c>
      <c r="B31" s="12">
        <v>46539</v>
      </c>
      <c r="C31" s="1" t="s">
        <v>191</v>
      </c>
      <c r="D31" s="14">
        <v>4000</v>
      </c>
      <c r="E31" s="14">
        <v>3800</v>
      </c>
      <c r="F31" s="14">
        <v>3800</v>
      </c>
      <c r="G31" s="14">
        <v>300000</v>
      </c>
      <c r="H31" s="14">
        <v>175000</v>
      </c>
      <c r="I31" s="14">
        <v>75000</v>
      </c>
      <c r="J31" s="14">
        <v>20000</v>
      </c>
      <c r="K31" s="14">
        <v>1710</v>
      </c>
      <c r="L31" s="1" t="s">
        <v>258</v>
      </c>
      <c r="M31" s="1" t="s">
        <v>231</v>
      </c>
      <c r="N31" s="1" t="s">
        <v>232</v>
      </c>
    </row>
    <row r="32" spans="1:14" ht="30" customHeight="1">
      <c r="A32" s="3" t="s">
        <v>259</v>
      </c>
      <c r="B32" s="11">
        <v>46539</v>
      </c>
      <c r="C32" s="3" t="s">
        <v>193</v>
      </c>
      <c r="D32" s="13">
        <v>10000</v>
      </c>
      <c r="E32" s="13">
        <v>9500</v>
      </c>
      <c r="F32" s="13">
        <v>9500</v>
      </c>
      <c r="G32" s="13">
        <v>180000</v>
      </c>
      <c r="H32" s="13">
        <v>55000</v>
      </c>
      <c r="I32" s="13">
        <v>95000</v>
      </c>
      <c r="J32" s="13">
        <v>10000</v>
      </c>
      <c r="K32" s="13">
        <v>4275</v>
      </c>
      <c r="L32" s="3" t="s">
        <v>258</v>
      </c>
      <c r="M32" s="3" t="s">
        <v>231</v>
      </c>
      <c r="N32" s="3" t="s">
        <v>232</v>
      </c>
    </row>
    <row r="33" spans="1:14" ht="30" customHeight="1">
      <c r="A33" s="1" t="s">
        <v>260</v>
      </c>
      <c r="B33" s="12">
        <v>46539</v>
      </c>
      <c r="C33" s="1" t="s">
        <v>194</v>
      </c>
      <c r="D33" s="14">
        <v>6000</v>
      </c>
      <c r="E33" s="14">
        <v>5940</v>
      </c>
      <c r="F33" s="14">
        <v>5940</v>
      </c>
      <c r="G33" s="14">
        <v>230000</v>
      </c>
      <c r="H33" s="14">
        <v>125000</v>
      </c>
      <c r="I33" s="14">
        <v>60000</v>
      </c>
      <c r="J33" s="14">
        <v>17000</v>
      </c>
      <c r="K33" s="14">
        <v>2673</v>
      </c>
      <c r="L33" s="1" t="s">
        <v>258</v>
      </c>
      <c r="M33" s="1" t="s">
        <v>231</v>
      </c>
      <c r="N33" s="1" t="s">
        <v>232</v>
      </c>
    </row>
    <row r="34" spans="1:14" ht="30" customHeight="1">
      <c r="A34" s="3" t="s">
        <v>261</v>
      </c>
      <c r="B34" s="11">
        <v>46539</v>
      </c>
      <c r="C34" s="3" t="s">
        <v>195</v>
      </c>
      <c r="D34" s="13">
        <v>5000</v>
      </c>
      <c r="E34" s="13">
        <v>5050</v>
      </c>
      <c r="F34" s="13">
        <v>5050</v>
      </c>
      <c r="G34" s="13">
        <v>210000</v>
      </c>
      <c r="H34" s="13">
        <v>105000</v>
      </c>
      <c r="I34" s="13">
        <v>65000</v>
      </c>
      <c r="J34" s="13">
        <v>15000</v>
      </c>
      <c r="K34" s="13">
        <v>2272</v>
      </c>
      <c r="L34" s="3" t="s">
        <v>258</v>
      </c>
      <c r="M34" s="3" t="s">
        <v>231</v>
      </c>
      <c r="N34" s="3" t="s">
        <v>232</v>
      </c>
    </row>
    <row r="35" spans="1:14" ht="30" customHeight="1">
      <c r="A35" s="1" t="s">
        <v>262</v>
      </c>
      <c r="B35" s="12">
        <v>46539</v>
      </c>
      <c r="C35" s="1" t="s">
        <v>196</v>
      </c>
      <c r="D35" s="14">
        <v>3000</v>
      </c>
      <c r="E35" s="14">
        <v>2970</v>
      </c>
      <c r="F35" s="14">
        <v>2970</v>
      </c>
      <c r="G35" s="14">
        <v>150000</v>
      </c>
      <c r="H35" s="14">
        <v>70000</v>
      </c>
      <c r="I35" s="14">
        <v>50000</v>
      </c>
      <c r="J35" s="14">
        <v>12000</v>
      </c>
      <c r="K35" s="14">
        <v>1336</v>
      </c>
      <c r="L35" s="1" t="s">
        <v>258</v>
      </c>
      <c r="M35" s="1" t="s">
        <v>231</v>
      </c>
      <c r="N35" s="1" t="s">
        <v>232</v>
      </c>
    </row>
    <row r="36" spans="1:14" ht="30" customHeight="1">
      <c r="A36" s="3" t="s">
        <v>263</v>
      </c>
      <c r="B36" s="11">
        <v>46569</v>
      </c>
      <c r="C36" s="3" t="s">
        <v>191</v>
      </c>
      <c r="D36" s="13">
        <v>4000</v>
      </c>
      <c r="E36" s="13">
        <v>3800</v>
      </c>
      <c r="F36" s="13">
        <v>3800</v>
      </c>
      <c r="G36" s="13">
        <v>300000</v>
      </c>
      <c r="H36" s="13">
        <v>175000</v>
      </c>
      <c r="I36" s="13">
        <v>75000</v>
      </c>
      <c r="J36" s="13">
        <v>20000</v>
      </c>
      <c r="K36" s="15"/>
      <c r="L36" s="3" t="s">
        <v>264</v>
      </c>
      <c r="M36" s="3" t="s">
        <v>231</v>
      </c>
      <c r="N36" s="3" t="s">
        <v>265</v>
      </c>
    </row>
    <row r="37" spans="1:14" ht="30" customHeight="1">
      <c r="A37" s="1" t="s">
        <v>266</v>
      </c>
      <c r="B37" s="12">
        <v>46569</v>
      </c>
      <c r="C37" s="1" t="s">
        <v>193</v>
      </c>
      <c r="D37" s="14">
        <v>10000</v>
      </c>
      <c r="E37" s="14">
        <v>9500</v>
      </c>
      <c r="F37" s="14">
        <v>8800</v>
      </c>
      <c r="G37" s="14">
        <v>180000</v>
      </c>
      <c r="H37" s="14">
        <v>55000</v>
      </c>
      <c r="I37" s="14">
        <v>95000</v>
      </c>
      <c r="J37" s="14">
        <v>10000</v>
      </c>
      <c r="K37" s="16"/>
      <c r="L37" s="1" t="s">
        <v>264</v>
      </c>
      <c r="M37" s="1" t="s">
        <v>231</v>
      </c>
      <c r="N37" s="1" t="s">
        <v>265</v>
      </c>
    </row>
    <row r="38" spans="1:14" ht="30" customHeight="1">
      <c r="A38" s="3" t="s">
        <v>267</v>
      </c>
      <c r="B38" s="11">
        <v>46569</v>
      </c>
      <c r="C38" s="3" t="s">
        <v>194</v>
      </c>
      <c r="D38" s="13">
        <v>6000</v>
      </c>
      <c r="E38" s="13">
        <v>5940</v>
      </c>
      <c r="F38" s="13">
        <v>5940</v>
      </c>
      <c r="G38" s="13">
        <v>230000</v>
      </c>
      <c r="H38" s="13">
        <v>125000</v>
      </c>
      <c r="I38" s="13">
        <v>60000</v>
      </c>
      <c r="J38" s="13">
        <v>17000</v>
      </c>
      <c r="K38" s="15"/>
      <c r="L38" s="3" t="s">
        <v>264</v>
      </c>
      <c r="M38" s="3" t="s">
        <v>231</v>
      </c>
      <c r="N38" s="3" t="s">
        <v>265</v>
      </c>
    </row>
    <row r="39" spans="1:14" ht="30" customHeight="1">
      <c r="A39" s="1" t="s">
        <v>268</v>
      </c>
      <c r="B39" s="12">
        <v>46569</v>
      </c>
      <c r="C39" s="1" t="s">
        <v>195</v>
      </c>
      <c r="D39" s="14">
        <v>5000</v>
      </c>
      <c r="E39" s="14">
        <v>5050</v>
      </c>
      <c r="F39" s="14">
        <v>5050</v>
      </c>
      <c r="G39" s="14">
        <v>210000</v>
      </c>
      <c r="H39" s="14">
        <v>105000</v>
      </c>
      <c r="I39" s="14">
        <v>65000</v>
      </c>
      <c r="J39" s="14">
        <v>15000</v>
      </c>
      <c r="K39" s="16"/>
      <c r="L39" s="1" t="s">
        <v>264</v>
      </c>
      <c r="M39" s="1" t="s">
        <v>231</v>
      </c>
      <c r="N39" s="1" t="s">
        <v>265</v>
      </c>
    </row>
    <row r="40" spans="1:14" ht="30" customHeight="1">
      <c r="A40" s="3" t="s">
        <v>269</v>
      </c>
      <c r="B40" s="11">
        <v>46569</v>
      </c>
      <c r="C40" s="3" t="s">
        <v>196</v>
      </c>
      <c r="D40" s="13">
        <v>3000</v>
      </c>
      <c r="E40" s="13">
        <v>2970</v>
      </c>
      <c r="F40" s="13">
        <v>2970</v>
      </c>
      <c r="G40" s="13">
        <v>150000</v>
      </c>
      <c r="H40" s="13">
        <v>70000</v>
      </c>
      <c r="I40" s="13">
        <v>50000</v>
      </c>
      <c r="J40" s="13">
        <v>12000</v>
      </c>
      <c r="K40" s="15"/>
      <c r="L40" s="3" t="s">
        <v>264</v>
      </c>
      <c r="M40" s="3" t="s">
        <v>231</v>
      </c>
      <c r="N40" s="3" t="s">
        <v>265</v>
      </c>
    </row>
    <row r="41" spans="1:14" ht="30" customHeight="1">
      <c r="A41" s="1" t="s">
        <v>270</v>
      </c>
      <c r="B41" s="12">
        <v>46600</v>
      </c>
      <c r="C41" s="1" t="s">
        <v>191</v>
      </c>
      <c r="D41" s="14">
        <v>3680</v>
      </c>
      <c r="E41" s="14">
        <v>3496</v>
      </c>
      <c r="F41" s="14">
        <v>3496</v>
      </c>
      <c r="G41" s="14">
        <v>300000</v>
      </c>
      <c r="H41" s="14">
        <v>175000</v>
      </c>
      <c r="I41" s="14">
        <v>75000</v>
      </c>
      <c r="J41" s="14">
        <v>20000</v>
      </c>
      <c r="K41" s="16"/>
      <c r="L41" s="1" t="s">
        <v>264</v>
      </c>
      <c r="M41" s="1" t="s">
        <v>231</v>
      </c>
      <c r="N41" s="1" t="s">
        <v>265</v>
      </c>
    </row>
    <row r="42" spans="1:14" ht="30" customHeight="1">
      <c r="A42" s="3" t="s">
        <v>271</v>
      </c>
      <c r="B42" s="11">
        <v>46600</v>
      </c>
      <c r="C42" s="3" t="s">
        <v>193</v>
      </c>
      <c r="D42" s="13">
        <v>9200</v>
      </c>
      <c r="E42" s="13">
        <v>8740</v>
      </c>
      <c r="F42" s="13">
        <v>8740</v>
      </c>
      <c r="G42" s="13">
        <v>180000</v>
      </c>
      <c r="H42" s="13">
        <v>55000</v>
      </c>
      <c r="I42" s="13">
        <v>95000</v>
      </c>
      <c r="J42" s="13">
        <v>10000</v>
      </c>
      <c r="K42" s="15"/>
      <c r="L42" s="3" t="s">
        <v>264</v>
      </c>
      <c r="M42" s="3" t="s">
        <v>231</v>
      </c>
      <c r="N42" s="3" t="s">
        <v>265</v>
      </c>
    </row>
    <row r="43" spans="1:14" ht="30" customHeight="1">
      <c r="A43" s="1" t="s">
        <v>272</v>
      </c>
      <c r="B43" s="12">
        <v>46600</v>
      </c>
      <c r="C43" s="1" t="s">
        <v>194</v>
      </c>
      <c r="D43" s="14">
        <v>5520</v>
      </c>
      <c r="E43" s="14">
        <v>5465</v>
      </c>
      <c r="F43" s="14">
        <v>5465</v>
      </c>
      <c r="G43" s="14">
        <v>230000</v>
      </c>
      <c r="H43" s="14">
        <v>125000</v>
      </c>
      <c r="I43" s="14">
        <v>60000</v>
      </c>
      <c r="J43" s="14">
        <v>17000</v>
      </c>
      <c r="K43" s="16"/>
      <c r="L43" s="1" t="s">
        <v>264</v>
      </c>
      <c r="M43" s="1" t="s">
        <v>231</v>
      </c>
      <c r="N43" s="1" t="s">
        <v>265</v>
      </c>
    </row>
    <row r="44" spans="1:14" ht="30" customHeight="1">
      <c r="A44" s="3" t="s">
        <v>273</v>
      </c>
      <c r="B44" s="11">
        <v>46600</v>
      </c>
      <c r="C44" s="3" t="s">
        <v>195</v>
      </c>
      <c r="D44" s="13">
        <v>4600</v>
      </c>
      <c r="E44" s="13">
        <v>4646</v>
      </c>
      <c r="F44" s="13">
        <v>4646</v>
      </c>
      <c r="G44" s="13">
        <v>210000</v>
      </c>
      <c r="H44" s="13">
        <v>105000</v>
      </c>
      <c r="I44" s="13">
        <v>65000</v>
      </c>
      <c r="J44" s="13">
        <v>15000</v>
      </c>
      <c r="K44" s="15"/>
      <c r="L44" s="3" t="s">
        <v>264</v>
      </c>
      <c r="M44" s="3" t="s">
        <v>231</v>
      </c>
      <c r="N44" s="3" t="s">
        <v>265</v>
      </c>
    </row>
    <row r="45" spans="1:14" ht="30" customHeight="1">
      <c r="A45" s="1" t="s">
        <v>274</v>
      </c>
      <c r="B45" s="12">
        <v>46600</v>
      </c>
      <c r="C45" s="1" t="s">
        <v>196</v>
      </c>
      <c r="D45" s="14">
        <v>2760</v>
      </c>
      <c r="E45" s="14">
        <v>2732</v>
      </c>
      <c r="F45" s="14">
        <v>2732</v>
      </c>
      <c r="G45" s="14">
        <v>150000</v>
      </c>
      <c r="H45" s="14">
        <v>70000</v>
      </c>
      <c r="I45" s="14">
        <v>50000</v>
      </c>
      <c r="J45" s="14">
        <v>12000</v>
      </c>
      <c r="K45" s="16"/>
      <c r="L45" s="1" t="s">
        <v>264</v>
      </c>
      <c r="M45" s="1" t="s">
        <v>231</v>
      </c>
      <c r="N45" s="1" t="s">
        <v>265</v>
      </c>
    </row>
    <row r="46" spans="1:14" ht="30" customHeight="1">
      <c r="A46" s="3" t="s">
        <v>275</v>
      </c>
      <c r="B46" s="11">
        <v>46631</v>
      </c>
      <c r="C46" s="3" t="s">
        <v>191</v>
      </c>
      <c r="D46" s="13">
        <v>4120</v>
      </c>
      <c r="E46" s="13">
        <v>3914</v>
      </c>
      <c r="F46" s="13">
        <v>3914</v>
      </c>
      <c r="G46" s="13">
        <v>300000</v>
      </c>
      <c r="H46" s="13">
        <v>175000</v>
      </c>
      <c r="I46" s="13">
        <v>75000</v>
      </c>
      <c r="J46" s="13">
        <v>20000</v>
      </c>
      <c r="K46" s="15"/>
      <c r="L46" s="3" t="s">
        <v>264</v>
      </c>
      <c r="M46" s="3" t="s">
        <v>231</v>
      </c>
      <c r="N46" s="3" t="s">
        <v>265</v>
      </c>
    </row>
    <row r="47" spans="1:14" ht="30" customHeight="1">
      <c r="A47" s="1" t="s">
        <v>276</v>
      </c>
      <c r="B47" s="12">
        <v>46631</v>
      </c>
      <c r="C47" s="1" t="s">
        <v>193</v>
      </c>
      <c r="D47" s="14">
        <v>10300</v>
      </c>
      <c r="E47" s="14">
        <v>9785</v>
      </c>
      <c r="F47" s="14">
        <v>9785</v>
      </c>
      <c r="G47" s="14">
        <v>180000</v>
      </c>
      <c r="H47" s="14">
        <v>55000</v>
      </c>
      <c r="I47" s="14">
        <v>95000</v>
      </c>
      <c r="J47" s="14">
        <v>10000</v>
      </c>
      <c r="K47" s="16"/>
      <c r="L47" s="1" t="s">
        <v>264</v>
      </c>
      <c r="M47" s="1" t="s">
        <v>231</v>
      </c>
      <c r="N47" s="1" t="s">
        <v>265</v>
      </c>
    </row>
    <row r="48" spans="1:14" ht="30" customHeight="1">
      <c r="A48" s="3" t="s">
        <v>277</v>
      </c>
      <c r="B48" s="11">
        <v>46631</v>
      </c>
      <c r="C48" s="3" t="s">
        <v>194</v>
      </c>
      <c r="D48" s="13">
        <v>6180</v>
      </c>
      <c r="E48" s="13">
        <v>6118</v>
      </c>
      <c r="F48" s="13">
        <v>6118</v>
      </c>
      <c r="G48" s="13">
        <v>230000</v>
      </c>
      <c r="H48" s="13">
        <v>125000</v>
      </c>
      <c r="I48" s="13">
        <v>60000</v>
      </c>
      <c r="J48" s="13">
        <v>17000</v>
      </c>
      <c r="K48" s="15"/>
      <c r="L48" s="3" t="s">
        <v>264</v>
      </c>
      <c r="M48" s="3" t="s">
        <v>231</v>
      </c>
      <c r="N48" s="3" t="s">
        <v>265</v>
      </c>
    </row>
    <row r="49" spans="1:14" ht="30" customHeight="1">
      <c r="A49" s="1" t="s">
        <v>278</v>
      </c>
      <c r="B49" s="12">
        <v>46631</v>
      </c>
      <c r="C49" s="1" t="s">
        <v>195</v>
      </c>
      <c r="D49" s="14">
        <v>5150</v>
      </c>
      <c r="E49" s="14">
        <v>5202</v>
      </c>
      <c r="F49" s="14">
        <v>5202</v>
      </c>
      <c r="G49" s="14">
        <v>210000</v>
      </c>
      <c r="H49" s="14">
        <v>105000</v>
      </c>
      <c r="I49" s="14">
        <v>65000</v>
      </c>
      <c r="J49" s="14">
        <v>15000</v>
      </c>
      <c r="K49" s="16"/>
      <c r="L49" s="1" t="s">
        <v>264</v>
      </c>
      <c r="M49" s="1" t="s">
        <v>231</v>
      </c>
      <c r="N49" s="1" t="s">
        <v>265</v>
      </c>
    </row>
    <row r="50" spans="1:14" ht="30" customHeight="1">
      <c r="A50" s="3" t="s">
        <v>279</v>
      </c>
      <c r="B50" s="11">
        <v>46631</v>
      </c>
      <c r="C50" s="3" t="s">
        <v>196</v>
      </c>
      <c r="D50" s="13">
        <v>3090</v>
      </c>
      <c r="E50" s="13">
        <v>3059</v>
      </c>
      <c r="F50" s="13">
        <v>3059</v>
      </c>
      <c r="G50" s="13">
        <v>150000</v>
      </c>
      <c r="H50" s="13">
        <v>70000</v>
      </c>
      <c r="I50" s="13">
        <v>50000</v>
      </c>
      <c r="J50" s="13">
        <v>12000</v>
      </c>
      <c r="K50" s="15"/>
      <c r="L50" s="3" t="s">
        <v>264</v>
      </c>
      <c r="M50" s="3" t="s">
        <v>231</v>
      </c>
      <c r="N50" s="3" t="s">
        <v>265</v>
      </c>
    </row>
    <row r="51" spans="1:14" ht="30" customHeight="1">
      <c r="A51" s="1" t="s">
        <v>280</v>
      </c>
      <c r="B51" s="12">
        <v>46661</v>
      </c>
      <c r="C51" s="1" t="s">
        <v>191</v>
      </c>
      <c r="D51" s="14">
        <v>4080</v>
      </c>
      <c r="E51" s="14">
        <v>3876</v>
      </c>
      <c r="F51" s="14">
        <v>3876</v>
      </c>
      <c r="G51" s="14">
        <v>300000</v>
      </c>
      <c r="H51" s="14">
        <v>175000</v>
      </c>
      <c r="I51" s="14">
        <v>75000</v>
      </c>
      <c r="J51" s="14">
        <v>20000</v>
      </c>
      <c r="K51" s="16"/>
      <c r="L51" s="1" t="s">
        <v>264</v>
      </c>
      <c r="M51" s="1" t="s">
        <v>231</v>
      </c>
      <c r="N51" s="1" t="s">
        <v>232</v>
      </c>
    </row>
    <row r="52" spans="1:14" ht="30" customHeight="1">
      <c r="A52" s="3" t="s">
        <v>281</v>
      </c>
      <c r="B52" s="11">
        <v>46661</v>
      </c>
      <c r="C52" s="3" t="s">
        <v>193</v>
      </c>
      <c r="D52" s="13">
        <v>10200</v>
      </c>
      <c r="E52" s="13">
        <v>9690</v>
      </c>
      <c r="F52" s="13">
        <v>9690</v>
      </c>
      <c r="G52" s="13">
        <v>180000</v>
      </c>
      <c r="H52" s="13">
        <v>55000</v>
      </c>
      <c r="I52" s="13">
        <v>95000</v>
      </c>
      <c r="J52" s="13">
        <v>10000</v>
      </c>
      <c r="K52" s="15"/>
      <c r="L52" s="3" t="s">
        <v>264</v>
      </c>
      <c r="M52" s="3" t="s">
        <v>231</v>
      </c>
      <c r="N52" s="3" t="s">
        <v>232</v>
      </c>
    </row>
    <row r="53" spans="1:14" ht="30" customHeight="1">
      <c r="A53" s="1" t="s">
        <v>282</v>
      </c>
      <c r="B53" s="12">
        <v>46661</v>
      </c>
      <c r="C53" s="1" t="s">
        <v>194</v>
      </c>
      <c r="D53" s="14">
        <v>6120</v>
      </c>
      <c r="E53" s="14">
        <v>6059</v>
      </c>
      <c r="F53" s="14">
        <v>6059</v>
      </c>
      <c r="G53" s="14">
        <v>230000</v>
      </c>
      <c r="H53" s="14">
        <v>125000</v>
      </c>
      <c r="I53" s="14">
        <v>60000</v>
      </c>
      <c r="J53" s="14">
        <v>17000</v>
      </c>
      <c r="K53" s="16"/>
      <c r="L53" s="1" t="s">
        <v>264</v>
      </c>
      <c r="M53" s="1" t="s">
        <v>231</v>
      </c>
      <c r="N53" s="1" t="s">
        <v>232</v>
      </c>
    </row>
    <row r="54" spans="1:14" ht="30" customHeight="1">
      <c r="A54" s="3" t="s">
        <v>283</v>
      </c>
      <c r="B54" s="11">
        <v>46661</v>
      </c>
      <c r="C54" s="3" t="s">
        <v>195</v>
      </c>
      <c r="D54" s="13">
        <v>5100</v>
      </c>
      <c r="E54" s="13">
        <v>5151</v>
      </c>
      <c r="F54" s="13">
        <v>5151</v>
      </c>
      <c r="G54" s="13">
        <v>210000</v>
      </c>
      <c r="H54" s="13">
        <v>105000</v>
      </c>
      <c r="I54" s="13">
        <v>65000</v>
      </c>
      <c r="J54" s="13">
        <v>15000</v>
      </c>
      <c r="K54" s="15"/>
      <c r="L54" s="3" t="s">
        <v>264</v>
      </c>
      <c r="M54" s="3" t="s">
        <v>231</v>
      </c>
      <c r="N54" s="3" t="s">
        <v>232</v>
      </c>
    </row>
    <row r="55" spans="1:14" ht="30" customHeight="1">
      <c r="A55" s="1" t="s">
        <v>284</v>
      </c>
      <c r="B55" s="12">
        <v>46661</v>
      </c>
      <c r="C55" s="1" t="s">
        <v>196</v>
      </c>
      <c r="D55" s="14">
        <v>3060</v>
      </c>
      <c r="E55" s="14">
        <v>3029</v>
      </c>
      <c r="F55" s="14">
        <v>3029</v>
      </c>
      <c r="G55" s="14">
        <v>150000</v>
      </c>
      <c r="H55" s="14">
        <v>70000</v>
      </c>
      <c r="I55" s="14">
        <v>50000</v>
      </c>
      <c r="J55" s="14">
        <v>12000</v>
      </c>
      <c r="K55" s="16"/>
      <c r="L55" s="1" t="s">
        <v>264</v>
      </c>
      <c r="M55" s="1" t="s">
        <v>231</v>
      </c>
      <c r="N55" s="1" t="s">
        <v>232</v>
      </c>
    </row>
    <row r="56" spans="1:14" ht="30" customHeight="1">
      <c r="A56" s="3" t="s">
        <v>285</v>
      </c>
      <c r="B56" s="11">
        <v>46692</v>
      </c>
      <c r="C56" s="3" t="s">
        <v>191</v>
      </c>
      <c r="D56" s="13">
        <v>4000</v>
      </c>
      <c r="E56" s="13">
        <v>3800</v>
      </c>
      <c r="F56" s="13">
        <v>3800</v>
      </c>
      <c r="G56" s="13">
        <v>300000</v>
      </c>
      <c r="H56" s="13">
        <v>175000</v>
      </c>
      <c r="I56" s="13">
        <v>75000</v>
      </c>
      <c r="J56" s="13">
        <v>20000</v>
      </c>
      <c r="K56" s="15"/>
      <c r="L56" s="3" t="s">
        <v>264</v>
      </c>
      <c r="M56" s="3" t="s">
        <v>231</v>
      </c>
      <c r="N56" s="3" t="s">
        <v>232</v>
      </c>
    </row>
    <row r="57" spans="1:14" ht="30" customHeight="1">
      <c r="A57" s="1" t="s">
        <v>286</v>
      </c>
      <c r="B57" s="12">
        <v>46692</v>
      </c>
      <c r="C57" s="1" t="s">
        <v>193</v>
      </c>
      <c r="D57" s="14">
        <v>10000</v>
      </c>
      <c r="E57" s="14">
        <v>9500</v>
      </c>
      <c r="F57" s="14">
        <v>9500</v>
      </c>
      <c r="G57" s="14">
        <v>180000</v>
      </c>
      <c r="H57" s="14">
        <v>55000</v>
      </c>
      <c r="I57" s="14">
        <v>95000</v>
      </c>
      <c r="J57" s="14">
        <v>10000</v>
      </c>
      <c r="K57" s="16"/>
      <c r="L57" s="1" t="s">
        <v>264</v>
      </c>
      <c r="M57" s="1" t="s">
        <v>231</v>
      </c>
      <c r="N57" s="1" t="s">
        <v>232</v>
      </c>
    </row>
    <row r="58" spans="1:14" ht="30" customHeight="1">
      <c r="A58" s="3" t="s">
        <v>287</v>
      </c>
      <c r="B58" s="11">
        <v>46692</v>
      </c>
      <c r="C58" s="3" t="s">
        <v>194</v>
      </c>
      <c r="D58" s="13">
        <v>6000</v>
      </c>
      <c r="E58" s="13">
        <v>5940</v>
      </c>
      <c r="F58" s="13">
        <v>5940</v>
      </c>
      <c r="G58" s="13">
        <v>230000</v>
      </c>
      <c r="H58" s="13">
        <v>125000</v>
      </c>
      <c r="I58" s="13">
        <v>60000</v>
      </c>
      <c r="J58" s="13">
        <v>17000</v>
      </c>
      <c r="K58" s="15"/>
      <c r="L58" s="3" t="s">
        <v>264</v>
      </c>
      <c r="M58" s="3" t="s">
        <v>231</v>
      </c>
      <c r="N58" s="3" t="s">
        <v>232</v>
      </c>
    </row>
    <row r="59" spans="1:14" ht="30" customHeight="1">
      <c r="A59" s="1" t="s">
        <v>288</v>
      </c>
      <c r="B59" s="12">
        <v>46692</v>
      </c>
      <c r="C59" s="1" t="s">
        <v>195</v>
      </c>
      <c r="D59" s="14">
        <v>5000</v>
      </c>
      <c r="E59" s="14">
        <v>5050</v>
      </c>
      <c r="F59" s="14">
        <v>5050</v>
      </c>
      <c r="G59" s="14">
        <v>210000</v>
      </c>
      <c r="H59" s="14">
        <v>105000</v>
      </c>
      <c r="I59" s="14">
        <v>65000</v>
      </c>
      <c r="J59" s="14">
        <v>15000</v>
      </c>
      <c r="K59" s="16"/>
      <c r="L59" s="1" t="s">
        <v>264</v>
      </c>
      <c r="M59" s="1" t="s">
        <v>231</v>
      </c>
      <c r="N59" s="1" t="s">
        <v>232</v>
      </c>
    </row>
    <row r="60" spans="1:14" ht="30" customHeight="1">
      <c r="A60" s="3" t="s">
        <v>289</v>
      </c>
      <c r="B60" s="11">
        <v>46692</v>
      </c>
      <c r="C60" s="3" t="s">
        <v>196</v>
      </c>
      <c r="D60" s="13">
        <v>3000</v>
      </c>
      <c r="E60" s="13">
        <v>2970</v>
      </c>
      <c r="F60" s="13">
        <v>2970</v>
      </c>
      <c r="G60" s="13">
        <v>150000</v>
      </c>
      <c r="H60" s="13">
        <v>70000</v>
      </c>
      <c r="I60" s="13">
        <v>50000</v>
      </c>
      <c r="J60" s="13">
        <v>12000</v>
      </c>
      <c r="K60" s="15"/>
      <c r="L60" s="3" t="s">
        <v>264</v>
      </c>
      <c r="M60" s="3" t="s">
        <v>231</v>
      </c>
      <c r="N60" s="3" t="s">
        <v>232</v>
      </c>
    </row>
    <row r="61" spans="1:14" ht="30" customHeight="1">
      <c r="A61" s="1" t="s">
        <v>290</v>
      </c>
      <c r="B61" s="12">
        <v>46722</v>
      </c>
      <c r="C61" s="1" t="s">
        <v>191</v>
      </c>
      <c r="D61" s="14">
        <v>3800</v>
      </c>
      <c r="E61" s="14">
        <v>3610</v>
      </c>
      <c r="F61" s="14">
        <v>3610</v>
      </c>
      <c r="G61" s="14">
        <v>300000</v>
      </c>
      <c r="H61" s="14">
        <v>175000</v>
      </c>
      <c r="I61" s="14">
        <v>75000</v>
      </c>
      <c r="J61" s="14">
        <v>20000</v>
      </c>
      <c r="K61" s="16"/>
      <c r="L61" s="1" t="s">
        <v>264</v>
      </c>
      <c r="M61" s="1" t="s">
        <v>231</v>
      </c>
      <c r="N61" s="1" t="s">
        <v>232</v>
      </c>
    </row>
    <row r="62" spans="1:14" ht="30" customHeight="1">
      <c r="A62" s="3" t="s">
        <v>291</v>
      </c>
      <c r="B62" s="11">
        <v>46722</v>
      </c>
      <c r="C62" s="3" t="s">
        <v>193</v>
      </c>
      <c r="D62" s="13">
        <v>9500</v>
      </c>
      <c r="E62" s="13">
        <v>9025</v>
      </c>
      <c r="F62" s="13">
        <v>9025</v>
      </c>
      <c r="G62" s="13">
        <v>180000</v>
      </c>
      <c r="H62" s="13">
        <v>55000</v>
      </c>
      <c r="I62" s="13">
        <v>95000</v>
      </c>
      <c r="J62" s="13">
        <v>10000</v>
      </c>
      <c r="K62" s="15"/>
      <c r="L62" s="3" t="s">
        <v>264</v>
      </c>
      <c r="M62" s="3" t="s">
        <v>231</v>
      </c>
      <c r="N62" s="3" t="s">
        <v>232</v>
      </c>
    </row>
    <row r="63" spans="1:14" ht="30" customHeight="1">
      <c r="A63" s="1" t="s">
        <v>292</v>
      </c>
      <c r="B63" s="12">
        <v>46722</v>
      </c>
      <c r="C63" s="1" t="s">
        <v>194</v>
      </c>
      <c r="D63" s="14">
        <v>5700</v>
      </c>
      <c r="E63" s="14">
        <v>5643</v>
      </c>
      <c r="F63" s="14">
        <v>5643</v>
      </c>
      <c r="G63" s="14">
        <v>230000</v>
      </c>
      <c r="H63" s="14">
        <v>125000</v>
      </c>
      <c r="I63" s="14">
        <v>60000</v>
      </c>
      <c r="J63" s="14">
        <v>17000</v>
      </c>
      <c r="K63" s="16"/>
      <c r="L63" s="1" t="s">
        <v>264</v>
      </c>
      <c r="M63" s="1" t="s">
        <v>231</v>
      </c>
      <c r="N63" s="1" t="s">
        <v>232</v>
      </c>
    </row>
    <row r="64" spans="1:14" ht="30" customHeight="1">
      <c r="A64" s="3" t="s">
        <v>293</v>
      </c>
      <c r="B64" s="11">
        <v>46722</v>
      </c>
      <c r="C64" s="3" t="s">
        <v>195</v>
      </c>
      <c r="D64" s="13">
        <v>4750</v>
      </c>
      <c r="E64" s="13">
        <v>4798</v>
      </c>
      <c r="F64" s="13">
        <v>4798</v>
      </c>
      <c r="G64" s="13">
        <v>210000</v>
      </c>
      <c r="H64" s="13">
        <v>105000</v>
      </c>
      <c r="I64" s="13">
        <v>65000</v>
      </c>
      <c r="J64" s="13">
        <v>15000</v>
      </c>
      <c r="K64" s="15"/>
      <c r="L64" s="3" t="s">
        <v>264</v>
      </c>
      <c r="M64" s="3" t="s">
        <v>231</v>
      </c>
      <c r="N64" s="3" t="s">
        <v>232</v>
      </c>
    </row>
    <row r="65" spans="1:14" ht="30" customHeight="1">
      <c r="A65" s="1" t="s">
        <v>294</v>
      </c>
      <c r="B65" s="12">
        <v>46722</v>
      </c>
      <c r="C65" s="1" t="s">
        <v>196</v>
      </c>
      <c r="D65" s="14">
        <v>2850</v>
      </c>
      <c r="E65" s="14">
        <v>2822</v>
      </c>
      <c r="F65" s="14">
        <v>2822</v>
      </c>
      <c r="G65" s="14">
        <v>150000</v>
      </c>
      <c r="H65" s="14">
        <v>70000</v>
      </c>
      <c r="I65" s="14">
        <v>50000</v>
      </c>
      <c r="J65" s="14">
        <v>12000</v>
      </c>
      <c r="K65" s="16"/>
      <c r="L65" s="1" t="s">
        <v>264</v>
      </c>
      <c r="M65" s="1" t="s">
        <v>231</v>
      </c>
      <c r="N65" s="1" t="s">
        <v>232</v>
      </c>
    </row>
    <row r="66" spans="1:14" ht="30" customHeight="1">
      <c r="A66" s="3" t="s">
        <v>295</v>
      </c>
      <c r="B66" s="11">
        <v>46753</v>
      </c>
      <c r="C66" s="3" t="s">
        <v>191</v>
      </c>
      <c r="D66" s="15"/>
      <c r="E66" s="17">
        <f>ROUND(E6*설정!$B$7,0)</f>
        <v>3958</v>
      </c>
      <c r="F66" s="15">
        <f t="shared" ref="F66:F100" si="0">E66</f>
        <v>3958</v>
      </c>
      <c r="G66" s="15">
        <f t="shared" ref="G66:J85" si="1">G6</f>
        <v>300000</v>
      </c>
      <c r="H66" s="15">
        <f t="shared" si="1"/>
        <v>175000</v>
      </c>
      <c r="I66" s="15">
        <f t="shared" si="1"/>
        <v>75000</v>
      </c>
      <c r="J66" s="15">
        <f t="shared" si="1"/>
        <v>20000</v>
      </c>
      <c r="K66" s="15"/>
      <c r="L66" s="3" t="s">
        <v>296</v>
      </c>
      <c r="M66" s="3" t="s">
        <v>297</v>
      </c>
      <c r="N66" s="3" t="s">
        <v>298</v>
      </c>
    </row>
    <row r="67" spans="1:14" ht="30" customHeight="1">
      <c r="A67" s="1" t="s">
        <v>299</v>
      </c>
      <c r="B67" s="12">
        <v>46753</v>
      </c>
      <c r="C67" s="1" t="s">
        <v>193</v>
      </c>
      <c r="D67" s="16"/>
      <c r="E67" s="18">
        <f>ROUND(E7*설정!$B$7,0)</f>
        <v>9894</v>
      </c>
      <c r="F67" s="16">
        <f t="shared" si="0"/>
        <v>9894</v>
      </c>
      <c r="G67" s="16">
        <f t="shared" si="1"/>
        <v>180000</v>
      </c>
      <c r="H67" s="16">
        <f t="shared" si="1"/>
        <v>55000</v>
      </c>
      <c r="I67" s="16">
        <f t="shared" si="1"/>
        <v>95000</v>
      </c>
      <c r="J67" s="16">
        <f t="shared" si="1"/>
        <v>10000</v>
      </c>
      <c r="K67" s="16"/>
      <c r="L67" s="1" t="s">
        <v>296</v>
      </c>
      <c r="M67" s="1" t="s">
        <v>297</v>
      </c>
      <c r="N67" s="1" t="s">
        <v>298</v>
      </c>
    </row>
    <row r="68" spans="1:14" ht="30" customHeight="1">
      <c r="A68" s="3" t="s">
        <v>300</v>
      </c>
      <c r="B68" s="11">
        <v>46753</v>
      </c>
      <c r="C68" s="3" t="s">
        <v>194</v>
      </c>
      <c r="D68" s="15"/>
      <c r="E68" s="17">
        <f>ROUND(E8*설정!$B$7,0)</f>
        <v>5877</v>
      </c>
      <c r="F68" s="15">
        <f t="shared" si="0"/>
        <v>5877</v>
      </c>
      <c r="G68" s="15">
        <f t="shared" si="1"/>
        <v>230000</v>
      </c>
      <c r="H68" s="15">
        <f t="shared" si="1"/>
        <v>125000</v>
      </c>
      <c r="I68" s="15">
        <f t="shared" si="1"/>
        <v>60000</v>
      </c>
      <c r="J68" s="15">
        <f t="shared" si="1"/>
        <v>17000</v>
      </c>
      <c r="K68" s="15"/>
      <c r="L68" s="3" t="s">
        <v>296</v>
      </c>
      <c r="M68" s="3" t="s">
        <v>297</v>
      </c>
      <c r="N68" s="3" t="s">
        <v>298</v>
      </c>
    </row>
    <row r="69" spans="1:14" ht="30" customHeight="1">
      <c r="A69" s="1" t="s">
        <v>301</v>
      </c>
      <c r="B69" s="12">
        <v>46753</v>
      </c>
      <c r="C69" s="1" t="s">
        <v>195</v>
      </c>
      <c r="D69" s="16"/>
      <c r="E69" s="18">
        <f>ROUND(E9*설정!$B$7,0)</f>
        <v>4996</v>
      </c>
      <c r="F69" s="16">
        <f t="shared" si="0"/>
        <v>4996</v>
      </c>
      <c r="G69" s="16">
        <f t="shared" si="1"/>
        <v>210000</v>
      </c>
      <c r="H69" s="16">
        <f t="shared" si="1"/>
        <v>105000</v>
      </c>
      <c r="I69" s="16">
        <f t="shared" si="1"/>
        <v>65000</v>
      </c>
      <c r="J69" s="16">
        <f t="shared" si="1"/>
        <v>15000</v>
      </c>
      <c r="K69" s="16"/>
      <c r="L69" s="1" t="s">
        <v>296</v>
      </c>
      <c r="M69" s="1" t="s">
        <v>297</v>
      </c>
      <c r="N69" s="1" t="s">
        <v>298</v>
      </c>
    </row>
    <row r="70" spans="1:14" ht="30" customHeight="1">
      <c r="A70" s="3" t="s">
        <v>302</v>
      </c>
      <c r="B70" s="11">
        <v>46753</v>
      </c>
      <c r="C70" s="3" t="s">
        <v>196</v>
      </c>
      <c r="D70" s="15"/>
      <c r="E70" s="17">
        <f>ROUND(E10*설정!$B$7,0)</f>
        <v>2938</v>
      </c>
      <c r="F70" s="15">
        <f t="shared" si="0"/>
        <v>2938</v>
      </c>
      <c r="G70" s="15">
        <f t="shared" si="1"/>
        <v>150000</v>
      </c>
      <c r="H70" s="15">
        <f t="shared" si="1"/>
        <v>70000</v>
      </c>
      <c r="I70" s="15">
        <f t="shared" si="1"/>
        <v>50000</v>
      </c>
      <c r="J70" s="15">
        <f t="shared" si="1"/>
        <v>12000</v>
      </c>
      <c r="K70" s="15"/>
      <c r="L70" s="3" t="s">
        <v>296</v>
      </c>
      <c r="M70" s="3" t="s">
        <v>297</v>
      </c>
      <c r="N70" s="3" t="s">
        <v>298</v>
      </c>
    </row>
    <row r="71" spans="1:14" ht="30" customHeight="1">
      <c r="A71" s="1" t="s">
        <v>303</v>
      </c>
      <c r="B71" s="12">
        <v>46784</v>
      </c>
      <c r="C71" s="1" t="s">
        <v>191</v>
      </c>
      <c r="D71" s="16"/>
      <c r="E71" s="18">
        <f>ROUND(E11*설정!$B$7,0)</f>
        <v>3457</v>
      </c>
      <c r="F71" s="16">
        <f t="shared" si="0"/>
        <v>3457</v>
      </c>
      <c r="G71" s="16">
        <f t="shared" si="1"/>
        <v>300000</v>
      </c>
      <c r="H71" s="16">
        <f t="shared" si="1"/>
        <v>175000</v>
      </c>
      <c r="I71" s="16">
        <f t="shared" si="1"/>
        <v>75000</v>
      </c>
      <c r="J71" s="16">
        <f t="shared" si="1"/>
        <v>20000</v>
      </c>
      <c r="K71" s="16"/>
      <c r="L71" s="1" t="s">
        <v>296</v>
      </c>
      <c r="M71" s="1" t="s">
        <v>297</v>
      </c>
      <c r="N71" s="1" t="s">
        <v>298</v>
      </c>
    </row>
    <row r="72" spans="1:14" ht="30" customHeight="1">
      <c r="A72" s="3" t="s">
        <v>304</v>
      </c>
      <c r="B72" s="11">
        <v>46784</v>
      </c>
      <c r="C72" s="3" t="s">
        <v>193</v>
      </c>
      <c r="D72" s="15"/>
      <c r="E72" s="17">
        <f>ROUND(E12*설정!$B$7,0)</f>
        <v>8643</v>
      </c>
      <c r="F72" s="15">
        <f t="shared" si="0"/>
        <v>8643</v>
      </c>
      <c r="G72" s="15">
        <f t="shared" si="1"/>
        <v>180000</v>
      </c>
      <c r="H72" s="15">
        <f t="shared" si="1"/>
        <v>55000</v>
      </c>
      <c r="I72" s="15">
        <f t="shared" si="1"/>
        <v>95000</v>
      </c>
      <c r="J72" s="15">
        <f t="shared" si="1"/>
        <v>10000</v>
      </c>
      <c r="K72" s="15"/>
      <c r="L72" s="3" t="s">
        <v>296</v>
      </c>
      <c r="M72" s="3" t="s">
        <v>297</v>
      </c>
      <c r="N72" s="3" t="s">
        <v>298</v>
      </c>
    </row>
    <row r="73" spans="1:14" ht="30" customHeight="1">
      <c r="A73" s="1" t="s">
        <v>305</v>
      </c>
      <c r="B73" s="12">
        <v>46784</v>
      </c>
      <c r="C73" s="1" t="s">
        <v>194</v>
      </c>
      <c r="D73" s="16"/>
      <c r="E73" s="18">
        <f>ROUND(E13*설정!$B$7,0)</f>
        <v>5186</v>
      </c>
      <c r="F73" s="16">
        <f t="shared" si="0"/>
        <v>5186</v>
      </c>
      <c r="G73" s="16">
        <f t="shared" si="1"/>
        <v>230000</v>
      </c>
      <c r="H73" s="16">
        <f t="shared" si="1"/>
        <v>125000</v>
      </c>
      <c r="I73" s="16">
        <f t="shared" si="1"/>
        <v>60000</v>
      </c>
      <c r="J73" s="16">
        <f t="shared" si="1"/>
        <v>17000</v>
      </c>
      <c r="K73" s="16"/>
      <c r="L73" s="1" t="s">
        <v>296</v>
      </c>
      <c r="M73" s="1" t="s">
        <v>297</v>
      </c>
      <c r="N73" s="1" t="s">
        <v>298</v>
      </c>
    </row>
    <row r="74" spans="1:14" ht="30" customHeight="1">
      <c r="A74" s="3" t="s">
        <v>306</v>
      </c>
      <c r="B74" s="11">
        <v>46784</v>
      </c>
      <c r="C74" s="3" t="s">
        <v>195</v>
      </c>
      <c r="D74" s="15"/>
      <c r="E74" s="17">
        <f>ROUND(E14*설정!$B$7,0)</f>
        <v>4409</v>
      </c>
      <c r="F74" s="15">
        <f t="shared" si="0"/>
        <v>4409</v>
      </c>
      <c r="G74" s="15">
        <f t="shared" si="1"/>
        <v>210000</v>
      </c>
      <c r="H74" s="15">
        <f t="shared" si="1"/>
        <v>105000</v>
      </c>
      <c r="I74" s="15">
        <f t="shared" si="1"/>
        <v>65000</v>
      </c>
      <c r="J74" s="15">
        <f t="shared" si="1"/>
        <v>15000</v>
      </c>
      <c r="K74" s="15"/>
      <c r="L74" s="3" t="s">
        <v>296</v>
      </c>
      <c r="M74" s="3" t="s">
        <v>297</v>
      </c>
      <c r="N74" s="3" t="s">
        <v>298</v>
      </c>
    </row>
    <row r="75" spans="1:14" ht="30" customHeight="1">
      <c r="A75" s="1" t="s">
        <v>307</v>
      </c>
      <c r="B75" s="12">
        <v>46784</v>
      </c>
      <c r="C75" s="1" t="s">
        <v>196</v>
      </c>
      <c r="D75" s="16"/>
      <c r="E75" s="18">
        <f>ROUND(E15*설정!$B$7,0)</f>
        <v>2593</v>
      </c>
      <c r="F75" s="16">
        <f t="shared" si="0"/>
        <v>2593</v>
      </c>
      <c r="G75" s="16">
        <f t="shared" si="1"/>
        <v>150000</v>
      </c>
      <c r="H75" s="16">
        <f t="shared" si="1"/>
        <v>70000</v>
      </c>
      <c r="I75" s="16">
        <f t="shared" si="1"/>
        <v>50000</v>
      </c>
      <c r="J75" s="16">
        <f t="shared" si="1"/>
        <v>12000</v>
      </c>
      <c r="K75" s="16"/>
      <c r="L75" s="1" t="s">
        <v>296</v>
      </c>
      <c r="M75" s="1" t="s">
        <v>297</v>
      </c>
      <c r="N75" s="1" t="s">
        <v>298</v>
      </c>
    </row>
    <row r="76" spans="1:14" ht="30" customHeight="1">
      <c r="A76" s="3" t="s">
        <v>308</v>
      </c>
      <c r="B76" s="11">
        <v>46813</v>
      </c>
      <c r="C76" s="3" t="s">
        <v>191</v>
      </c>
      <c r="D76" s="15"/>
      <c r="E76" s="17">
        <f>ROUND(E16*설정!$B$7,0)</f>
        <v>3993</v>
      </c>
      <c r="F76" s="15">
        <f t="shared" si="0"/>
        <v>3993</v>
      </c>
      <c r="G76" s="15">
        <f t="shared" si="1"/>
        <v>300000</v>
      </c>
      <c r="H76" s="15">
        <f t="shared" si="1"/>
        <v>175000</v>
      </c>
      <c r="I76" s="15">
        <f t="shared" si="1"/>
        <v>75000</v>
      </c>
      <c r="J76" s="15">
        <f t="shared" si="1"/>
        <v>20000</v>
      </c>
      <c r="K76" s="15"/>
      <c r="L76" s="3" t="s">
        <v>296</v>
      </c>
      <c r="M76" s="3" t="s">
        <v>297</v>
      </c>
      <c r="N76" s="3" t="s">
        <v>298</v>
      </c>
    </row>
    <row r="77" spans="1:14" ht="30" customHeight="1">
      <c r="A77" s="1" t="s">
        <v>309</v>
      </c>
      <c r="B77" s="12">
        <v>46813</v>
      </c>
      <c r="C77" s="1" t="s">
        <v>193</v>
      </c>
      <c r="D77" s="16"/>
      <c r="E77" s="18">
        <f>ROUND(E17*설정!$B$7,0)</f>
        <v>9981</v>
      </c>
      <c r="F77" s="16">
        <f t="shared" si="0"/>
        <v>9981</v>
      </c>
      <c r="G77" s="16">
        <f t="shared" si="1"/>
        <v>180000</v>
      </c>
      <c r="H77" s="16">
        <f t="shared" si="1"/>
        <v>55000</v>
      </c>
      <c r="I77" s="16">
        <f t="shared" si="1"/>
        <v>95000</v>
      </c>
      <c r="J77" s="16">
        <f t="shared" si="1"/>
        <v>10000</v>
      </c>
      <c r="K77" s="16"/>
      <c r="L77" s="1" t="s">
        <v>296</v>
      </c>
      <c r="M77" s="1" t="s">
        <v>297</v>
      </c>
      <c r="N77" s="1" t="s">
        <v>298</v>
      </c>
    </row>
    <row r="78" spans="1:14" ht="30" customHeight="1">
      <c r="A78" s="3" t="s">
        <v>310</v>
      </c>
      <c r="B78" s="11">
        <v>46813</v>
      </c>
      <c r="C78" s="3" t="s">
        <v>194</v>
      </c>
      <c r="D78" s="15"/>
      <c r="E78" s="17">
        <f>ROUND(E18*설정!$B$7,0)</f>
        <v>6050</v>
      </c>
      <c r="F78" s="15">
        <f t="shared" si="0"/>
        <v>6050</v>
      </c>
      <c r="G78" s="15">
        <f t="shared" si="1"/>
        <v>230000</v>
      </c>
      <c r="H78" s="15">
        <f t="shared" si="1"/>
        <v>125000</v>
      </c>
      <c r="I78" s="15">
        <f t="shared" si="1"/>
        <v>60000</v>
      </c>
      <c r="J78" s="15">
        <f t="shared" si="1"/>
        <v>17000</v>
      </c>
      <c r="K78" s="15"/>
      <c r="L78" s="3" t="s">
        <v>296</v>
      </c>
      <c r="M78" s="3" t="s">
        <v>297</v>
      </c>
      <c r="N78" s="3" t="s">
        <v>298</v>
      </c>
    </row>
    <row r="79" spans="1:14" ht="30" customHeight="1">
      <c r="A79" s="1" t="s">
        <v>311</v>
      </c>
      <c r="B79" s="12">
        <v>46813</v>
      </c>
      <c r="C79" s="1" t="s">
        <v>195</v>
      </c>
      <c r="D79" s="16"/>
      <c r="E79" s="18">
        <f>ROUND(E19*설정!$B$7,0)</f>
        <v>5144</v>
      </c>
      <c r="F79" s="16">
        <f t="shared" si="0"/>
        <v>5144</v>
      </c>
      <c r="G79" s="16">
        <f t="shared" si="1"/>
        <v>210000</v>
      </c>
      <c r="H79" s="16">
        <f t="shared" si="1"/>
        <v>105000</v>
      </c>
      <c r="I79" s="16">
        <f t="shared" si="1"/>
        <v>65000</v>
      </c>
      <c r="J79" s="16">
        <f t="shared" si="1"/>
        <v>15000</v>
      </c>
      <c r="K79" s="16"/>
      <c r="L79" s="1" t="s">
        <v>296</v>
      </c>
      <c r="M79" s="1" t="s">
        <v>297</v>
      </c>
      <c r="N79" s="1" t="s">
        <v>298</v>
      </c>
    </row>
    <row r="80" spans="1:14" ht="30" customHeight="1">
      <c r="A80" s="3" t="s">
        <v>312</v>
      </c>
      <c r="B80" s="11">
        <v>46813</v>
      </c>
      <c r="C80" s="3" t="s">
        <v>196</v>
      </c>
      <c r="D80" s="15"/>
      <c r="E80" s="17">
        <f>ROUND(E20*설정!$B$7,0)</f>
        <v>3025</v>
      </c>
      <c r="F80" s="15">
        <f t="shared" si="0"/>
        <v>3025</v>
      </c>
      <c r="G80" s="15">
        <f t="shared" si="1"/>
        <v>150000</v>
      </c>
      <c r="H80" s="15">
        <f t="shared" si="1"/>
        <v>70000</v>
      </c>
      <c r="I80" s="15">
        <f t="shared" si="1"/>
        <v>50000</v>
      </c>
      <c r="J80" s="15">
        <f t="shared" si="1"/>
        <v>12000</v>
      </c>
      <c r="K80" s="15"/>
      <c r="L80" s="3" t="s">
        <v>296</v>
      </c>
      <c r="M80" s="3" t="s">
        <v>297</v>
      </c>
      <c r="N80" s="3" t="s">
        <v>298</v>
      </c>
    </row>
    <row r="81" spans="1:14" ht="30" customHeight="1">
      <c r="A81" s="1" t="s">
        <v>313</v>
      </c>
      <c r="B81" s="12">
        <v>46844</v>
      </c>
      <c r="C81" s="1" t="s">
        <v>191</v>
      </c>
      <c r="D81" s="16"/>
      <c r="E81" s="18">
        <f>ROUND(E21*설정!$B$7,0)</f>
        <v>3764</v>
      </c>
      <c r="F81" s="16">
        <f t="shared" si="0"/>
        <v>3764</v>
      </c>
      <c r="G81" s="16">
        <f t="shared" si="1"/>
        <v>300000</v>
      </c>
      <c r="H81" s="16">
        <f t="shared" si="1"/>
        <v>175000</v>
      </c>
      <c r="I81" s="16">
        <f t="shared" si="1"/>
        <v>75000</v>
      </c>
      <c r="J81" s="16">
        <f t="shared" si="1"/>
        <v>20000</v>
      </c>
      <c r="K81" s="16"/>
      <c r="L81" s="1" t="s">
        <v>296</v>
      </c>
      <c r="M81" s="1" t="s">
        <v>297</v>
      </c>
      <c r="N81" s="1" t="s">
        <v>298</v>
      </c>
    </row>
    <row r="82" spans="1:14" ht="30" customHeight="1">
      <c r="A82" s="3" t="s">
        <v>314</v>
      </c>
      <c r="B82" s="11">
        <v>46844</v>
      </c>
      <c r="C82" s="3" t="s">
        <v>193</v>
      </c>
      <c r="D82" s="15"/>
      <c r="E82" s="17">
        <f>ROUND(E22*설정!$B$7,0)</f>
        <v>9409</v>
      </c>
      <c r="F82" s="15">
        <f t="shared" si="0"/>
        <v>9409</v>
      </c>
      <c r="G82" s="15">
        <f t="shared" si="1"/>
        <v>180000</v>
      </c>
      <c r="H82" s="15">
        <f t="shared" si="1"/>
        <v>55000</v>
      </c>
      <c r="I82" s="15">
        <f t="shared" si="1"/>
        <v>95000</v>
      </c>
      <c r="J82" s="15">
        <f t="shared" si="1"/>
        <v>10000</v>
      </c>
      <c r="K82" s="15"/>
      <c r="L82" s="3" t="s">
        <v>296</v>
      </c>
      <c r="M82" s="3" t="s">
        <v>297</v>
      </c>
      <c r="N82" s="3" t="s">
        <v>298</v>
      </c>
    </row>
    <row r="83" spans="1:14" ht="30" customHeight="1">
      <c r="A83" s="1" t="s">
        <v>315</v>
      </c>
      <c r="B83" s="12">
        <v>46844</v>
      </c>
      <c r="C83" s="1" t="s">
        <v>194</v>
      </c>
      <c r="D83" s="16"/>
      <c r="E83" s="18">
        <f>ROUND(E23*설정!$B$7,0)</f>
        <v>5762</v>
      </c>
      <c r="F83" s="16">
        <f t="shared" si="0"/>
        <v>5762</v>
      </c>
      <c r="G83" s="16">
        <f t="shared" si="1"/>
        <v>230000</v>
      </c>
      <c r="H83" s="16">
        <f t="shared" si="1"/>
        <v>125000</v>
      </c>
      <c r="I83" s="16">
        <f t="shared" si="1"/>
        <v>60000</v>
      </c>
      <c r="J83" s="16">
        <f t="shared" si="1"/>
        <v>17000</v>
      </c>
      <c r="K83" s="16"/>
      <c r="L83" s="1" t="s">
        <v>296</v>
      </c>
      <c r="M83" s="1" t="s">
        <v>297</v>
      </c>
      <c r="N83" s="1" t="s">
        <v>298</v>
      </c>
    </row>
    <row r="84" spans="1:14" ht="30" customHeight="1">
      <c r="A84" s="3" t="s">
        <v>316</v>
      </c>
      <c r="B84" s="11">
        <v>46844</v>
      </c>
      <c r="C84" s="3" t="s">
        <v>195</v>
      </c>
      <c r="D84" s="15"/>
      <c r="E84" s="17">
        <f>ROUND(E24*설정!$B$7,0)</f>
        <v>4899</v>
      </c>
      <c r="F84" s="15">
        <f t="shared" si="0"/>
        <v>4899</v>
      </c>
      <c r="G84" s="15">
        <f t="shared" si="1"/>
        <v>210000</v>
      </c>
      <c r="H84" s="15">
        <f t="shared" si="1"/>
        <v>105000</v>
      </c>
      <c r="I84" s="15">
        <f t="shared" si="1"/>
        <v>65000</v>
      </c>
      <c r="J84" s="15">
        <f t="shared" si="1"/>
        <v>15000</v>
      </c>
      <c r="K84" s="15"/>
      <c r="L84" s="3" t="s">
        <v>296</v>
      </c>
      <c r="M84" s="3" t="s">
        <v>297</v>
      </c>
      <c r="N84" s="3" t="s">
        <v>298</v>
      </c>
    </row>
    <row r="85" spans="1:14" ht="30" customHeight="1">
      <c r="A85" s="1" t="s">
        <v>317</v>
      </c>
      <c r="B85" s="12">
        <v>46844</v>
      </c>
      <c r="C85" s="1" t="s">
        <v>196</v>
      </c>
      <c r="D85" s="16"/>
      <c r="E85" s="18">
        <f>ROUND(E25*설정!$B$7,0)</f>
        <v>2881</v>
      </c>
      <c r="F85" s="16">
        <f t="shared" si="0"/>
        <v>2881</v>
      </c>
      <c r="G85" s="16">
        <f t="shared" si="1"/>
        <v>150000</v>
      </c>
      <c r="H85" s="16">
        <f t="shared" si="1"/>
        <v>70000</v>
      </c>
      <c r="I85" s="16">
        <f t="shared" si="1"/>
        <v>50000</v>
      </c>
      <c r="J85" s="16">
        <f t="shared" si="1"/>
        <v>12000</v>
      </c>
      <c r="K85" s="16"/>
      <c r="L85" s="1" t="s">
        <v>296</v>
      </c>
      <c r="M85" s="1" t="s">
        <v>297</v>
      </c>
      <c r="N85" s="1" t="s">
        <v>298</v>
      </c>
    </row>
    <row r="86" spans="1:14" ht="30" customHeight="1">
      <c r="A86" s="3" t="s">
        <v>318</v>
      </c>
      <c r="B86" s="11">
        <v>46874</v>
      </c>
      <c r="C86" s="3" t="s">
        <v>191</v>
      </c>
      <c r="D86" s="15"/>
      <c r="E86" s="17">
        <f>ROUND(E26*설정!$B$7,0)</f>
        <v>3650</v>
      </c>
      <c r="F86" s="15">
        <f t="shared" si="0"/>
        <v>3650</v>
      </c>
      <c r="G86" s="15">
        <f t="shared" ref="G86:J105" si="2">G26</f>
        <v>300000</v>
      </c>
      <c r="H86" s="15">
        <f t="shared" si="2"/>
        <v>175000</v>
      </c>
      <c r="I86" s="15">
        <f t="shared" si="2"/>
        <v>75000</v>
      </c>
      <c r="J86" s="15">
        <f t="shared" si="2"/>
        <v>20000</v>
      </c>
      <c r="K86" s="15"/>
      <c r="L86" s="3" t="s">
        <v>296</v>
      </c>
      <c r="M86" s="3" t="s">
        <v>297</v>
      </c>
      <c r="N86" s="3" t="s">
        <v>298</v>
      </c>
    </row>
    <row r="87" spans="1:14" ht="30" customHeight="1">
      <c r="A87" s="1" t="s">
        <v>319</v>
      </c>
      <c r="B87" s="12">
        <v>46874</v>
      </c>
      <c r="C87" s="1" t="s">
        <v>193</v>
      </c>
      <c r="D87" s="16"/>
      <c r="E87" s="18">
        <f>ROUND(E27*설정!$B$7,0)</f>
        <v>9126</v>
      </c>
      <c r="F87" s="16">
        <f t="shared" si="0"/>
        <v>9126</v>
      </c>
      <c r="G87" s="16">
        <f t="shared" si="2"/>
        <v>180000</v>
      </c>
      <c r="H87" s="16">
        <f t="shared" si="2"/>
        <v>55000</v>
      </c>
      <c r="I87" s="16">
        <f t="shared" si="2"/>
        <v>95000</v>
      </c>
      <c r="J87" s="16">
        <f t="shared" si="2"/>
        <v>10000</v>
      </c>
      <c r="K87" s="16"/>
      <c r="L87" s="1" t="s">
        <v>296</v>
      </c>
      <c r="M87" s="1" t="s">
        <v>297</v>
      </c>
      <c r="N87" s="1" t="s">
        <v>298</v>
      </c>
    </row>
    <row r="88" spans="1:14" ht="30" customHeight="1">
      <c r="A88" s="3" t="s">
        <v>320</v>
      </c>
      <c r="B88" s="11">
        <v>46874</v>
      </c>
      <c r="C88" s="3" t="s">
        <v>194</v>
      </c>
      <c r="D88" s="15"/>
      <c r="E88" s="17">
        <f>ROUND(E28*설정!$B$7,0)</f>
        <v>5646</v>
      </c>
      <c r="F88" s="15">
        <f t="shared" si="0"/>
        <v>5646</v>
      </c>
      <c r="G88" s="15">
        <f t="shared" si="2"/>
        <v>230000</v>
      </c>
      <c r="H88" s="15">
        <f t="shared" si="2"/>
        <v>125000</v>
      </c>
      <c r="I88" s="15">
        <f t="shared" si="2"/>
        <v>60000</v>
      </c>
      <c r="J88" s="15">
        <f t="shared" si="2"/>
        <v>17000</v>
      </c>
      <c r="K88" s="15"/>
      <c r="L88" s="3" t="s">
        <v>296</v>
      </c>
      <c r="M88" s="3" t="s">
        <v>297</v>
      </c>
      <c r="N88" s="3" t="s">
        <v>298</v>
      </c>
    </row>
    <row r="89" spans="1:14" ht="30" customHeight="1">
      <c r="A89" s="1" t="s">
        <v>321</v>
      </c>
      <c r="B89" s="12">
        <v>46874</v>
      </c>
      <c r="C89" s="1" t="s">
        <v>195</v>
      </c>
      <c r="D89" s="16"/>
      <c r="E89" s="18">
        <f>ROUND(E29*설정!$B$7,0)</f>
        <v>4801</v>
      </c>
      <c r="F89" s="16">
        <f t="shared" si="0"/>
        <v>4801</v>
      </c>
      <c r="G89" s="16">
        <f t="shared" si="2"/>
        <v>210000</v>
      </c>
      <c r="H89" s="16">
        <f t="shared" si="2"/>
        <v>105000</v>
      </c>
      <c r="I89" s="16">
        <f t="shared" si="2"/>
        <v>65000</v>
      </c>
      <c r="J89" s="16">
        <f t="shared" si="2"/>
        <v>15000</v>
      </c>
      <c r="K89" s="16"/>
      <c r="L89" s="1" t="s">
        <v>296</v>
      </c>
      <c r="M89" s="1" t="s">
        <v>297</v>
      </c>
      <c r="N89" s="1" t="s">
        <v>298</v>
      </c>
    </row>
    <row r="90" spans="1:14" ht="30" customHeight="1">
      <c r="A90" s="3" t="s">
        <v>322</v>
      </c>
      <c r="B90" s="11">
        <v>46874</v>
      </c>
      <c r="C90" s="3" t="s">
        <v>196</v>
      </c>
      <c r="D90" s="15"/>
      <c r="E90" s="17">
        <f>ROUND(E30*설정!$B$7,0)</f>
        <v>2824</v>
      </c>
      <c r="F90" s="15">
        <f t="shared" si="0"/>
        <v>2824</v>
      </c>
      <c r="G90" s="15">
        <f t="shared" si="2"/>
        <v>150000</v>
      </c>
      <c r="H90" s="15">
        <f t="shared" si="2"/>
        <v>70000</v>
      </c>
      <c r="I90" s="15">
        <f t="shared" si="2"/>
        <v>50000</v>
      </c>
      <c r="J90" s="15">
        <f t="shared" si="2"/>
        <v>12000</v>
      </c>
      <c r="K90" s="15"/>
      <c r="L90" s="3" t="s">
        <v>296</v>
      </c>
      <c r="M90" s="3" t="s">
        <v>297</v>
      </c>
      <c r="N90" s="3" t="s">
        <v>298</v>
      </c>
    </row>
    <row r="91" spans="1:14" ht="30" customHeight="1">
      <c r="A91" s="1" t="s">
        <v>323</v>
      </c>
      <c r="B91" s="12">
        <v>46905</v>
      </c>
      <c r="C91" s="1" t="s">
        <v>191</v>
      </c>
      <c r="D91" s="16"/>
      <c r="E91" s="18">
        <f>ROUND(E31*설정!$B$7,0)</f>
        <v>3686</v>
      </c>
      <c r="F91" s="16">
        <f t="shared" si="0"/>
        <v>3686</v>
      </c>
      <c r="G91" s="16">
        <f t="shared" si="2"/>
        <v>300000</v>
      </c>
      <c r="H91" s="16">
        <f t="shared" si="2"/>
        <v>175000</v>
      </c>
      <c r="I91" s="16">
        <f t="shared" si="2"/>
        <v>75000</v>
      </c>
      <c r="J91" s="16">
        <f t="shared" si="2"/>
        <v>20000</v>
      </c>
      <c r="K91" s="16"/>
      <c r="L91" s="1" t="s">
        <v>296</v>
      </c>
      <c r="M91" s="1" t="s">
        <v>297</v>
      </c>
      <c r="N91" s="1" t="s">
        <v>298</v>
      </c>
    </row>
    <row r="92" spans="1:14" ht="30" customHeight="1">
      <c r="A92" s="3" t="s">
        <v>324</v>
      </c>
      <c r="B92" s="11">
        <v>46905</v>
      </c>
      <c r="C92" s="3" t="s">
        <v>193</v>
      </c>
      <c r="D92" s="15"/>
      <c r="E92" s="17">
        <f>ROUND(E32*설정!$B$7,0)</f>
        <v>9215</v>
      </c>
      <c r="F92" s="15">
        <f t="shared" si="0"/>
        <v>9215</v>
      </c>
      <c r="G92" s="15">
        <f t="shared" si="2"/>
        <v>180000</v>
      </c>
      <c r="H92" s="15">
        <f t="shared" si="2"/>
        <v>55000</v>
      </c>
      <c r="I92" s="15">
        <f t="shared" si="2"/>
        <v>95000</v>
      </c>
      <c r="J92" s="15">
        <f t="shared" si="2"/>
        <v>10000</v>
      </c>
      <c r="K92" s="15"/>
      <c r="L92" s="3" t="s">
        <v>296</v>
      </c>
      <c r="M92" s="3" t="s">
        <v>297</v>
      </c>
      <c r="N92" s="3" t="s">
        <v>298</v>
      </c>
    </row>
    <row r="93" spans="1:14" ht="30" customHeight="1">
      <c r="A93" s="1" t="s">
        <v>325</v>
      </c>
      <c r="B93" s="12">
        <v>46905</v>
      </c>
      <c r="C93" s="1" t="s">
        <v>194</v>
      </c>
      <c r="D93" s="16"/>
      <c r="E93" s="18">
        <f>ROUND(E33*설정!$B$7,0)</f>
        <v>5762</v>
      </c>
      <c r="F93" s="16">
        <f t="shared" si="0"/>
        <v>5762</v>
      </c>
      <c r="G93" s="16">
        <f t="shared" si="2"/>
        <v>230000</v>
      </c>
      <c r="H93" s="16">
        <f t="shared" si="2"/>
        <v>125000</v>
      </c>
      <c r="I93" s="16">
        <f t="shared" si="2"/>
        <v>60000</v>
      </c>
      <c r="J93" s="16">
        <f t="shared" si="2"/>
        <v>17000</v>
      </c>
      <c r="K93" s="16"/>
      <c r="L93" s="1" t="s">
        <v>296</v>
      </c>
      <c r="M93" s="1" t="s">
        <v>297</v>
      </c>
      <c r="N93" s="1" t="s">
        <v>298</v>
      </c>
    </row>
    <row r="94" spans="1:14" ht="30" customHeight="1">
      <c r="A94" s="3" t="s">
        <v>326</v>
      </c>
      <c r="B94" s="11">
        <v>46905</v>
      </c>
      <c r="C94" s="3" t="s">
        <v>195</v>
      </c>
      <c r="D94" s="15"/>
      <c r="E94" s="17">
        <f>ROUND(E34*설정!$B$7,0)</f>
        <v>4899</v>
      </c>
      <c r="F94" s="15">
        <f t="shared" si="0"/>
        <v>4899</v>
      </c>
      <c r="G94" s="15">
        <f t="shared" si="2"/>
        <v>210000</v>
      </c>
      <c r="H94" s="15">
        <f t="shared" si="2"/>
        <v>105000</v>
      </c>
      <c r="I94" s="15">
        <f t="shared" si="2"/>
        <v>65000</v>
      </c>
      <c r="J94" s="15">
        <f t="shared" si="2"/>
        <v>15000</v>
      </c>
      <c r="K94" s="15"/>
      <c r="L94" s="3" t="s">
        <v>296</v>
      </c>
      <c r="M94" s="3" t="s">
        <v>297</v>
      </c>
      <c r="N94" s="3" t="s">
        <v>298</v>
      </c>
    </row>
    <row r="95" spans="1:14" ht="30" customHeight="1">
      <c r="A95" s="1" t="s">
        <v>327</v>
      </c>
      <c r="B95" s="12">
        <v>46905</v>
      </c>
      <c r="C95" s="1" t="s">
        <v>196</v>
      </c>
      <c r="D95" s="16"/>
      <c r="E95" s="18">
        <f>ROUND(E35*설정!$B$7,0)</f>
        <v>2881</v>
      </c>
      <c r="F95" s="16">
        <f t="shared" si="0"/>
        <v>2881</v>
      </c>
      <c r="G95" s="16">
        <f t="shared" si="2"/>
        <v>150000</v>
      </c>
      <c r="H95" s="16">
        <f t="shared" si="2"/>
        <v>70000</v>
      </c>
      <c r="I95" s="16">
        <f t="shared" si="2"/>
        <v>50000</v>
      </c>
      <c r="J95" s="16">
        <f t="shared" si="2"/>
        <v>12000</v>
      </c>
      <c r="K95" s="16"/>
      <c r="L95" s="1" t="s">
        <v>296</v>
      </c>
      <c r="M95" s="1" t="s">
        <v>297</v>
      </c>
      <c r="N95" s="1" t="s">
        <v>298</v>
      </c>
    </row>
    <row r="96" spans="1:14" ht="30" customHeight="1">
      <c r="A96" s="3" t="s">
        <v>328</v>
      </c>
      <c r="B96" s="11">
        <v>46935</v>
      </c>
      <c r="C96" s="3" t="s">
        <v>191</v>
      </c>
      <c r="D96" s="15"/>
      <c r="E96" s="17">
        <f>ROUND(E36*설정!$B$7,0)</f>
        <v>3686</v>
      </c>
      <c r="F96" s="15">
        <f t="shared" si="0"/>
        <v>3686</v>
      </c>
      <c r="G96" s="15">
        <f t="shared" si="2"/>
        <v>300000</v>
      </c>
      <c r="H96" s="15">
        <f t="shared" si="2"/>
        <v>175000</v>
      </c>
      <c r="I96" s="15">
        <f t="shared" si="2"/>
        <v>75000</v>
      </c>
      <c r="J96" s="15">
        <f t="shared" si="2"/>
        <v>20000</v>
      </c>
      <c r="K96" s="15"/>
      <c r="L96" s="3" t="s">
        <v>296</v>
      </c>
      <c r="M96" s="3" t="s">
        <v>297</v>
      </c>
      <c r="N96" s="3" t="s">
        <v>298</v>
      </c>
    </row>
    <row r="97" spans="1:14" ht="30" customHeight="1">
      <c r="A97" s="1" t="s">
        <v>329</v>
      </c>
      <c r="B97" s="12">
        <v>46935</v>
      </c>
      <c r="C97" s="1" t="s">
        <v>193</v>
      </c>
      <c r="D97" s="16"/>
      <c r="E97" s="18">
        <f>ROUND(E37*설정!$B$7,0)</f>
        <v>9215</v>
      </c>
      <c r="F97" s="16">
        <f t="shared" si="0"/>
        <v>9215</v>
      </c>
      <c r="G97" s="16">
        <f t="shared" si="2"/>
        <v>180000</v>
      </c>
      <c r="H97" s="16">
        <f t="shared" si="2"/>
        <v>55000</v>
      </c>
      <c r="I97" s="16">
        <f t="shared" si="2"/>
        <v>95000</v>
      </c>
      <c r="J97" s="16">
        <f t="shared" si="2"/>
        <v>10000</v>
      </c>
      <c r="K97" s="16"/>
      <c r="L97" s="1" t="s">
        <v>296</v>
      </c>
      <c r="M97" s="1" t="s">
        <v>297</v>
      </c>
      <c r="N97" s="1" t="s">
        <v>298</v>
      </c>
    </row>
    <row r="98" spans="1:14" ht="30" customHeight="1">
      <c r="A98" s="3" t="s">
        <v>330</v>
      </c>
      <c r="B98" s="11">
        <v>46935</v>
      </c>
      <c r="C98" s="3" t="s">
        <v>194</v>
      </c>
      <c r="D98" s="15"/>
      <c r="E98" s="17">
        <f>ROUND(E38*설정!$B$7,0)</f>
        <v>5762</v>
      </c>
      <c r="F98" s="15">
        <f t="shared" si="0"/>
        <v>5762</v>
      </c>
      <c r="G98" s="15">
        <f t="shared" si="2"/>
        <v>230000</v>
      </c>
      <c r="H98" s="15">
        <f t="shared" si="2"/>
        <v>125000</v>
      </c>
      <c r="I98" s="15">
        <f t="shared" si="2"/>
        <v>60000</v>
      </c>
      <c r="J98" s="15">
        <f t="shared" si="2"/>
        <v>17000</v>
      </c>
      <c r="K98" s="15"/>
      <c r="L98" s="3" t="s">
        <v>296</v>
      </c>
      <c r="M98" s="3" t="s">
        <v>297</v>
      </c>
      <c r="N98" s="3" t="s">
        <v>298</v>
      </c>
    </row>
    <row r="99" spans="1:14" ht="30" customHeight="1">
      <c r="A99" s="1" t="s">
        <v>331</v>
      </c>
      <c r="B99" s="12">
        <v>46935</v>
      </c>
      <c r="C99" s="1" t="s">
        <v>195</v>
      </c>
      <c r="D99" s="16"/>
      <c r="E99" s="18">
        <f>ROUND(E39*설정!$B$7,0)</f>
        <v>4899</v>
      </c>
      <c r="F99" s="16">
        <f t="shared" si="0"/>
        <v>4899</v>
      </c>
      <c r="G99" s="16">
        <f t="shared" si="2"/>
        <v>210000</v>
      </c>
      <c r="H99" s="16">
        <f t="shared" si="2"/>
        <v>105000</v>
      </c>
      <c r="I99" s="16">
        <f t="shared" si="2"/>
        <v>65000</v>
      </c>
      <c r="J99" s="16">
        <f t="shared" si="2"/>
        <v>15000</v>
      </c>
      <c r="K99" s="16"/>
      <c r="L99" s="1" t="s">
        <v>296</v>
      </c>
      <c r="M99" s="1" t="s">
        <v>297</v>
      </c>
      <c r="N99" s="1" t="s">
        <v>298</v>
      </c>
    </row>
    <row r="100" spans="1:14" ht="30" customHeight="1">
      <c r="A100" s="3" t="s">
        <v>332</v>
      </c>
      <c r="B100" s="11">
        <v>46935</v>
      </c>
      <c r="C100" s="3" t="s">
        <v>196</v>
      </c>
      <c r="D100" s="15"/>
      <c r="E100" s="17">
        <f>ROUND(E40*설정!$B$7,0)</f>
        <v>2881</v>
      </c>
      <c r="F100" s="15">
        <f t="shared" si="0"/>
        <v>2881</v>
      </c>
      <c r="G100" s="15">
        <f t="shared" si="2"/>
        <v>150000</v>
      </c>
      <c r="H100" s="15">
        <f t="shared" si="2"/>
        <v>70000</v>
      </c>
      <c r="I100" s="15">
        <f t="shared" si="2"/>
        <v>50000</v>
      </c>
      <c r="J100" s="15">
        <f t="shared" si="2"/>
        <v>12000</v>
      </c>
      <c r="K100" s="15"/>
      <c r="L100" s="3" t="s">
        <v>296</v>
      </c>
      <c r="M100" s="3" t="s">
        <v>297</v>
      </c>
      <c r="N100" s="3" t="s">
        <v>298</v>
      </c>
    </row>
  </sheetData>
  <mergeCells count="2">
    <mergeCell ref="A1:N2"/>
    <mergeCell ref="A3:N3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11" sqref="C11"/>
    </sheetView>
  </sheetViews>
  <sheetFormatPr defaultRowHeight="13.8"/>
  <cols>
    <col min="1" max="1" width="18" customWidth="1"/>
    <col min="2" max="3" width="24" customWidth="1"/>
    <col min="4" max="4" width="70" customWidth="1"/>
  </cols>
  <sheetData>
    <row r="1" spans="1:4" ht="30" customHeight="1">
      <c r="A1" s="32" t="s">
        <v>333</v>
      </c>
      <c r="B1" s="32"/>
      <c r="C1" s="32"/>
      <c r="D1" s="32"/>
    </row>
    <row r="2" spans="1:4" ht="30" customHeight="1">
      <c r="A2" s="32"/>
      <c r="B2" s="32"/>
      <c r="C2" s="32"/>
      <c r="D2" s="32"/>
    </row>
    <row r="3" spans="1:4" ht="43.95" customHeight="1">
      <c r="A3" s="33" t="s">
        <v>334</v>
      </c>
      <c r="B3" s="34"/>
      <c r="C3" s="34"/>
      <c r="D3" s="34"/>
    </row>
    <row r="4" spans="1:4" ht="30" customHeight="1">
      <c r="A4" s="1"/>
      <c r="B4" s="1"/>
      <c r="C4" s="1"/>
      <c r="D4" s="1"/>
    </row>
    <row r="5" spans="1:4" ht="42" customHeight="1">
      <c r="A5" s="2" t="s">
        <v>200</v>
      </c>
      <c r="B5" s="2" t="s">
        <v>335</v>
      </c>
      <c r="C5" s="2" t="s">
        <v>336</v>
      </c>
      <c r="D5" s="2" t="s">
        <v>227</v>
      </c>
    </row>
    <row r="6" spans="1:4" ht="30" customHeight="1">
      <c r="A6" s="11">
        <v>46388</v>
      </c>
      <c r="B6" s="13">
        <v>370000000</v>
      </c>
      <c r="C6" s="13">
        <v>370000000</v>
      </c>
      <c r="D6" s="3" t="s">
        <v>337</v>
      </c>
    </row>
    <row r="7" spans="1:4" ht="30" customHeight="1">
      <c r="A7" s="12">
        <v>46419</v>
      </c>
      <c r="B7" s="14">
        <v>370000000</v>
      </c>
      <c r="C7" s="14">
        <v>370000000</v>
      </c>
      <c r="D7" s="1" t="s">
        <v>337</v>
      </c>
    </row>
    <row r="8" spans="1:4" ht="30" customHeight="1">
      <c r="A8" s="11">
        <v>46447</v>
      </c>
      <c r="B8" s="13">
        <v>370000000</v>
      </c>
      <c r="C8" s="13">
        <v>370000000</v>
      </c>
      <c r="D8" s="3" t="s">
        <v>337</v>
      </c>
    </row>
    <row r="9" spans="1:4" ht="30" customHeight="1">
      <c r="A9" s="12">
        <v>46478</v>
      </c>
      <c r="B9" s="14">
        <v>370000000</v>
      </c>
      <c r="C9" s="14">
        <v>370000000</v>
      </c>
      <c r="D9" s="1" t="s">
        <v>337</v>
      </c>
    </row>
    <row r="10" spans="1:4" ht="30" customHeight="1">
      <c r="A10" s="11">
        <v>46508</v>
      </c>
      <c r="B10" s="13">
        <v>370000000</v>
      </c>
      <c r="C10" s="13">
        <v>370000000</v>
      </c>
      <c r="D10" s="3" t="s">
        <v>337</v>
      </c>
    </row>
    <row r="11" spans="1:4" ht="30" customHeight="1">
      <c r="A11" s="12">
        <v>46539</v>
      </c>
      <c r="B11" s="14">
        <v>370000000</v>
      </c>
      <c r="C11" s="14">
        <v>185000000</v>
      </c>
      <c r="D11" s="1" t="s">
        <v>337</v>
      </c>
    </row>
    <row r="12" spans="1:4" ht="30" customHeight="1">
      <c r="A12" s="11">
        <v>46569</v>
      </c>
      <c r="B12" s="13">
        <v>370000000</v>
      </c>
      <c r="C12" s="15"/>
      <c r="D12" s="3" t="s">
        <v>337</v>
      </c>
    </row>
    <row r="13" spans="1:4" ht="30" customHeight="1">
      <c r="A13" s="12">
        <v>46600</v>
      </c>
      <c r="B13" s="14">
        <v>370000000</v>
      </c>
      <c r="C13" s="16"/>
      <c r="D13" s="1" t="s">
        <v>337</v>
      </c>
    </row>
    <row r="14" spans="1:4" ht="30" customHeight="1">
      <c r="A14" s="11">
        <v>46631</v>
      </c>
      <c r="B14" s="13">
        <v>370000000</v>
      </c>
      <c r="C14" s="15"/>
      <c r="D14" s="3" t="s">
        <v>337</v>
      </c>
    </row>
    <row r="15" spans="1:4" ht="30" customHeight="1">
      <c r="A15" s="12">
        <v>46661</v>
      </c>
      <c r="B15" s="14">
        <v>370000000</v>
      </c>
      <c r="C15" s="16"/>
      <c r="D15" s="1" t="s">
        <v>337</v>
      </c>
    </row>
    <row r="16" spans="1:4" ht="30" customHeight="1">
      <c r="A16" s="11">
        <v>46692</v>
      </c>
      <c r="B16" s="13">
        <v>370000000</v>
      </c>
      <c r="C16" s="15"/>
      <c r="D16" s="3" t="s">
        <v>337</v>
      </c>
    </row>
    <row r="17" spans="1:4" ht="30" customHeight="1">
      <c r="A17" s="12">
        <v>46722</v>
      </c>
      <c r="B17" s="14">
        <v>370000000</v>
      </c>
      <c r="C17" s="16"/>
      <c r="D17" s="1" t="s">
        <v>337</v>
      </c>
    </row>
    <row r="18" spans="1:4" ht="30" customHeight="1">
      <c r="A18" s="11">
        <v>46753</v>
      </c>
      <c r="B18" s="17">
        <f>설정!$B$21</f>
        <v>370000000</v>
      </c>
      <c r="C18" s="15"/>
      <c r="D18" s="3" t="s">
        <v>338</v>
      </c>
    </row>
    <row r="19" spans="1:4" ht="30" customHeight="1">
      <c r="A19" s="12">
        <v>46784</v>
      </c>
      <c r="B19" s="18">
        <f>설정!$B$21</f>
        <v>370000000</v>
      </c>
      <c r="C19" s="16"/>
      <c r="D19" s="1" t="s">
        <v>338</v>
      </c>
    </row>
    <row r="20" spans="1:4" ht="30" customHeight="1">
      <c r="A20" s="11">
        <v>46813</v>
      </c>
      <c r="B20" s="17">
        <f>설정!$B$21</f>
        <v>370000000</v>
      </c>
      <c r="C20" s="15"/>
      <c r="D20" s="3" t="s">
        <v>338</v>
      </c>
    </row>
    <row r="21" spans="1:4" ht="30" customHeight="1">
      <c r="A21" s="12">
        <v>46844</v>
      </c>
      <c r="B21" s="18">
        <f>설정!$B$21</f>
        <v>370000000</v>
      </c>
      <c r="C21" s="16"/>
      <c r="D21" s="1" t="s">
        <v>338</v>
      </c>
    </row>
    <row r="22" spans="1:4" ht="30" customHeight="1">
      <c r="A22" s="11">
        <v>46874</v>
      </c>
      <c r="B22" s="17">
        <f>설정!$B$21</f>
        <v>370000000</v>
      </c>
      <c r="C22" s="15"/>
      <c r="D22" s="3" t="s">
        <v>338</v>
      </c>
    </row>
    <row r="23" spans="1:4" ht="30" customHeight="1">
      <c r="A23" s="12">
        <v>46905</v>
      </c>
      <c r="B23" s="18">
        <f>설정!$B$21</f>
        <v>370000000</v>
      </c>
      <c r="C23" s="16"/>
      <c r="D23" s="1" t="s">
        <v>338</v>
      </c>
    </row>
    <row r="24" spans="1:4" ht="30" customHeight="1">
      <c r="A24" s="11">
        <v>46935</v>
      </c>
      <c r="B24" s="17">
        <f>설정!$B$21</f>
        <v>370000000</v>
      </c>
      <c r="C24" s="15"/>
      <c r="D24" s="3" t="s">
        <v>338</v>
      </c>
    </row>
  </sheetData>
  <mergeCells count="2">
    <mergeCell ref="A1:D2"/>
    <mergeCell ref="A3:D3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9" sqref="A9"/>
    </sheetView>
  </sheetViews>
  <sheetFormatPr defaultRowHeight="13.8"/>
  <cols>
    <col min="1" max="1" width="16" customWidth="1"/>
    <col min="2" max="2" width="19" customWidth="1"/>
    <col min="3" max="3" width="18" customWidth="1"/>
    <col min="4" max="4" width="12" customWidth="1"/>
    <col min="5" max="7" width="20" customWidth="1"/>
    <col min="8" max="8" width="60" customWidth="1"/>
  </cols>
  <sheetData>
    <row r="1" spans="1:8" ht="30" customHeight="1">
      <c r="A1" s="32" t="s">
        <v>339</v>
      </c>
      <c r="B1" s="32"/>
      <c r="C1" s="32"/>
      <c r="D1" s="32"/>
      <c r="E1" s="32"/>
      <c r="F1" s="32"/>
      <c r="G1" s="32"/>
      <c r="H1" s="32"/>
    </row>
    <row r="2" spans="1:8" ht="30" customHeight="1">
      <c r="A2" s="32"/>
      <c r="B2" s="32"/>
      <c r="C2" s="32"/>
      <c r="D2" s="32"/>
      <c r="E2" s="32"/>
      <c r="F2" s="32"/>
      <c r="G2" s="32"/>
      <c r="H2" s="32"/>
    </row>
    <row r="3" spans="1:8" ht="43.95" customHeight="1">
      <c r="A3" s="33" t="s">
        <v>340</v>
      </c>
      <c r="B3" s="34"/>
      <c r="C3" s="34"/>
      <c r="D3" s="34"/>
      <c r="E3" s="34"/>
      <c r="F3" s="34"/>
      <c r="G3" s="34"/>
      <c r="H3" s="34"/>
    </row>
    <row r="4" spans="1:8" ht="30" customHeight="1">
      <c r="A4" s="1"/>
      <c r="B4" s="1"/>
      <c r="C4" s="1"/>
      <c r="D4" s="1"/>
      <c r="E4" s="1"/>
      <c r="F4" s="1"/>
      <c r="G4" s="1"/>
      <c r="H4" s="1"/>
    </row>
    <row r="5" spans="1:8" ht="42" customHeight="1">
      <c r="A5" s="2" t="s">
        <v>201</v>
      </c>
      <c r="B5" s="2" t="s">
        <v>341</v>
      </c>
      <c r="C5" s="35" t="s">
        <v>342</v>
      </c>
      <c r="D5" s="35" t="s">
        <v>343</v>
      </c>
      <c r="E5" s="35" t="s">
        <v>344</v>
      </c>
      <c r="F5" s="35" t="s">
        <v>223</v>
      </c>
      <c r="G5" s="35" t="s">
        <v>345</v>
      </c>
      <c r="H5" s="46" t="s">
        <v>346</v>
      </c>
    </row>
    <row r="6" spans="1:8" ht="30" customHeight="1">
      <c r="A6" s="3" t="s">
        <v>191</v>
      </c>
      <c r="B6" s="3" t="s">
        <v>347</v>
      </c>
      <c r="C6" s="3" t="s">
        <v>348</v>
      </c>
      <c r="D6" s="13">
        <v>1</v>
      </c>
      <c r="E6" s="17">
        <f>설정!$B$13</f>
        <v>2000</v>
      </c>
      <c r="F6" s="17">
        <f>물량원가기준!I6</f>
        <v>75000</v>
      </c>
      <c r="G6" s="15">
        <f>F6-D6*E6</f>
        <v>73000</v>
      </c>
      <c r="H6" s="3" t="s">
        <v>349</v>
      </c>
    </row>
    <row r="7" spans="1:8" ht="30" customHeight="1">
      <c r="A7" s="1" t="s">
        <v>193</v>
      </c>
      <c r="B7" s="1" t="s">
        <v>347</v>
      </c>
      <c r="C7" s="1" t="s">
        <v>348</v>
      </c>
      <c r="D7" s="14">
        <v>1</v>
      </c>
      <c r="E7" s="18">
        <f>설정!$B$13</f>
        <v>2000</v>
      </c>
      <c r="F7" s="18">
        <f>물량원가기준!I7</f>
        <v>95000</v>
      </c>
      <c r="G7" s="16">
        <f>F7-D7*E7</f>
        <v>93000</v>
      </c>
      <c r="H7" s="1" t="s">
        <v>349</v>
      </c>
    </row>
    <row r="8" spans="1:8" ht="30" customHeight="1">
      <c r="A8" s="3" t="s">
        <v>194</v>
      </c>
      <c r="B8" s="3" t="s">
        <v>347</v>
      </c>
      <c r="C8" s="3" t="s">
        <v>348</v>
      </c>
      <c r="D8" s="13">
        <v>0</v>
      </c>
      <c r="E8" s="17">
        <f>설정!$B$13</f>
        <v>2000</v>
      </c>
      <c r="F8" s="17">
        <f>물량원가기준!I8</f>
        <v>60000</v>
      </c>
      <c r="G8" s="15">
        <f>F8-D8*E8</f>
        <v>60000</v>
      </c>
      <c r="H8" s="3" t="s">
        <v>349</v>
      </c>
    </row>
    <row r="9" spans="1:8" ht="30" customHeight="1">
      <c r="A9" s="1" t="s">
        <v>195</v>
      </c>
      <c r="B9" s="1" t="s">
        <v>347</v>
      </c>
      <c r="C9" s="1" t="s">
        <v>348</v>
      </c>
      <c r="D9" s="14">
        <v>0</v>
      </c>
      <c r="E9" s="18">
        <f>설정!$B$13</f>
        <v>2000</v>
      </c>
      <c r="F9" s="18">
        <f>물량원가기준!I9</f>
        <v>65000</v>
      </c>
      <c r="G9" s="16">
        <f>F9-D9*E9</f>
        <v>65000</v>
      </c>
      <c r="H9" s="1" t="s">
        <v>349</v>
      </c>
    </row>
    <row r="10" spans="1:8" ht="30" customHeight="1">
      <c r="A10" s="3" t="s">
        <v>196</v>
      </c>
      <c r="B10" s="3" t="s">
        <v>347</v>
      </c>
      <c r="C10" s="3" t="s">
        <v>348</v>
      </c>
      <c r="D10" s="13">
        <v>0</v>
      </c>
      <c r="E10" s="17">
        <f>설정!$B$13</f>
        <v>2000</v>
      </c>
      <c r="F10" s="17">
        <f>물량원가기준!I10</f>
        <v>50000</v>
      </c>
      <c r="G10" s="15">
        <f>F10-D10*E10</f>
        <v>50000</v>
      </c>
      <c r="H10" s="3" t="s">
        <v>349</v>
      </c>
    </row>
  </sheetData>
  <mergeCells count="2">
    <mergeCell ref="A1:H2"/>
    <mergeCell ref="A3:H3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8" sqref="A8"/>
    </sheetView>
  </sheetViews>
  <sheetFormatPr defaultRowHeight="13.8"/>
  <cols>
    <col min="1" max="1" width="23" customWidth="1"/>
    <col min="2" max="2" width="20" customWidth="1"/>
    <col min="3" max="3" width="23" customWidth="1"/>
    <col min="4" max="4" width="20" customWidth="1"/>
    <col min="5" max="7" width="17" customWidth="1"/>
    <col min="8" max="8" width="24" customWidth="1"/>
    <col min="9" max="9" width="14" customWidth="1"/>
    <col min="10" max="10" width="31" customWidth="1"/>
  </cols>
  <sheetData>
    <row r="1" spans="1:10" ht="30" customHeight="1">
      <c r="A1" s="32" t="s">
        <v>350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ht="43.95" customHeight="1">
      <c r="A3" s="33" t="s">
        <v>351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30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2" customHeight="1">
      <c r="A5" s="2" t="s">
        <v>123</v>
      </c>
      <c r="B5" s="2" t="s">
        <v>124</v>
      </c>
      <c r="C5" s="2" t="s">
        <v>352</v>
      </c>
      <c r="D5" s="2" t="s">
        <v>341</v>
      </c>
      <c r="E5" s="2" t="s">
        <v>80</v>
      </c>
      <c r="F5" s="2" t="s">
        <v>353</v>
      </c>
      <c r="G5" s="2" t="s">
        <v>59</v>
      </c>
      <c r="H5" s="2" t="s">
        <v>354</v>
      </c>
      <c r="I5" s="2" t="s">
        <v>355</v>
      </c>
      <c r="J5" s="2" t="s">
        <v>356</v>
      </c>
    </row>
    <row r="6" spans="1:10" ht="30" customHeight="1">
      <c r="A6" s="3" t="s">
        <v>138</v>
      </c>
      <c r="B6" s="3" t="s">
        <v>139</v>
      </c>
      <c r="C6" s="3" t="s">
        <v>357</v>
      </c>
      <c r="D6" s="3" t="s">
        <v>347</v>
      </c>
      <c r="E6" s="17">
        <f>설정!$B$13</f>
        <v>2000</v>
      </c>
      <c r="F6" s="17">
        <f>설정!B14</f>
        <v>2200</v>
      </c>
      <c r="G6" s="19">
        <f>설정!$B$6</f>
        <v>46569</v>
      </c>
      <c r="H6" s="3" t="s">
        <v>358</v>
      </c>
      <c r="I6" s="3" t="s">
        <v>359</v>
      </c>
      <c r="J6" s="3" t="s">
        <v>360</v>
      </c>
    </row>
    <row r="7" spans="1:10" ht="30" customHeight="1">
      <c r="A7" s="1" t="s">
        <v>140</v>
      </c>
      <c r="B7" s="1" t="s">
        <v>141</v>
      </c>
      <c r="C7" s="1" t="s">
        <v>357</v>
      </c>
      <c r="D7" s="1" t="s">
        <v>347</v>
      </c>
      <c r="E7" s="18">
        <f>설정!$B$13</f>
        <v>2000</v>
      </c>
      <c r="F7" s="18">
        <f>설정!B15</f>
        <v>2100</v>
      </c>
      <c r="G7" s="20">
        <f>설정!$B$6</f>
        <v>46569</v>
      </c>
      <c r="H7" s="1" t="s">
        <v>361</v>
      </c>
      <c r="I7" s="1" t="s">
        <v>362</v>
      </c>
      <c r="J7" s="1" t="s">
        <v>363</v>
      </c>
    </row>
    <row r="8" spans="1:10" ht="30" customHeight="1">
      <c r="A8" s="3" t="s">
        <v>142</v>
      </c>
      <c r="B8" s="3" t="s">
        <v>143</v>
      </c>
      <c r="C8" s="3" t="s">
        <v>357</v>
      </c>
      <c r="D8" s="3" t="s">
        <v>347</v>
      </c>
      <c r="E8" s="17">
        <f>설정!$B$13</f>
        <v>2000</v>
      </c>
      <c r="F8" s="17">
        <f>설정!B16</f>
        <v>2120</v>
      </c>
      <c r="G8" s="19">
        <f>설정!$B$6</f>
        <v>46569</v>
      </c>
      <c r="H8" s="3" t="s">
        <v>364</v>
      </c>
      <c r="I8" s="3" t="s">
        <v>365</v>
      </c>
      <c r="J8" s="3" t="s">
        <v>366</v>
      </c>
    </row>
    <row r="9" spans="1:10" ht="30" customHeight="1">
      <c r="A9" s="1" t="s">
        <v>144</v>
      </c>
      <c r="B9" s="1" t="s">
        <v>145</v>
      </c>
      <c r="C9" s="1" t="s">
        <v>357</v>
      </c>
      <c r="D9" s="1" t="s">
        <v>347</v>
      </c>
      <c r="E9" s="18">
        <f>설정!$B$13</f>
        <v>2000</v>
      </c>
      <c r="F9" s="18">
        <f>설정!B17</f>
        <v>2120</v>
      </c>
      <c r="G9" s="20">
        <f>설정!$B$6</f>
        <v>46569</v>
      </c>
      <c r="H9" s="1" t="s">
        <v>367</v>
      </c>
      <c r="I9" s="1" t="s">
        <v>368</v>
      </c>
      <c r="J9" s="1" t="s">
        <v>369</v>
      </c>
    </row>
    <row r="10" spans="1:10" ht="30" customHeight="1">
      <c r="A10" s="3" t="s">
        <v>103</v>
      </c>
      <c r="B10" s="3" t="s">
        <v>146</v>
      </c>
      <c r="C10" s="3" t="s">
        <v>357</v>
      </c>
      <c r="D10" s="3" t="s">
        <v>347</v>
      </c>
      <c r="E10" s="17">
        <f>설정!$B$13</f>
        <v>2000</v>
      </c>
      <c r="F10" s="17">
        <f>설정!B18</f>
        <v>2120</v>
      </c>
      <c r="G10" s="19">
        <f>설정!$B$6</f>
        <v>46569</v>
      </c>
      <c r="H10" s="3" t="s">
        <v>370</v>
      </c>
      <c r="I10" s="3" t="s">
        <v>371</v>
      </c>
      <c r="J10" s="3" t="s">
        <v>372</v>
      </c>
    </row>
  </sheetData>
  <mergeCells count="2">
    <mergeCell ref="A1:J2"/>
    <mergeCell ref="A3:J3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9"/>
  <sheetViews>
    <sheetView showGridLines="0" workbookViewId="0">
      <pane xSplit="1" ySplit="5" topLeftCell="B14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7" customWidth="1"/>
    <col min="3" max="3" width="31" customWidth="1"/>
    <col min="4" max="4" width="23" customWidth="1"/>
    <col min="5" max="5" width="15" customWidth="1"/>
    <col min="6" max="6" width="35" customWidth="1"/>
    <col min="7" max="7" width="33" customWidth="1"/>
    <col min="8" max="8" width="31" customWidth="1"/>
    <col min="9" max="9" width="25" customWidth="1"/>
    <col min="10" max="10" width="29" customWidth="1"/>
    <col min="11" max="11" width="65" customWidth="1"/>
    <col min="12" max="12" width="17" customWidth="1"/>
    <col min="13" max="13" width="24" customWidth="1"/>
    <col min="14" max="14" width="35" customWidth="1"/>
  </cols>
  <sheetData>
    <row r="1" spans="1:14" ht="30" customHeight="1">
      <c r="A1" s="32" t="s">
        <v>373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43.95" customHeight="1">
      <c r="A3" s="33" t="s">
        <v>374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2" t="s">
        <v>375</v>
      </c>
      <c r="B5" s="2" t="s">
        <v>376</v>
      </c>
      <c r="C5" s="2" t="s">
        <v>377</v>
      </c>
      <c r="D5" s="2" t="s">
        <v>378</v>
      </c>
      <c r="E5" s="2" t="s">
        <v>379</v>
      </c>
      <c r="F5" s="2" t="s">
        <v>380</v>
      </c>
      <c r="G5" s="2" t="s">
        <v>381</v>
      </c>
      <c r="H5" s="2" t="s">
        <v>382</v>
      </c>
      <c r="I5" s="2" t="s">
        <v>383</v>
      </c>
      <c r="J5" s="2" t="s">
        <v>354</v>
      </c>
      <c r="K5" s="2" t="s">
        <v>384</v>
      </c>
      <c r="L5" s="2" t="s">
        <v>385</v>
      </c>
      <c r="M5" s="2" t="s">
        <v>386</v>
      </c>
      <c r="N5" s="2" t="s">
        <v>387</v>
      </c>
    </row>
    <row r="6" spans="1:14" ht="40.049999999999997" customHeight="1">
      <c r="A6" s="3" t="s">
        <v>388</v>
      </c>
      <c r="B6" s="3" t="s">
        <v>389</v>
      </c>
      <c r="C6" s="3" t="s">
        <v>390</v>
      </c>
      <c r="D6" s="3" t="s">
        <v>391</v>
      </c>
      <c r="E6" s="3" t="s">
        <v>392</v>
      </c>
      <c r="F6" s="3" t="s">
        <v>393</v>
      </c>
      <c r="G6" s="3" t="s">
        <v>394</v>
      </c>
      <c r="H6" s="3" t="s">
        <v>395</v>
      </c>
      <c r="I6" s="3" t="s">
        <v>395</v>
      </c>
      <c r="J6" s="3" t="s">
        <v>396</v>
      </c>
      <c r="K6" s="3" t="s">
        <v>397</v>
      </c>
      <c r="L6" s="3" t="s">
        <v>398</v>
      </c>
      <c r="M6" s="3"/>
      <c r="N6" s="3"/>
    </row>
    <row r="7" spans="1:14" ht="40.049999999999997" customHeight="1">
      <c r="A7" s="1" t="s">
        <v>359</v>
      </c>
      <c r="B7" s="1" t="s">
        <v>399</v>
      </c>
      <c r="C7" s="1" t="s">
        <v>400</v>
      </c>
      <c r="D7" s="1" t="s">
        <v>401</v>
      </c>
      <c r="E7" s="1" t="s">
        <v>402</v>
      </c>
      <c r="F7" s="1" t="s">
        <v>403</v>
      </c>
      <c r="G7" s="1" t="s">
        <v>404</v>
      </c>
      <c r="H7" s="1" t="s">
        <v>405</v>
      </c>
      <c r="I7" s="1" t="s">
        <v>406</v>
      </c>
      <c r="J7" s="1" t="s">
        <v>395</v>
      </c>
      <c r="K7" s="1" t="s">
        <v>407</v>
      </c>
      <c r="L7" s="1" t="s">
        <v>408</v>
      </c>
      <c r="M7" s="1" t="s">
        <v>409</v>
      </c>
      <c r="N7" s="1" t="s">
        <v>410</v>
      </c>
    </row>
    <row r="8" spans="1:14" ht="40.049999999999997" customHeight="1">
      <c r="A8" s="3" t="s">
        <v>411</v>
      </c>
      <c r="B8" s="3" t="s">
        <v>412</v>
      </c>
      <c r="C8" s="3" t="s">
        <v>413</v>
      </c>
      <c r="D8" s="3" t="s">
        <v>414</v>
      </c>
      <c r="E8" s="3" t="s">
        <v>415</v>
      </c>
      <c r="F8" s="3" t="s">
        <v>416</v>
      </c>
      <c r="G8" s="3" t="s">
        <v>417</v>
      </c>
      <c r="H8" s="3" t="s">
        <v>99</v>
      </c>
      <c r="I8" s="3" t="s">
        <v>418</v>
      </c>
      <c r="J8" s="3" t="s">
        <v>395</v>
      </c>
      <c r="K8" s="3" t="s">
        <v>419</v>
      </c>
      <c r="L8" s="3" t="s">
        <v>408</v>
      </c>
      <c r="M8" s="3" t="s">
        <v>420</v>
      </c>
      <c r="N8" s="3" t="s">
        <v>421</v>
      </c>
    </row>
    <row r="9" spans="1:14" ht="40.049999999999997" customHeight="1">
      <c r="A9" s="1" t="s">
        <v>362</v>
      </c>
      <c r="B9" s="1" t="s">
        <v>422</v>
      </c>
      <c r="C9" s="1" t="s">
        <v>423</v>
      </c>
      <c r="D9" s="1" t="s">
        <v>401</v>
      </c>
      <c r="E9" s="1" t="s">
        <v>415</v>
      </c>
      <c r="F9" s="1" t="s">
        <v>424</v>
      </c>
      <c r="G9" s="1" t="s">
        <v>425</v>
      </c>
      <c r="H9" s="9" t="str">
        <f>설정!B19</f>
        <v>2027-06-21 18:00:00 KST</v>
      </c>
      <c r="I9" s="1" t="s">
        <v>426</v>
      </c>
      <c r="J9" s="1" t="s">
        <v>427</v>
      </c>
      <c r="K9" s="1" t="s">
        <v>428</v>
      </c>
      <c r="L9" s="1" t="s">
        <v>408</v>
      </c>
      <c r="M9" s="1" t="s">
        <v>429</v>
      </c>
      <c r="N9" s="1" t="s">
        <v>430</v>
      </c>
    </row>
    <row r="10" spans="1:14" ht="40.049999999999997" customHeight="1">
      <c r="A10" s="3" t="s">
        <v>365</v>
      </c>
      <c r="B10" s="3" t="s">
        <v>431</v>
      </c>
      <c r="C10" s="3" t="s">
        <v>432</v>
      </c>
      <c r="D10" s="3" t="s">
        <v>401</v>
      </c>
      <c r="E10" s="3" t="s">
        <v>433</v>
      </c>
      <c r="F10" s="3" t="s">
        <v>434</v>
      </c>
      <c r="G10" s="3" t="s">
        <v>435</v>
      </c>
      <c r="H10" s="10" t="str">
        <f>설정!B19</f>
        <v>2027-06-21 18:00:00 KST</v>
      </c>
      <c r="I10" s="3" t="s">
        <v>436</v>
      </c>
      <c r="J10" s="3" t="s">
        <v>395</v>
      </c>
      <c r="K10" s="3" t="s">
        <v>437</v>
      </c>
      <c r="L10" s="3" t="s">
        <v>408</v>
      </c>
      <c r="M10" s="3" t="s">
        <v>438</v>
      </c>
      <c r="N10" s="3" t="s">
        <v>439</v>
      </c>
    </row>
    <row r="11" spans="1:14" ht="40.049999999999997" customHeight="1">
      <c r="A11" s="1" t="s">
        <v>440</v>
      </c>
      <c r="B11" s="1" t="s">
        <v>441</v>
      </c>
      <c r="C11" s="1" t="s">
        <v>442</v>
      </c>
      <c r="D11" s="1" t="s">
        <v>401</v>
      </c>
      <c r="E11" s="1" t="s">
        <v>415</v>
      </c>
      <c r="F11" s="1" t="s">
        <v>443</v>
      </c>
      <c r="G11" s="1" t="s">
        <v>444</v>
      </c>
      <c r="H11" s="1" t="s">
        <v>445</v>
      </c>
      <c r="I11" s="1" t="s">
        <v>436</v>
      </c>
      <c r="J11" s="1" t="s">
        <v>364</v>
      </c>
      <c r="K11" s="1" t="s">
        <v>446</v>
      </c>
      <c r="L11" s="1" t="s">
        <v>408</v>
      </c>
      <c r="M11" s="1" t="s">
        <v>447</v>
      </c>
      <c r="N11" s="1" t="s">
        <v>448</v>
      </c>
    </row>
    <row r="12" spans="1:14" ht="40.049999999999997" customHeight="1">
      <c r="A12" s="3" t="s">
        <v>368</v>
      </c>
      <c r="B12" s="3" t="s">
        <v>449</v>
      </c>
      <c r="C12" s="3" t="s">
        <v>450</v>
      </c>
      <c r="D12" s="3" t="s">
        <v>401</v>
      </c>
      <c r="E12" s="3" t="s">
        <v>451</v>
      </c>
      <c r="F12" s="3" t="s">
        <v>452</v>
      </c>
      <c r="G12" s="3" t="s">
        <v>453</v>
      </c>
      <c r="H12" s="3" t="s">
        <v>445</v>
      </c>
      <c r="I12" s="3" t="s">
        <v>454</v>
      </c>
      <c r="J12" s="3" t="s">
        <v>367</v>
      </c>
      <c r="K12" s="3" t="s">
        <v>455</v>
      </c>
      <c r="L12" s="3" t="s">
        <v>408</v>
      </c>
      <c r="M12" s="3" t="s">
        <v>456</v>
      </c>
      <c r="N12" s="3" t="s">
        <v>457</v>
      </c>
    </row>
    <row r="13" spans="1:14" ht="40.049999999999997" customHeight="1">
      <c r="A13" s="1" t="s">
        <v>458</v>
      </c>
      <c r="B13" s="1" t="s">
        <v>459</v>
      </c>
      <c r="C13" s="1" t="s">
        <v>460</v>
      </c>
      <c r="D13" s="1" t="s">
        <v>461</v>
      </c>
      <c r="E13" s="1" t="s">
        <v>462</v>
      </c>
      <c r="F13" s="1" t="s">
        <v>463</v>
      </c>
      <c r="G13" s="1" t="s">
        <v>464</v>
      </c>
      <c r="H13" s="1" t="s">
        <v>445</v>
      </c>
      <c r="I13" s="1" t="s">
        <v>465</v>
      </c>
      <c r="J13" s="1" t="s">
        <v>367</v>
      </c>
      <c r="K13" s="1" t="s">
        <v>466</v>
      </c>
      <c r="L13" s="1" t="s">
        <v>408</v>
      </c>
      <c r="M13" s="1" t="s">
        <v>467</v>
      </c>
      <c r="N13" s="1" t="s">
        <v>468</v>
      </c>
    </row>
    <row r="14" spans="1:14" ht="40.049999999999997" customHeight="1">
      <c r="A14" s="3" t="s">
        <v>469</v>
      </c>
      <c r="B14" s="3" t="s">
        <v>470</v>
      </c>
      <c r="C14" s="3" t="s">
        <v>471</v>
      </c>
      <c r="D14" s="3" t="s">
        <v>472</v>
      </c>
      <c r="E14" s="3" t="s">
        <v>462</v>
      </c>
      <c r="F14" s="3" t="s">
        <v>473</v>
      </c>
      <c r="G14" s="3" t="s">
        <v>474</v>
      </c>
      <c r="H14" s="3" t="s">
        <v>475</v>
      </c>
      <c r="I14" s="3" t="s">
        <v>476</v>
      </c>
      <c r="J14" s="3" t="s">
        <v>367</v>
      </c>
      <c r="K14" s="3" t="s">
        <v>477</v>
      </c>
      <c r="L14" s="3" t="s">
        <v>408</v>
      </c>
      <c r="M14" s="3" t="s">
        <v>478</v>
      </c>
      <c r="N14" s="3" t="s">
        <v>479</v>
      </c>
    </row>
    <row r="15" spans="1:14" ht="40.049999999999997" customHeight="1">
      <c r="A15" s="1" t="s">
        <v>371</v>
      </c>
      <c r="B15" s="1" t="s">
        <v>480</v>
      </c>
      <c r="C15" s="1" t="s">
        <v>481</v>
      </c>
      <c r="D15" s="1" t="s">
        <v>482</v>
      </c>
      <c r="E15" s="1" t="s">
        <v>462</v>
      </c>
      <c r="F15" s="1" t="s">
        <v>483</v>
      </c>
      <c r="G15" s="1" t="s">
        <v>484</v>
      </c>
      <c r="H15" s="1" t="s">
        <v>395</v>
      </c>
      <c r="I15" s="1" t="s">
        <v>485</v>
      </c>
      <c r="J15" s="1" t="s">
        <v>370</v>
      </c>
      <c r="K15" s="1" t="s">
        <v>486</v>
      </c>
      <c r="L15" s="1" t="s">
        <v>408</v>
      </c>
      <c r="M15" s="1" t="s">
        <v>487</v>
      </c>
      <c r="N15" s="1" t="s">
        <v>488</v>
      </c>
    </row>
    <row r="16" spans="1:14" ht="40.049999999999997" customHeight="1">
      <c r="A16" s="3" t="s">
        <v>489</v>
      </c>
      <c r="B16" s="3" t="s">
        <v>490</v>
      </c>
      <c r="C16" s="3" t="s">
        <v>491</v>
      </c>
      <c r="D16" s="3" t="s">
        <v>401</v>
      </c>
      <c r="E16" s="3" t="s">
        <v>492</v>
      </c>
      <c r="F16" s="3" t="s">
        <v>493</v>
      </c>
      <c r="G16" s="3" t="s">
        <v>494</v>
      </c>
      <c r="H16" s="3" t="s">
        <v>395</v>
      </c>
      <c r="I16" s="3" t="s">
        <v>495</v>
      </c>
      <c r="J16" s="3" t="s">
        <v>370</v>
      </c>
      <c r="K16" s="3" t="s">
        <v>496</v>
      </c>
      <c r="L16" s="3" t="s">
        <v>408</v>
      </c>
      <c r="M16" s="3" t="s">
        <v>497</v>
      </c>
      <c r="N16" s="3" t="s">
        <v>498</v>
      </c>
    </row>
    <row r="17" spans="1:14" ht="40.049999999999997" customHeight="1">
      <c r="A17" s="1" t="s">
        <v>499</v>
      </c>
      <c r="B17" s="1" t="s">
        <v>500</v>
      </c>
      <c r="C17" s="1" t="s">
        <v>501</v>
      </c>
      <c r="D17" s="1" t="s">
        <v>401</v>
      </c>
      <c r="E17" s="1" t="s">
        <v>502</v>
      </c>
      <c r="F17" s="1" t="s">
        <v>503</v>
      </c>
      <c r="G17" s="1" t="s">
        <v>504</v>
      </c>
      <c r="H17" s="1" t="s">
        <v>475</v>
      </c>
      <c r="I17" s="1" t="s">
        <v>505</v>
      </c>
      <c r="J17" s="1" t="s">
        <v>370</v>
      </c>
      <c r="K17" s="1" t="s">
        <v>506</v>
      </c>
      <c r="L17" s="1" t="s">
        <v>408</v>
      </c>
      <c r="M17" s="1" t="s">
        <v>507</v>
      </c>
      <c r="N17" s="1" t="s">
        <v>508</v>
      </c>
    </row>
    <row r="18" spans="1:14" ht="40.049999999999997" customHeight="1">
      <c r="A18" s="3" t="s">
        <v>509</v>
      </c>
      <c r="B18" s="3" t="s">
        <v>510</v>
      </c>
      <c r="C18" s="3" t="s">
        <v>511</v>
      </c>
      <c r="D18" s="3" t="s">
        <v>391</v>
      </c>
      <c r="E18" s="3" t="s">
        <v>502</v>
      </c>
      <c r="F18" s="3" t="s">
        <v>512</v>
      </c>
      <c r="G18" s="3" t="s">
        <v>513</v>
      </c>
      <c r="H18" s="3" t="s">
        <v>514</v>
      </c>
      <c r="I18" s="3" t="s">
        <v>515</v>
      </c>
      <c r="J18" s="3" t="s">
        <v>370</v>
      </c>
      <c r="K18" s="3" t="s">
        <v>516</v>
      </c>
      <c r="L18" s="3" t="s">
        <v>408</v>
      </c>
      <c r="M18" s="3" t="s">
        <v>507</v>
      </c>
      <c r="N18" s="3" t="s">
        <v>517</v>
      </c>
    </row>
    <row r="19" spans="1:14" ht="40.049999999999997" customHeight="1">
      <c r="A19" s="1" t="s">
        <v>518</v>
      </c>
      <c r="B19" s="1" t="s">
        <v>519</v>
      </c>
      <c r="C19" s="1" t="s">
        <v>471</v>
      </c>
      <c r="D19" s="1" t="s">
        <v>472</v>
      </c>
      <c r="E19" s="1" t="s">
        <v>462</v>
      </c>
      <c r="F19" s="1" t="s">
        <v>520</v>
      </c>
      <c r="G19" s="1" t="s">
        <v>521</v>
      </c>
      <c r="H19" s="1" t="s">
        <v>522</v>
      </c>
      <c r="I19" s="1" t="s">
        <v>523</v>
      </c>
      <c r="J19" s="1" t="s">
        <v>367</v>
      </c>
      <c r="K19" s="1" t="s">
        <v>524</v>
      </c>
      <c r="L19" s="1" t="s">
        <v>525</v>
      </c>
      <c r="M19" s="1" t="s">
        <v>526</v>
      </c>
      <c r="N19" s="1" t="s">
        <v>527</v>
      </c>
    </row>
  </sheetData>
  <mergeCells count="2">
    <mergeCell ref="A1:N2"/>
    <mergeCell ref="A3:N3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E8" sqref="E8"/>
    </sheetView>
  </sheetViews>
  <sheetFormatPr defaultRowHeight="13.8"/>
  <cols>
    <col min="1" max="1" width="19.296875" customWidth="1"/>
    <col min="2" max="2" width="24" customWidth="1"/>
    <col min="3" max="3" width="25" customWidth="1"/>
    <col min="4" max="4" width="30" customWidth="1"/>
    <col min="5" max="5" width="100" customWidth="1"/>
    <col min="6" max="6" width="72" customWidth="1"/>
  </cols>
  <sheetData>
    <row r="1" spans="1:6" ht="30" customHeight="1">
      <c r="A1" s="32" t="s">
        <v>528</v>
      </c>
      <c r="B1" s="32"/>
      <c r="C1" s="32"/>
      <c r="D1" s="32"/>
      <c r="E1" s="32"/>
      <c r="F1" s="32"/>
    </row>
    <row r="2" spans="1:6" ht="30" customHeight="1">
      <c r="A2" s="32"/>
      <c r="B2" s="32"/>
      <c r="C2" s="32"/>
      <c r="D2" s="32"/>
      <c r="E2" s="32"/>
      <c r="F2" s="32"/>
    </row>
    <row r="3" spans="1:6" ht="43.95" customHeight="1">
      <c r="A3" s="33" t="s">
        <v>529</v>
      </c>
      <c r="B3" s="34"/>
      <c r="C3" s="34"/>
      <c r="D3" s="34"/>
      <c r="E3" s="34"/>
      <c r="F3" s="34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2" t="s">
        <v>530</v>
      </c>
      <c r="B5" s="2" t="s">
        <v>531</v>
      </c>
      <c r="C5" s="2" t="s">
        <v>352</v>
      </c>
      <c r="D5" s="2" t="s">
        <v>532</v>
      </c>
      <c r="E5" s="2" t="s">
        <v>533</v>
      </c>
      <c r="F5" s="2" t="s">
        <v>534</v>
      </c>
    </row>
    <row r="6" spans="1:6" ht="40.049999999999997" customHeight="1">
      <c r="A6" s="3" t="s">
        <v>406</v>
      </c>
      <c r="B6" s="3" t="s">
        <v>535</v>
      </c>
      <c r="C6" s="3" t="s">
        <v>357</v>
      </c>
      <c r="D6" s="3" t="s">
        <v>536</v>
      </c>
      <c r="E6" s="3" t="s">
        <v>537</v>
      </c>
      <c r="F6" s="3" t="s">
        <v>538</v>
      </c>
    </row>
    <row r="7" spans="1:6" ht="30" customHeight="1">
      <c r="A7" s="1" t="s">
        <v>418</v>
      </c>
      <c r="B7" s="1" t="s">
        <v>539</v>
      </c>
      <c r="C7" s="1" t="s">
        <v>357</v>
      </c>
      <c r="D7" s="1" t="s">
        <v>540</v>
      </c>
      <c r="E7" s="1" t="s">
        <v>541</v>
      </c>
      <c r="F7" s="1" t="s">
        <v>542</v>
      </c>
    </row>
    <row r="8" spans="1:6" ht="40.049999999999997" customHeight="1">
      <c r="A8" s="3" t="s">
        <v>426</v>
      </c>
      <c r="B8" s="3" t="s">
        <v>543</v>
      </c>
      <c r="C8" s="3" t="s">
        <v>357</v>
      </c>
      <c r="D8" s="3" t="s">
        <v>544</v>
      </c>
      <c r="E8" s="3" t="s">
        <v>545</v>
      </c>
      <c r="F8" s="3" t="s">
        <v>546</v>
      </c>
    </row>
    <row r="9" spans="1:6" ht="30" customHeight="1">
      <c r="A9" s="1" t="s">
        <v>436</v>
      </c>
      <c r="B9" s="1" t="s">
        <v>547</v>
      </c>
      <c r="C9" s="1" t="s">
        <v>357</v>
      </c>
      <c r="D9" s="1" t="s">
        <v>548</v>
      </c>
      <c r="E9" s="1" t="s">
        <v>549</v>
      </c>
      <c r="F9" s="1" t="s">
        <v>550</v>
      </c>
    </row>
    <row r="10" spans="1:6" ht="40.049999999999997" customHeight="1">
      <c r="A10" s="3" t="s">
        <v>454</v>
      </c>
      <c r="B10" s="3" t="s">
        <v>551</v>
      </c>
      <c r="C10" s="3" t="s">
        <v>357</v>
      </c>
      <c r="D10" s="3" t="s">
        <v>401</v>
      </c>
      <c r="E10" s="3" t="s">
        <v>552</v>
      </c>
      <c r="F10" s="3" t="s">
        <v>553</v>
      </c>
    </row>
    <row r="11" spans="1:6" ht="30" customHeight="1">
      <c r="A11" s="1" t="s">
        <v>465</v>
      </c>
      <c r="B11" s="1" t="s">
        <v>554</v>
      </c>
      <c r="C11" s="1" t="s">
        <v>357</v>
      </c>
      <c r="D11" s="1" t="s">
        <v>555</v>
      </c>
      <c r="E11" s="1" t="s">
        <v>556</v>
      </c>
      <c r="F11" s="1" t="s">
        <v>557</v>
      </c>
    </row>
    <row r="12" spans="1:6" ht="30" customHeight="1">
      <c r="A12" s="3" t="s">
        <v>476</v>
      </c>
      <c r="B12" s="3" t="s">
        <v>558</v>
      </c>
      <c r="C12" s="3" t="s">
        <v>357</v>
      </c>
      <c r="D12" s="3" t="s">
        <v>559</v>
      </c>
      <c r="E12" s="3" t="s">
        <v>560</v>
      </c>
      <c r="F12" s="3" t="s">
        <v>561</v>
      </c>
    </row>
    <row r="13" spans="1:6" ht="30" customHeight="1">
      <c r="A13" s="1" t="s">
        <v>485</v>
      </c>
      <c r="B13" s="1" t="s">
        <v>488</v>
      </c>
      <c r="C13" s="1" t="s">
        <v>357</v>
      </c>
      <c r="D13" s="1" t="s">
        <v>562</v>
      </c>
      <c r="E13" s="1" t="s">
        <v>563</v>
      </c>
      <c r="F13" s="1" t="s">
        <v>564</v>
      </c>
    </row>
    <row r="14" spans="1:6" ht="30" customHeight="1">
      <c r="A14" s="3" t="s">
        <v>523</v>
      </c>
      <c r="B14" s="3" t="s">
        <v>520</v>
      </c>
      <c r="C14" s="3" t="s">
        <v>357</v>
      </c>
      <c r="D14" s="3" t="s">
        <v>559</v>
      </c>
      <c r="E14" s="3" t="s">
        <v>565</v>
      </c>
      <c r="F14" s="3" t="s">
        <v>566</v>
      </c>
    </row>
    <row r="15" spans="1:6" ht="30" customHeight="1">
      <c r="A15" s="1" t="s">
        <v>567</v>
      </c>
      <c r="B15" s="1" t="s">
        <v>568</v>
      </c>
      <c r="C15" s="1" t="s">
        <v>569</v>
      </c>
      <c r="D15" s="1" t="s">
        <v>570</v>
      </c>
      <c r="E15" s="1" t="s">
        <v>571</v>
      </c>
      <c r="F15" s="1" t="s">
        <v>572</v>
      </c>
    </row>
    <row r="16" spans="1:6" ht="30" customHeight="1">
      <c r="A16" s="3" t="s">
        <v>573</v>
      </c>
      <c r="B16" s="3" t="s">
        <v>568</v>
      </c>
      <c r="C16" s="3" t="s">
        <v>574</v>
      </c>
      <c r="D16" s="3" t="s">
        <v>575</v>
      </c>
      <c r="E16" s="3" t="s">
        <v>576</v>
      </c>
      <c r="F16" s="3" t="s">
        <v>577</v>
      </c>
    </row>
  </sheetData>
  <mergeCells count="2">
    <mergeCell ref="A1:F2"/>
    <mergeCell ref="A3:F3"/>
  </mergeCells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showGridLines="0" workbookViewId="0">
      <pane xSplit="1" ySplit="5" topLeftCell="B20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2" customWidth="1"/>
    <col min="2" max="2" width="51" customWidth="1"/>
    <col min="3" max="3" width="85" customWidth="1"/>
  </cols>
  <sheetData>
    <row r="1" spans="1:3" ht="30" customHeight="1">
      <c r="A1" s="32" t="s">
        <v>578</v>
      </c>
      <c r="B1" s="32"/>
      <c r="C1" s="32"/>
    </row>
    <row r="2" spans="1:3" ht="30" customHeight="1">
      <c r="A2" s="32"/>
      <c r="B2" s="32"/>
      <c r="C2" s="32"/>
    </row>
    <row r="3" spans="1:3" ht="43.95" customHeight="1">
      <c r="A3" s="33" t="s">
        <v>579</v>
      </c>
      <c r="B3" s="34"/>
      <c r="C3" s="34"/>
    </row>
    <row r="4" spans="1:3" ht="30" customHeight="1">
      <c r="A4" s="1"/>
      <c r="B4" s="1"/>
      <c r="C4" s="1"/>
    </row>
    <row r="5" spans="1:3" ht="42" customHeight="1">
      <c r="A5" s="2" t="s">
        <v>580</v>
      </c>
      <c r="B5" s="2" t="s">
        <v>56</v>
      </c>
      <c r="C5" s="2" t="s">
        <v>581</v>
      </c>
    </row>
    <row r="6" spans="1:3" ht="30" customHeight="1">
      <c r="A6" s="3" t="s">
        <v>582</v>
      </c>
      <c r="B6" s="3" t="s">
        <v>583</v>
      </c>
      <c r="C6" s="3" t="s">
        <v>584</v>
      </c>
    </row>
    <row r="7" spans="1:3" ht="30" customHeight="1">
      <c r="A7" s="1" t="s">
        <v>585</v>
      </c>
      <c r="B7" s="1" t="s">
        <v>586</v>
      </c>
      <c r="C7" s="1" t="s">
        <v>587</v>
      </c>
    </row>
    <row r="8" spans="1:3" ht="30" customHeight="1">
      <c r="A8" s="3" t="s">
        <v>588</v>
      </c>
      <c r="B8" s="3" t="s">
        <v>589</v>
      </c>
      <c r="C8" s="3" t="s">
        <v>590</v>
      </c>
    </row>
    <row r="9" spans="1:3" ht="30" customHeight="1">
      <c r="A9" s="1" t="s">
        <v>591</v>
      </c>
      <c r="B9" s="1" t="s">
        <v>396</v>
      </c>
      <c r="C9" s="1" t="s">
        <v>592</v>
      </c>
    </row>
    <row r="10" spans="1:3" ht="30" customHeight="1">
      <c r="A10" s="3" t="s">
        <v>593</v>
      </c>
      <c r="B10" s="3" t="s">
        <v>370</v>
      </c>
      <c r="C10" s="3" t="s">
        <v>594</v>
      </c>
    </row>
    <row r="11" spans="1:3" ht="30" customHeight="1">
      <c r="A11" s="1" t="s">
        <v>123</v>
      </c>
      <c r="B11" s="9" t="str">
        <f>설정!B20</f>
        <v>PV-APP01</v>
      </c>
      <c r="C11" s="1" t="s">
        <v>595</v>
      </c>
    </row>
    <row r="12" spans="1:3" ht="30" customHeight="1">
      <c r="A12" s="3" t="s">
        <v>596</v>
      </c>
      <c r="B12" s="3" t="s">
        <v>597</v>
      </c>
      <c r="C12" s="3" t="s">
        <v>598</v>
      </c>
    </row>
    <row r="13" spans="1:3" ht="30" customHeight="1">
      <c r="A13" s="1" t="s">
        <v>599</v>
      </c>
      <c r="B13" s="1" t="s">
        <v>600</v>
      </c>
      <c r="C13" s="1" t="s">
        <v>601</v>
      </c>
    </row>
    <row r="14" spans="1:3" ht="30" customHeight="1">
      <c r="A14" s="3" t="s">
        <v>602</v>
      </c>
      <c r="B14" s="17">
        <f>통합손익!I21</f>
        <v>-14000000</v>
      </c>
      <c r="C14" s="3" t="s">
        <v>603</v>
      </c>
    </row>
    <row r="15" spans="1:3" ht="30" customHeight="1">
      <c r="A15" s="1" t="s">
        <v>604</v>
      </c>
      <c r="B15" s="18">
        <f>통합손익!J21</f>
        <v>-9364320</v>
      </c>
      <c r="C15" s="1" t="s">
        <v>605</v>
      </c>
    </row>
    <row r="16" spans="1:3" ht="30" customHeight="1">
      <c r="A16" s="3" t="s">
        <v>606</v>
      </c>
      <c r="B16" s="17">
        <f>통합손익!K21</f>
        <v>3299986680</v>
      </c>
      <c r="C16" s="3" t="s">
        <v>607</v>
      </c>
    </row>
    <row r="17" spans="1:3" ht="30" customHeight="1">
      <c r="A17" s="1" t="s">
        <v>608</v>
      </c>
      <c r="B17" s="18">
        <f>통합손익!N21</f>
        <v>177303320</v>
      </c>
      <c r="C17" s="1" t="s">
        <v>609</v>
      </c>
    </row>
    <row r="18" spans="1:3" ht="40.049999999999997" customHeight="1">
      <c r="A18" s="3" t="s">
        <v>610</v>
      </c>
      <c r="B18" s="17">
        <f>단가안비교!I10</f>
        <v>18817440</v>
      </c>
      <c r="C18" s="3" t="s">
        <v>611</v>
      </c>
    </row>
    <row r="19" spans="1:3" ht="30" customHeight="1">
      <c r="A19" s="1" t="s">
        <v>612</v>
      </c>
      <c r="B19" s="18">
        <f>통합손익!K22</f>
        <v>3173163560</v>
      </c>
      <c r="C19" s="1" t="s">
        <v>613</v>
      </c>
    </row>
    <row r="20" spans="1:3" ht="30" customHeight="1">
      <c r="A20" s="3" t="s">
        <v>614</v>
      </c>
      <c r="B20" s="3" t="s">
        <v>484</v>
      </c>
      <c r="C20" s="3" t="s">
        <v>615</v>
      </c>
    </row>
    <row r="21" spans="1:3" ht="30" customHeight="1">
      <c r="A21" s="1" t="s">
        <v>616</v>
      </c>
      <c r="B21" s="1" t="s">
        <v>617</v>
      </c>
      <c r="C21" s="1" t="s">
        <v>618</v>
      </c>
    </row>
    <row r="22" spans="1:3" ht="30" customHeight="1">
      <c r="A22" s="3" t="s">
        <v>619</v>
      </c>
      <c r="B22" s="3" t="s">
        <v>620</v>
      </c>
      <c r="C22" s="3" t="s">
        <v>621</v>
      </c>
    </row>
    <row r="23" spans="1:3" ht="30" customHeight="1">
      <c r="A23" s="1" t="s">
        <v>622</v>
      </c>
      <c r="B23" s="1" t="s">
        <v>623</v>
      </c>
      <c r="C23" s="1" t="s">
        <v>624</v>
      </c>
    </row>
    <row r="24" spans="1:3" ht="30" customHeight="1">
      <c r="A24" s="3" t="s">
        <v>625</v>
      </c>
      <c r="B24" s="3" t="s">
        <v>626</v>
      </c>
      <c r="C24" s="3" t="s">
        <v>627</v>
      </c>
    </row>
    <row r="25" spans="1:3" ht="30" customHeight="1">
      <c r="A25" s="1" t="s">
        <v>628</v>
      </c>
      <c r="B25" s="1" t="s">
        <v>629</v>
      </c>
      <c r="C25" s="1" t="s">
        <v>630</v>
      </c>
    </row>
  </sheetData>
  <mergeCells count="2">
    <mergeCell ref="A1:C2"/>
    <mergeCell ref="A3:C3"/>
  </mergeCells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showGridLines="0" workbookViewId="0">
      <pane xSplit="1" ySplit="5" topLeftCell="B20" activePane="bottomRight" state="frozen"/>
      <selection pane="topRight"/>
      <selection pane="bottomLeft"/>
      <selection pane="bottomRight" activeCell="F9" sqref="F9"/>
    </sheetView>
  </sheetViews>
  <sheetFormatPr defaultRowHeight="13.8"/>
  <cols>
    <col min="1" max="1" width="18" customWidth="1"/>
    <col min="2" max="2" width="25" customWidth="1"/>
    <col min="3" max="3" width="27.69921875" customWidth="1"/>
    <col min="4" max="4" width="7" bestFit="1" customWidth="1"/>
    <col min="5" max="5" width="22" customWidth="1"/>
    <col min="6" max="6" width="31" bestFit="1" customWidth="1"/>
    <col min="7" max="7" width="76" customWidth="1"/>
    <col min="8" max="8" width="20" customWidth="1"/>
    <col min="9" max="9" width="23" customWidth="1"/>
  </cols>
  <sheetData>
    <row r="1" spans="1:9" ht="30" customHeight="1">
      <c r="A1" s="32" t="s">
        <v>631</v>
      </c>
      <c r="B1" s="32"/>
      <c r="C1" s="32"/>
      <c r="D1" s="32"/>
      <c r="E1" s="32"/>
      <c r="F1" s="32"/>
      <c r="G1" s="32"/>
      <c r="H1" s="32"/>
      <c r="I1" s="32"/>
    </row>
    <row r="2" spans="1:9" ht="30" customHeight="1">
      <c r="A2" s="32"/>
      <c r="B2" s="32"/>
      <c r="C2" s="32"/>
      <c r="D2" s="32"/>
      <c r="E2" s="32"/>
      <c r="F2" s="32"/>
      <c r="G2" s="32"/>
      <c r="H2" s="32"/>
      <c r="I2" s="32"/>
    </row>
    <row r="3" spans="1:9" ht="43.95" customHeight="1">
      <c r="A3" s="33" t="s">
        <v>632</v>
      </c>
      <c r="B3" s="34"/>
      <c r="C3" s="34"/>
      <c r="D3" s="34"/>
      <c r="E3" s="34"/>
      <c r="F3" s="34"/>
      <c r="G3" s="34"/>
      <c r="H3" s="34"/>
      <c r="I3" s="34"/>
    </row>
    <row r="4" spans="1:9" ht="30" customHeight="1">
      <c r="A4" s="1"/>
      <c r="B4" s="1"/>
      <c r="C4" s="1"/>
      <c r="D4" s="1"/>
      <c r="E4" s="1"/>
      <c r="F4" s="1"/>
      <c r="G4" s="1"/>
      <c r="H4" s="1"/>
      <c r="I4" s="1"/>
    </row>
    <row r="5" spans="1:9" ht="42" customHeight="1">
      <c r="A5" s="2" t="s">
        <v>633</v>
      </c>
      <c r="B5" s="2" t="s">
        <v>634</v>
      </c>
      <c r="C5" s="2" t="s">
        <v>635</v>
      </c>
      <c r="D5" s="2" t="s">
        <v>127</v>
      </c>
      <c r="E5" s="2" t="s">
        <v>636</v>
      </c>
      <c r="F5" s="2" t="s">
        <v>637</v>
      </c>
      <c r="G5" s="2" t="s">
        <v>638</v>
      </c>
      <c r="H5" s="2" t="s">
        <v>639</v>
      </c>
      <c r="I5" s="2" t="s">
        <v>640</v>
      </c>
    </row>
    <row r="6" spans="1:9" ht="30" customHeight="1">
      <c r="A6" s="3" t="s">
        <v>518</v>
      </c>
      <c r="B6" s="3" t="s">
        <v>520</v>
      </c>
      <c r="C6" s="3" t="s">
        <v>641</v>
      </c>
      <c r="D6" s="23"/>
      <c r="E6" s="15"/>
      <c r="F6" s="3" t="s">
        <v>642</v>
      </c>
      <c r="G6" s="3" t="s">
        <v>643</v>
      </c>
      <c r="H6" s="3" t="s">
        <v>644</v>
      </c>
      <c r="I6" s="3" t="s">
        <v>645</v>
      </c>
    </row>
    <row r="7" spans="1:9" ht="30" customHeight="1">
      <c r="A7" s="1" t="s">
        <v>646</v>
      </c>
      <c r="B7" s="1" t="s">
        <v>647</v>
      </c>
      <c r="C7" s="1" t="s">
        <v>648</v>
      </c>
      <c r="D7" s="30">
        <v>2.5000000000000001E-2</v>
      </c>
      <c r="E7" s="18">
        <f>단가안비교!G9*50</f>
        <v>7840600</v>
      </c>
      <c r="F7" s="1" t="s">
        <v>649</v>
      </c>
      <c r="G7" s="1" t="s">
        <v>650</v>
      </c>
      <c r="H7" s="9" t="str">
        <f>IF(OR(D7&gt;=설정!$B$9,E7&gt;=설정!$B$11),"중요",IF(OR(D7&gt;=설정!$B$8,E7&gt;=설정!$B$10),"관심","정상"))</f>
        <v>관심</v>
      </c>
      <c r="I7" s="9" t="str">
        <f>IF(E7&gt;=설정!$B$12,"대표 대상","대표 비대상")</f>
        <v>대표 비대상</v>
      </c>
    </row>
    <row r="8" spans="1:9" ht="30" customHeight="1">
      <c r="A8" s="3" t="s">
        <v>651</v>
      </c>
      <c r="B8" s="3" t="s">
        <v>652</v>
      </c>
      <c r="C8" s="3" t="s">
        <v>653</v>
      </c>
      <c r="D8" s="31">
        <v>0</v>
      </c>
      <c r="E8" s="13">
        <v>9999999</v>
      </c>
      <c r="F8" s="3" t="s">
        <v>647</v>
      </c>
      <c r="G8" s="3" t="s">
        <v>654</v>
      </c>
      <c r="H8" s="10" t="str">
        <f>IF(OR(D8&gt;=설정!$B$9,E8&gt;=설정!$B$11),"중요",IF(OR(D8&gt;=설정!$B$8,E8&gt;=설정!$B$10),"관심","정상"))</f>
        <v>관심</v>
      </c>
      <c r="I8" s="10" t="str">
        <f>IF(E8&gt;=설정!$B$12,"대표 대상","대표 비대상")</f>
        <v>대표 비대상</v>
      </c>
    </row>
    <row r="9" spans="1:9" ht="30" customHeight="1">
      <c r="A9" s="1" t="s">
        <v>655</v>
      </c>
      <c r="B9" s="1" t="s">
        <v>656</v>
      </c>
      <c r="C9" s="1" t="s">
        <v>653</v>
      </c>
      <c r="D9" s="30">
        <v>0</v>
      </c>
      <c r="E9" s="14">
        <v>10000000</v>
      </c>
      <c r="F9" s="1" t="s">
        <v>657</v>
      </c>
      <c r="G9" s="1" t="s">
        <v>658</v>
      </c>
      <c r="H9" s="9" t="str">
        <f>IF(OR(D9&gt;=설정!$B$9,E9&gt;=설정!$B$11),"중요",IF(OR(D9&gt;=설정!$B$8,E9&gt;=설정!$B$10),"관심","정상"))</f>
        <v>중요</v>
      </c>
      <c r="I9" s="9" t="str">
        <f>IF(E9&gt;=설정!$B$12,"대표 대상","대표 비대상")</f>
        <v>대표 대상</v>
      </c>
    </row>
    <row r="10" spans="1:9" ht="30" customHeight="1">
      <c r="A10" s="3" t="s">
        <v>659</v>
      </c>
      <c r="B10" s="3" t="s">
        <v>660</v>
      </c>
      <c r="C10" s="3" t="s">
        <v>661</v>
      </c>
      <c r="D10" s="23"/>
      <c r="E10" s="15"/>
      <c r="F10" s="3" t="s">
        <v>662</v>
      </c>
      <c r="G10" s="3" t="s">
        <v>663</v>
      </c>
      <c r="H10" s="3" t="s">
        <v>644</v>
      </c>
      <c r="I10" s="3" t="s">
        <v>645</v>
      </c>
    </row>
    <row r="11" spans="1:9" ht="30" customHeight="1">
      <c r="A11" s="1" t="s">
        <v>664</v>
      </c>
      <c r="B11" s="1" t="s">
        <v>665</v>
      </c>
      <c r="C11" s="1" t="s">
        <v>666</v>
      </c>
      <c r="D11" s="24"/>
      <c r="E11" s="16"/>
      <c r="F11" s="1" t="s">
        <v>667</v>
      </c>
      <c r="G11" s="1" t="s">
        <v>668</v>
      </c>
      <c r="H11" s="1" t="s">
        <v>644</v>
      </c>
      <c r="I11" s="1" t="s">
        <v>645</v>
      </c>
    </row>
    <row r="12" spans="1:9" ht="30" customHeight="1">
      <c r="A12" s="3" t="s">
        <v>669</v>
      </c>
      <c r="B12" s="3" t="s">
        <v>670</v>
      </c>
      <c r="C12" s="3" t="s">
        <v>671</v>
      </c>
      <c r="D12" s="23"/>
      <c r="E12" s="15"/>
      <c r="F12" s="3" t="s">
        <v>672</v>
      </c>
      <c r="G12" s="3" t="s">
        <v>673</v>
      </c>
      <c r="H12" s="3" t="s">
        <v>644</v>
      </c>
      <c r="I12" s="3" t="s">
        <v>645</v>
      </c>
    </row>
    <row r="13" spans="1:9" ht="30" customHeight="1">
      <c r="A13" s="1" t="s">
        <v>674</v>
      </c>
      <c r="B13" s="1" t="s">
        <v>675</v>
      </c>
      <c r="C13" s="1" t="s">
        <v>676</v>
      </c>
      <c r="D13" s="24"/>
      <c r="E13" s="16"/>
      <c r="F13" s="1" t="s">
        <v>677</v>
      </c>
      <c r="G13" s="1" t="s">
        <v>678</v>
      </c>
      <c r="H13" s="1" t="s">
        <v>644</v>
      </c>
      <c r="I13" s="1" t="s">
        <v>645</v>
      </c>
    </row>
    <row r="14" spans="1:9" ht="30" customHeight="1">
      <c r="A14" s="3" t="s">
        <v>679</v>
      </c>
      <c r="B14" s="3" t="s">
        <v>680</v>
      </c>
      <c r="C14" s="3" t="s">
        <v>681</v>
      </c>
      <c r="D14" s="31">
        <v>0.05</v>
      </c>
      <c r="E14" s="13">
        <v>0</v>
      </c>
      <c r="F14" s="3" t="s">
        <v>682</v>
      </c>
      <c r="G14" s="3" t="s">
        <v>683</v>
      </c>
      <c r="H14" s="10" t="str">
        <f>IF(OR(D14&gt;=설정!$B$9,E14&gt;=설정!$B$11),"중요",IF(OR(D14&gt;=설정!$B$8,E14&gt;=설정!$B$10),"관심","정상"))</f>
        <v>관심</v>
      </c>
      <c r="I14" s="10" t="str">
        <f>IF(E14&gt;=설정!$B$12,"대표 대상","대표 비대상")</f>
        <v>대표 비대상</v>
      </c>
    </row>
    <row r="15" spans="1:9" ht="30" customHeight="1">
      <c r="A15" s="1" t="s">
        <v>684</v>
      </c>
      <c r="B15" s="1" t="s">
        <v>685</v>
      </c>
      <c r="C15" s="1" t="s">
        <v>686</v>
      </c>
      <c r="D15" s="30">
        <v>0.1</v>
      </c>
      <c r="E15" s="14">
        <v>0</v>
      </c>
      <c r="F15" s="1" t="s">
        <v>687</v>
      </c>
      <c r="G15" s="1" t="s">
        <v>683</v>
      </c>
      <c r="H15" s="9" t="str">
        <f>IF(OR(D15&gt;=설정!$B$9,E15&gt;=설정!$B$11),"중요",IF(OR(D15&gt;=설정!$B$8,E15&gt;=설정!$B$10),"관심","정상"))</f>
        <v>중요</v>
      </c>
      <c r="I15" s="9" t="str">
        <f>IF(E15&gt;=설정!$B$12,"대표 대상","대표 비대상")</f>
        <v>대표 비대상</v>
      </c>
    </row>
    <row r="16" spans="1:9" ht="30" customHeight="1">
      <c r="A16" s="3" t="s">
        <v>688</v>
      </c>
      <c r="B16" s="3" t="s">
        <v>689</v>
      </c>
      <c r="C16" s="3" t="s">
        <v>690</v>
      </c>
      <c r="D16" s="31">
        <v>0</v>
      </c>
      <c r="E16" s="13">
        <v>5000000</v>
      </c>
      <c r="F16" s="3" t="s">
        <v>682</v>
      </c>
      <c r="G16" s="3" t="s">
        <v>691</v>
      </c>
      <c r="H16" s="10" t="str">
        <f>IF(OR(D16&gt;=설정!$B$9,E16&gt;=설정!$B$11),"중요",IF(OR(D16&gt;=설정!$B$8,E16&gt;=설정!$B$10),"관심","정상"))</f>
        <v>관심</v>
      </c>
      <c r="I16" s="10" t="str">
        <f>IF(E16&gt;=설정!$B$12,"대표 대상","대표 비대상")</f>
        <v>대표 비대상</v>
      </c>
    </row>
    <row r="17" spans="1:9" ht="30" customHeight="1">
      <c r="A17" s="1" t="s">
        <v>692</v>
      </c>
      <c r="B17" s="1" t="s">
        <v>693</v>
      </c>
      <c r="C17" s="1" t="s">
        <v>694</v>
      </c>
      <c r="D17" s="30">
        <v>0</v>
      </c>
      <c r="E17" s="14">
        <v>10000000</v>
      </c>
      <c r="F17" s="1" t="s">
        <v>687</v>
      </c>
      <c r="G17" s="1" t="s">
        <v>691</v>
      </c>
      <c r="H17" s="9" t="str">
        <f>IF(OR(D17&gt;=설정!$B$9,E17&gt;=설정!$B$11),"중요",IF(OR(D17&gt;=설정!$B$8,E17&gt;=설정!$B$10),"관심","정상"))</f>
        <v>중요</v>
      </c>
      <c r="I17" s="9" t="str">
        <f>IF(E17&gt;=설정!$B$12,"대표 대상","대표 비대상")</f>
        <v>대표 대상</v>
      </c>
    </row>
    <row r="18" spans="1:9" ht="30" customHeight="1">
      <c r="A18" s="3" t="s">
        <v>695</v>
      </c>
      <c r="B18" s="3" t="s">
        <v>696</v>
      </c>
      <c r="C18" s="3" t="s">
        <v>697</v>
      </c>
      <c r="D18" s="23"/>
      <c r="E18" s="15"/>
      <c r="F18" s="3" t="s">
        <v>698</v>
      </c>
      <c r="G18" s="3" t="s">
        <v>699</v>
      </c>
      <c r="H18" s="3" t="s">
        <v>644</v>
      </c>
      <c r="I18" s="3" t="s">
        <v>645</v>
      </c>
    </row>
    <row r="19" spans="1:9" ht="30" customHeight="1">
      <c r="A19" s="1" t="s">
        <v>700</v>
      </c>
      <c r="B19" s="1" t="s">
        <v>701</v>
      </c>
      <c r="C19" s="1" t="s">
        <v>702</v>
      </c>
      <c r="D19" s="24"/>
      <c r="E19" s="16"/>
      <c r="F19" s="1" t="s">
        <v>703</v>
      </c>
      <c r="G19" s="1" t="s">
        <v>704</v>
      </c>
      <c r="H19" s="1" t="s">
        <v>644</v>
      </c>
      <c r="I19" s="1" t="s">
        <v>645</v>
      </c>
    </row>
    <row r="20" spans="1:9" ht="30" customHeight="1">
      <c r="A20" s="3" t="s">
        <v>705</v>
      </c>
      <c r="B20" s="3" t="s">
        <v>706</v>
      </c>
      <c r="C20" s="3" t="s">
        <v>707</v>
      </c>
      <c r="D20" s="23"/>
      <c r="E20" s="15"/>
      <c r="F20" s="3" t="s">
        <v>708</v>
      </c>
      <c r="G20" s="3" t="s">
        <v>709</v>
      </c>
      <c r="H20" s="3" t="s">
        <v>644</v>
      </c>
      <c r="I20" s="3" t="s">
        <v>645</v>
      </c>
    </row>
  </sheetData>
  <mergeCells count="2">
    <mergeCell ref="A1:I2"/>
    <mergeCell ref="A3:I3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28" customWidth="1"/>
    <col min="3" max="3" width="46.19921875" customWidth="1"/>
    <col min="4" max="4" width="40.59765625" customWidth="1"/>
    <col min="5" max="5" width="30" customWidth="1"/>
  </cols>
  <sheetData>
    <row r="1" spans="1:5" ht="30" customHeight="1">
      <c r="A1" s="32" t="s">
        <v>710</v>
      </c>
      <c r="B1" s="32"/>
      <c r="C1" s="32"/>
      <c r="D1" s="32"/>
      <c r="E1" s="32"/>
    </row>
    <row r="2" spans="1:5" ht="30" customHeight="1">
      <c r="A2" s="32"/>
      <c r="B2" s="32"/>
      <c r="C2" s="32"/>
      <c r="D2" s="32"/>
      <c r="E2" s="32"/>
    </row>
    <row r="3" spans="1:5" ht="43.95" customHeight="1">
      <c r="A3" s="33" t="s">
        <v>711</v>
      </c>
      <c r="B3" s="34"/>
      <c r="C3" s="34"/>
      <c r="D3" s="34"/>
      <c r="E3" s="34"/>
    </row>
    <row r="4" spans="1:5" ht="30" customHeight="1">
      <c r="A4" s="1"/>
      <c r="B4" s="1"/>
      <c r="C4" s="1"/>
      <c r="D4" s="1"/>
      <c r="E4" s="1"/>
    </row>
    <row r="5" spans="1:5" ht="42" customHeight="1">
      <c r="A5" s="2" t="s">
        <v>712</v>
      </c>
      <c r="B5" s="2" t="s">
        <v>713</v>
      </c>
      <c r="C5" s="2" t="s">
        <v>714</v>
      </c>
      <c r="D5" s="2" t="s">
        <v>715</v>
      </c>
      <c r="E5" s="2" t="s">
        <v>2</v>
      </c>
    </row>
    <row r="6" spans="1:5" ht="30" customHeight="1">
      <c r="A6" s="3" t="s">
        <v>716</v>
      </c>
      <c r="B6" s="3" t="s">
        <v>717</v>
      </c>
      <c r="C6" s="3" t="s">
        <v>718</v>
      </c>
      <c r="D6" s="3" t="s">
        <v>719</v>
      </c>
      <c r="E6" s="3" t="s">
        <v>720</v>
      </c>
    </row>
    <row r="7" spans="1:5" ht="30" customHeight="1">
      <c r="A7" s="1" t="s">
        <v>721</v>
      </c>
      <c r="B7" s="1" t="s">
        <v>722</v>
      </c>
      <c r="C7" s="1" t="s">
        <v>718</v>
      </c>
      <c r="D7" s="1" t="s">
        <v>723</v>
      </c>
      <c r="E7" s="1" t="s">
        <v>720</v>
      </c>
    </row>
    <row r="8" spans="1:5" ht="30" customHeight="1">
      <c r="A8" s="3" t="s">
        <v>724</v>
      </c>
      <c r="B8" s="3" t="s">
        <v>725</v>
      </c>
      <c r="C8" s="3" t="s">
        <v>718</v>
      </c>
      <c r="D8" s="3" t="s">
        <v>726</v>
      </c>
      <c r="E8" s="3" t="s">
        <v>720</v>
      </c>
    </row>
    <row r="9" spans="1:5" ht="30" customHeight="1">
      <c r="A9" s="1" t="s">
        <v>727</v>
      </c>
      <c r="B9" s="1" t="s">
        <v>728</v>
      </c>
      <c r="C9" s="1" t="s">
        <v>729</v>
      </c>
      <c r="D9" s="1" t="s">
        <v>730</v>
      </c>
      <c r="E9" s="1" t="s">
        <v>731</v>
      </c>
    </row>
    <row r="10" spans="1:5" ht="30" customHeight="1">
      <c r="A10" s="3" t="s">
        <v>732</v>
      </c>
      <c r="B10" s="3" t="s">
        <v>733</v>
      </c>
      <c r="C10" s="3" t="s">
        <v>734</v>
      </c>
      <c r="D10" s="3" t="s">
        <v>735</v>
      </c>
      <c r="E10" s="3" t="s">
        <v>731</v>
      </c>
    </row>
    <row r="11" spans="1:5" ht="30" customHeight="1">
      <c r="A11" s="1" t="s">
        <v>736</v>
      </c>
      <c r="B11" s="1" t="s">
        <v>737</v>
      </c>
      <c r="C11" s="1" t="s">
        <v>718</v>
      </c>
      <c r="D11" s="1" t="s">
        <v>738</v>
      </c>
      <c r="E11" s="1" t="s">
        <v>720</v>
      </c>
    </row>
    <row r="12" spans="1:5" ht="30" customHeight="1">
      <c r="A12" s="3" t="s">
        <v>739</v>
      </c>
      <c r="B12" s="3" t="s">
        <v>740</v>
      </c>
      <c r="C12" s="3" t="s">
        <v>718</v>
      </c>
      <c r="D12" s="3" t="s">
        <v>741</v>
      </c>
      <c r="E12" s="3" t="s">
        <v>720</v>
      </c>
    </row>
    <row r="13" spans="1:5" ht="30" customHeight="1">
      <c r="A13" s="1" t="s">
        <v>742</v>
      </c>
      <c r="B13" s="1" t="s">
        <v>743</v>
      </c>
      <c r="C13" s="1" t="s">
        <v>744</v>
      </c>
      <c r="D13" s="1" t="s">
        <v>745</v>
      </c>
      <c r="E13" s="1" t="s">
        <v>720</v>
      </c>
    </row>
    <row r="14" spans="1:5" ht="30" customHeight="1">
      <c r="A14" s="3" t="s">
        <v>746</v>
      </c>
      <c r="B14" s="3" t="s">
        <v>747</v>
      </c>
      <c r="C14" s="3" t="s">
        <v>718</v>
      </c>
      <c r="D14" s="3" t="s">
        <v>748</v>
      </c>
      <c r="E14" s="3" t="s">
        <v>720</v>
      </c>
    </row>
    <row r="15" spans="1:5" ht="30" customHeight="1">
      <c r="A15" s="1" t="s">
        <v>749</v>
      </c>
      <c r="B15" s="1" t="s">
        <v>750</v>
      </c>
      <c r="C15" s="1" t="s">
        <v>718</v>
      </c>
      <c r="D15" s="1" t="s">
        <v>751</v>
      </c>
      <c r="E15" s="1" t="s">
        <v>720</v>
      </c>
    </row>
  </sheetData>
  <mergeCells count="2">
    <mergeCell ref="A1:E2"/>
    <mergeCell ref="A3:E3"/>
  </mergeCells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48" customWidth="1"/>
    <col min="3" max="3" width="115" customWidth="1"/>
    <col min="4" max="4" width="70" customWidth="1"/>
  </cols>
  <sheetData>
    <row r="1" spans="1:4" ht="30" customHeight="1">
      <c r="A1" s="32" t="s">
        <v>752</v>
      </c>
      <c r="B1" s="32"/>
      <c r="C1" s="32"/>
      <c r="D1" s="32"/>
    </row>
    <row r="2" spans="1:4" ht="30" customHeight="1">
      <c r="A2" s="32"/>
      <c r="B2" s="32"/>
      <c r="C2" s="32"/>
      <c r="D2" s="32"/>
    </row>
    <row r="3" spans="1:4" ht="43.95" customHeight="1">
      <c r="A3" s="33" t="s">
        <v>753</v>
      </c>
      <c r="B3" s="34"/>
      <c r="C3" s="34"/>
      <c r="D3" s="34"/>
    </row>
    <row r="4" spans="1:4" ht="30" customHeight="1">
      <c r="A4" s="1"/>
      <c r="B4" s="1"/>
      <c r="C4" s="1"/>
      <c r="D4" s="1"/>
    </row>
    <row r="5" spans="1:4" ht="42" customHeight="1">
      <c r="A5" s="2" t="s">
        <v>754</v>
      </c>
      <c r="B5" s="2" t="s">
        <v>755</v>
      </c>
      <c r="C5" s="2" t="s">
        <v>756</v>
      </c>
      <c r="D5" s="2" t="s">
        <v>757</v>
      </c>
    </row>
    <row r="6" spans="1:4" ht="30" customHeight="1">
      <c r="A6" s="3" t="s">
        <v>758</v>
      </c>
      <c r="B6" s="3" t="s">
        <v>759</v>
      </c>
      <c r="C6" s="3" t="s">
        <v>760</v>
      </c>
      <c r="D6" s="3" t="s">
        <v>761</v>
      </c>
    </row>
    <row r="7" spans="1:4" ht="30" customHeight="1">
      <c r="A7" s="1" t="s">
        <v>31</v>
      </c>
      <c r="B7" s="1" t="s">
        <v>762</v>
      </c>
      <c r="C7" s="1" t="s">
        <v>763</v>
      </c>
      <c r="D7" s="1" t="s">
        <v>764</v>
      </c>
    </row>
    <row r="8" spans="1:4" ht="30" customHeight="1">
      <c r="A8" s="3" t="s">
        <v>765</v>
      </c>
      <c r="B8" s="3" t="s">
        <v>766</v>
      </c>
      <c r="C8" s="3" t="s">
        <v>767</v>
      </c>
      <c r="D8" s="3" t="s">
        <v>768</v>
      </c>
    </row>
    <row r="9" spans="1:4" ht="30" customHeight="1">
      <c r="A9" s="1" t="s">
        <v>769</v>
      </c>
      <c r="B9" s="1" t="s">
        <v>770</v>
      </c>
      <c r="C9" s="1" t="s">
        <v>771</v>
      </c>
      <c r="D9" s="1" t="s">
        <v>772</v>
      </c>
    </row>
    <row r="10" spans="1:4" ht="30" customHeight="1">
      <c r="A10" s="3" t="s">
        <v>773</v>
      </c>
      <c r="B10" s="3" t="s">
        <v>774</v>
      </c>
      <c r="C10" s="3" t="s">
        <v>775</v>
      </c>
      <c r="D10" s="3" t="s">
        <v>776</v>
      </c>
    </row>
    <row r="11" spans="1:4" ht="30" customHeight="1">
      <c r="A11" s="1" t="s">
        <v>777</v>
      </c>
      <c r="B11" s="1" t="s">
        <v>778</v>
      </c>
      <c r="C11" s="1" t="s">
        <v>779</v>
      </c>
      <c r="D11" s="1" t="s">
        <v>780</v>
      </c>
    </row>
    <row r="12" spans="1:4" ht="30" customHeight="1">
      <c r="A12" s="3" t="s">
        <v>781</v>
      </c>
      <c r="B12" s="3" t="s">
        <v>782</v>
      </c>
      <c r="C12" s="3" t="s">
        <v>783</v>
      </c>
      <c r="D12" s="3" t="s">
        <v>784</v>
      </c>
    </row>
    <row r="13" spans="1:4" ht="30" customHeight="1">
      <c r="A13" s="1" t="s">
        <v>785</v>
      </c>
      <c r="B13" s="1" t="s">
        <v>786</v>
      </c>
      <c r="C13" s="1" t="s">
        <v>787</v>
      </c>
      <c r="D13" s="1" t="s">
        <v>788</v>
      </c>
    </row>
    <row r="14" spans="1:4" ht="30" customHeight="1">
      <c r="A14" s="3" t="s">
        <v>789</v>
      </c>
      <c r="B14" s="3" t="s">
        <v>790</v>
      </c>
      <c r="C14" s="3" t="s">
        <v>791</v>
      </c>
      <c r="D14" s="3" t="s">
        <v>792</v>
      </c>
    </row>
    <row r="15" spans="1:4" ht="30" customHeight="1">
      <c r="A15" s="1" t="s">
        <v>793</v>
      </c>
      <c r="B15" s="1" t="s">
        <v>794</v>
      </c>
      <c r="C15" s="1" t="s">
        <v>795</v>
      </c>
      <c r="D15" s="1" t="s">
        <v>796</v>
      </c>
    </row>
    <row r="16" spans="1:4" ht="30" customHeight="1">
      <c r="A16" s="3" t="s">
        <v>797</v>
      </c>
      <c r="B16" s="3" t="s">
        <v>798</v>
      </c>
      <c r="C16" s="3" t="s">
        <v>799</v>
      </c>
      <c r="D16" s="3" t="s">
        <v>800</v>
      </c>
    </row>
    <row r="17" spans="1:4" ht="40.049999999999997" customHeight="1">
      <c r="A17" s="1" t="s">
        <v>801</v>
      </c>
      <c r="B17" s="1" t="s">
        <v>802</v>
      </c>
      <c r="C17" s="1" t="s">
        <v>803</v>
      </c>
      <c r="D17" s="1" t="s">
        <v>804</v>
      </c>
    </row>
    <row r="18" spans="1:4" ht="30" customHeight="1">
      <c r="A18" s="3" t="s">
        <v>805</v>
      </c>
      <c r="B18" s="3" t="s">
        <v>806</v>
      </c>
      <c r="C18" s="3" t="s">
        <v>807</v>
      </c>
      <c r="D18" s="3" t="s">
        <v>808</v>
      </c>
    </row>
    <row r="19" spans="1:4" ht="40.049999999999997" customHeight="1">
      <c r="A19" s="1" t="s">
        <v>809</v>
      </c>
      <c r="B19" s="1" t="s">
        <v>810</v>
      </c>
      <c r="C19" s="1" t="s">
        <v>811</v>
      </c>
      <c r="D19" s="1" t="s">
        <v>812</v>
      </c>
    </row>
    <row r="20" spans="1:4" ht="30" customHeight="1">
      <c r="A20" s="3" t="s">
        <v>813</v>
      </c>
      <c r="B20" s="3" t="s">
        <v>814</v>
      </c>
      <c r="C20" s="3" t="s">
        <v>815</v>
      </c>
      <c r="D20" s="3" t="s">
        <v>816</v>
      </c>
    </row>
    <row r="21" spans="1:4" ht="40.049999999999997" customHeight="1">
      <c r="A21" s="1" t="s">
        <v>817</v>
      </c>
      <c r="B21" s="1" t="s">
        <v>818</v>
      </c>
      <c r="C21" s="1" t="s">
        <v>819</v>
      </c>
      <c r="D21" s="1" t="s">
        <v>820</v>
      </c>
    </row>
    <row r="22" spans="1:4" ht="30" customHeight="1">
      <c r="A22" s="3" t="s">
        <v>821</v>
      </c>
      <c r="B22" s="3" t="s">
        <v>822</v>
      </c>
      <c r="C22" s="3" t="s">
        <v>823</v>
      </c>
      <c r="D22" s="3" t="s">
        <v>824</v>
      </c>
    </row>
    <row r="23" spans="1:4" ht="30" customHeight="1">
      <c r="A23" s="1" t="s">
        <v>825</v>
      </c>
      <c r="B23" s="1" t="s">
        <v>826</v>
      </c>
      <c r="C23" s="1" t="s">
        <v>827</v>
      </c>
      <c r="D23" s="1" t="s">
        <v>828</v>
      </c>
    </row>
    <row r="24" spans="1:4" ht="30" customHeight="1">
      <c r="A24" s="3" t="s">
        <v>829</v>
      </c>
      <c r="B24" s="3" t="s">
        <v>830</v>
      </c>
      <c r="C24" s="3" t="s">
        <v>831</v>
      </c>
      <c r="D24" s="3" t="s">
        <v>832</v>
      </c>
    </row>
    <row r="25" spans="1:4" ht="30" customHeight="1">
      <c r="A25" s="1" t="s">
        <v>833</v>
      </c>
      <c r="B25" s="1" t="s">
        <v>834</v>
      </c>
      <c r="C25" s="1" t="s">
        <v>835</v>
      </c>
      <c r="D25" s="1" t="s">
        <v>836</v>
      </c>
    </row>
  </sheetData>
  <mergeCells count="2">
    <mergeCell ref="A1:D2"/>
    <mergeCell ref="A3:D3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4" sqref="A4"/>
    </sheetView>
  </sheetViews>
  <sheetFormatPr defaultRowHeight="13.8"/>
  <cols>
    <col min="1" max="1" width="16" customWidth="1"/>
    <col min="2" max="2" width="22.296875" customWidth="1"/>
    <col min="3" max="5" width="25" customWidth="1"/>
    <col min="6" max="6" width="22" customWidth="1"/>
  </cols>
  <sheetData>
    <row r="1" spans="1:6" ht="30" customHeight="1">
      <c r="A1" s="32" t="s">
        <v>837</v>
      </c>
      <c r="B1" s="32"/>
      <c r="C1" s="32"/>
      <c r="D1" s="32"/>
      <c r="E1" s="32"/>
      <c r="F1" s="32"/>
    </row>
    <row r="2" spans="1:6" ht="30" customHeight="1">
      <c r="A2" s="32"/>
      <c r="B2" s="32"/>
      <c r="C2" s="32"/>
      <c r="D2" s="32"/>
      <c r="E2" s="32"/>
      <c r="F2" s="32"/>
    </row>
    <row r="3" spans="1:6" ht="43.95" customHeight="1">
      <c r="A3" s="33" t="s">
        <v>838</v>
      </c>
      <c r="B3" s="34"/>
      <c r="C3" s="34"/>
      <c r="D3" s="34"/>
      <c r="E3" s="34"/>
      <c r="F3" s="34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2" t="s">
        <v>712</v>
      </c>
      <c r="B5" s="2" t="s">
        <v>839</v>
      </c>
      <c r="C5" s="2" t="s">
        <v>840</v>
      </c>
      <c r="D5" s="2" t="s">
        <v>841</v>
      </c>
      <c r="E5" s="2" t="s">
        <v>842</v>
      </c>
      <c r="F5" s="2" t="s">
        <v>843</v>
      </c>
    </row>
    <row r="6" spans="1:6" ht="30" customHeight="1">
      <c r="A6" s="3" t="s">
        <v>844</v>
      </c>
      <c r="B6" s="3" t="s">
        <v>845</v>
      </c>
      <c r="C6" s="13">
        <v>3323351000</v>
      </c>
      <c r="D6" s="17">
        <f>통합손익!G21</f>
        <v>3323351000</v>
      </c>
      <c r="E6" s="15">
        <f t="shared" ref="E6:E22" si="0">D6-C6</f>
        <v>0</v>
      </c>
      <c r="F6" s="3" t="str">
        <f t="shared" ref="F6:F22" si="1">IF(E6=0,"일치","확인 필요")</f>
        <v>일치</v>
      </c>
    </row>
    <row r="7" spans="1:6" ht="30" customHeight="1">
      <c r="A7" s="1" t="s">
        <v>846</v>
      </c>
      <c r="B7" s="1" t="s">
        <v>847</v>
      </c>
      <c r="C7" s="14">
        <v>3309351000</v>
      </c>
      <c r="D7" s="18">
        <f>통합손익!H21</f>
        <v>3309351000</v>
      </c>
      <c r="E7" s="16">
        <f t="shared" si="0"/>
        <v>0</v>
      </c>
      <c r="F7" s="1" t="str">
        <f t="shared" si="1"/>
        <v>일치</v>
      </c>
    </row>
    <row r="8" spans="1:6" ht="30" customHeight="1">
      <c r="A8" s="3" t="s">
        <v>848</v>
      </c>
      <c r="B8" s="3" t="s">
        <v>849</v>
      </c>
      <c r="C8" s="13">
        <v>-14000000</v>
      </c>
      <c r="D8" s="17">
        <f>통합손익!I21</f>
        <v>-14000000</v>
      </c>
      <c r="E8" s="15">
        <f t="shared" si="0"/>
        <v>0</v>
      </c>
      <c r="F8" s="3" t="str">
        <f t="shared" si="1"/>
        <v>일치</v>
      </c>
    </row>
    <row r="9" spans="1:6" ht="30" customHeight="1">
      <c r="A9" s="1" t="s">
        <v>850</v>
      </c>
      <c r="B9" s="1" t="s">
        <v>851</v>
      </c>
      <c r="C9" s="14">
        <v>3477290000</v>
      </c>
      <c r="D9" s="18">
        <f>통합손익!M21</f>
        <v>3477290000</v>
      </c>
      <c r="E9" s="16">
        <f t="shared" si="0"/>
        <v>0</v>
      </c>
      <c r="F9" s="1" t="str">
        <f t="shared" si="1"/>
        <v>일치</v>
      </c>
    </row>
    <row r="10" spans="1:6" ht="30" customHeight="1">
      <c r="A10" s="3" t="s">
        <v>852</v>
      </c>
      <c r="B10" s="3" t="s">
        <v>853</v>
      </c>
      <c r="C10" s="13">
        <v>60</v>
      </c>
      <c r="D10" s="17">
        <f>SUMPRODUCT(월별계산!N6:N100,월별계산!U6:U100)</f>
        <v>60</v>
      </c>
      <c r="E10" s="15">
        <f t="shared" si="0"/>
        <v>0</v>
      </c>
      <c r="F10" s="3" t="str">
        <f t="shared" si="1"/>
        <v>일치</v>
      </c>
    </row>
    <row r="11" spans="1:6" ht="30" customHeight="1">
      <c r="A11" s="1" t="s">
        <v>854</v>
      </c>
      <c r="B11" s="1" t="s">
        <v>855</v>
      </c>
      <c r="C11" s="14">
        <v>60</v>
      </c>
      <c r="D11" s="18">
        <f>SUM(월별계산!N6:N100)</f>
        <v>60</v>
      </c>
      <c r="E11" s="16">
        <f t="shared" si="0"/>
        <v>0</v>
      </c>
      <c r="F11" s="1" t="str">
        <f t="shared" si="1"/>
        <v>일치</v>
      </c>
    </row>
    <row r="12" spans="1:6" ht="30" customHeight="1">
      <c r="A12" s="3" t="s">
        <v>856</v>
      </c>
      <c r="B12" s="3" t="s">
        <v>857</v>
      </c>
      <c r="C12" s="13">
        <v>0</v>
      </c>
      <c r="D12" s="17">
        <f>SUM(통합손익!O6:O22)</f>
        <v>0</v>
      </c>
      <c r="E12" s="15">
        <f t="shared" si="0"/>
        <v>0</v>
      </c>
      <c r="F12" s="3" t="str">
        <f t="shared" si="1"/>
        <v>일치</v>
      </c>
    </row>
    <row r="13" spans="1:6" ht="30" customHeight="1">
      <c r="A13" s="1" t="s">
        <v>858</v>
      </c>
      <c r="B13" s="1" t="s">
        <v>859</v>
      </c>
      <c r="C13" s="14">
        <v>0</v>
      </c>
      <c r="D13" s="18">
        <f>SUM(통합손익!D28:D30)</f>
        <v>0</v>
      </c>
      <c r="E13" s="16">
        <f t="shared" si="0"/>
        <v>0</v>
      </c>
      <c r="F13" s="1" t="str">
        <f t="shared" si="1"/>
        <v>일치</v>
      </c>
    </row>
    <row r="14" spans="1:6" ht="30" customHeight="1">
      <c r="A14" s="3" t="s">
        <v>860</v>
      </c>
      <c r="B14" s="3" t="s">
        <v>861</v>
      </c>
      <c r="C14" s="13">
        <v>0</v>
      </c>
      <c r="D14" s="17">
        <f>COUNTIFS(부품모델매핑!G6:G10,"&lt;0")</f>
        <v>0</v>
      </c>
      <c r="E14" s="15">
        <f t="shared" si="0"/>
        <v>0</v>
      </c>
      <c r="F14" s="3" t="str">
        <f t="shared" si="1"/>
        <v>일치</v>
      </c>
    </row>
    <row r="15" spans="1:6" ht="30" customHeight="1">
      <c r="A15" s="1" t="s">
        <v>862</v>
      </c>
      <c r="B15" s="1" t="s">
        <v>863</v>
      </c>
      <c r="C15" s="14">
        <v>1</v>
      </c>
      <c r="D15" s="18">
        <f>IF(단가안비교!I8&gt;=설정!B12,1,0)</f>
        <v>1</v>
      </c>
      <c r="E15" s="16">
        <f t="shared" si="0"/>
        <v>0</v>
      </c>
      <c r="F15" s="1" t="str">
        <f t="shared" si="1"/>
        <v>일치</v>
      </c>
    </row>
    <row r="16" spans="1:6" ht="30" customHeight="1">
      <c r="A16" s="3" t="s">
        <v>864</v>
      </c>
      <c r="B16" s="3" t="s">
        <v>865</v>
      </c>
      <c r="C16" s="13">
        <v>1</v>
      </c>
      <c r="D16" s="17">
        <f>IF(단가안비교!N8&gt;0,1,0)</f>
        <v>1</v>
      </c>
      <c r="E16" s="15">
        <f t="shared" si="0"/>
        <v>0</v>
      </c>
      <c r="F16" s="3" t="str">
        <f t="shared" si="1"/>
        <v>일치</v>
      </c>
    </row>
    <row r="17" spans="1:6" ht="30" customHeight="1">
      <c r="A17" s="1" t="s">
        <v>866</v>
      </c>
      <c r="B17" s="1" t="s">
        <v>867</v>
      </c>
      <c r="C17" s="14">
        <v>1</v>
      </c>
      <c r="D17" s="18">
        <f>IF(단가안비교!I8&gt;0,1,0)</f>
        <v>1</v>
      </c>
      <c r="E17" s="16">
        <f t="shared" si="0"/>
        <v>0</v>
      </c>
      <c r="F17" s="1" t="str">
        <f t="shared" si="1"/>
        <v>일치</v>
      </c>
    </row>
    <row r="18" spans="1:6" ht="30" customHeight="1">
      <c r="A18" s="3" t="s">
        <v>868</v>
      </c>
      <c r="B18" s="3" t="s">
        <v>869</v>
      </c>
      <c r="C18" s="13">
        <v>0</v>
      </c>
      <c r="D18" s="17">
        <f>설정!B17-설정!B16</f>
        <v>0</v>
      </c>
      <c r="E18" s="15">
        <f t="shared" si="0"/>
        <v>0</v>
      </c>
      <c r="F18" s="3" t="str">
        <f t="shared" si="1"/>
        <v>일치</v>
      </c>
    </row>
    <row r="19" spans="1:6" ht="30" customHeight="1">
      <c r="A19" s="1" t="s">
        <v>870</v>
      </c>
      <c r="B19" s="1" t="s">
        <v>871</v>
      </c>
      <c r="C19" s="14">
        <v>0</v>
      </c>
      <c r="D19" s="18">
        <f>단가안비교!H10+통합손익!J21</f>
        <v>0</v>
      </c>
      <c r="E19" s="16">
        <f t="shared" si="0"/>
        <v>0</v>
      </c>
      <c r="F19" s="1" t="str">
        <f t="shared" si="1"/>
        <v>일치</v>
      </c>
    </row>
    <row r="20" spans="1:6" ht="30" customHeight="1">
      <c r="A20" s="3" t="s">
        <v>872</v>
      </c>
      <c r="B20" s="3" t="s">
        <v>873</v>
      </c>
      <c r="C20" s="13">
        <v>0</v>
      </c>
      <c r="D20" s="17">
        <f>단가안비교!I10+통합손익!J22</f>
        <v>0</v>
      </c>
      <c r="E20" s="15">
        <f t="shared" si="0"/>
        <v>0</v>
      </c>
      <c r="F20" s="3" t="str">
        <f t="shared" si="1"/>
        <v>일치</v>
      </c>
    </row>
    <row r="21" spans="1:6" ht="30" customHeight="1">
      <c r="A21" s="1" t="s">
        <v>874</v>
      </c>
      <c r="B21" s="1" t="s">
        <v>875</v>
      </c>
      <c r="C21" s="14">
        <v>149280</v>
      </c>
      <c r="D21" s="18">
        <f>SUM(물량원가기준!K6:K65)</f>
        <v>149280</v>
      </c>
      <c r="E21" s="16">
        <f t="shared" si="0"/>
        <v>0</v>
      </c>
      <c r="F21" s="1" t="str">
        <f t="shared" si="1"/>
        <v>일치</v>
      </c>
    </row>
    <row r="22" spans="1:6" ht="30" customHeight="1">
      <c r="A22" s="3" t="s">
        <v>876</v>
      </c>
      <c r="B22" s="3" t="s">
        <v>877</v>
      </c>
      <c r="C22" s="13">
        <v>95</v>
      </c>
      <c r="D22" s="17">
        <f>SUM(월별계산!U6:U100)</f>
        <v>95</v>
      </c>
      <c r="E22" s="15">
        <f t="shared" si="0"/>
        <v>0</v>
      </c>
      <c r="F22" s="3" t="str">
        <f t="shared" si="1"/>
        <v>일치</v>
      </c>
    </row>
  </sheetData>
  <mergeCells count="2">
    <mergeCell ref="A1:F2"/>
    <mergeCell ref="A3:F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검토요약</vt:lpstr>
      <vt:lpstr>설정</vt:lpstr>
      <vt:lpstr>단가안비교</vt:lpstr>
      <vt:lpstr>통합손익</vt:lpstr>
      <vt:lpstr>월별계산</vt:lpstr>
      <vt:lpstr>물량원가기준</vt:lpstr>
      <vt:lpstr>월고정비</vt:lpstr>
      <vt:lpstr>부품모델매핑</vt:lpstr>
      <vt:lpstr>단가버전</vt:lpstr>
      <vt:lpstr>업무이력</vt:lpstr>
      <vt:lpstr>증빙과협상</vt:lpstr>
      <vt:lpstr>장면3인계</vt:lpstr>
      <vt:lpstr>예외데이터</vt:lpstr>
      <vt:lpstr>검토의견반영</vt:lpstr>
      <vt:lpstr>데이터계약</vt:lpstr>
      <vt:lpstr>정합성검증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임근석</dc:creator>
  <cp:lastModifiedBy>근석 임</cp:lastModifiedBy>
  <dcterms:created xsi:type="dcterms:W3CDTF">2026-10-20T02:08:12Z</dcterms:created>
  <dcterms:modified xsi:type="dcterms:W3CDTF">2026-10-20T06:19:08Z</dcterms:modified>
</cp:coreProperties>
</file>