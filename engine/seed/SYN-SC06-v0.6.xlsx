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f4879ffde389603/컨설팅/Managment Reference Model/장면6/"/>
    </mc:Choice>
  </mc:AlternateContent>
  <xr:revisionPtr revIDLastSave="0" documentId="8_{E1E32E7D-6F9E-4D6D-97F8-EEBB4237D8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검토요약" sheetId="1" r:id="rId1"/>
    <sheet name="설정" sheetId="2" r:id="rId2"/>
    <sheet name="단가안비교" sheetId="3" r:id="rId3"/>
    <sheet name="통합손익" sheetId="4" r:id="rId4"/>
    <sheet name="월별계산" sheetId="5" r:id="rId5"/>
    <sheet name="물량원가기준" sheetId="6" r:id="rId6"/>
    <sheet name="월고정비" sheetId="7" r:id="rId7"/>
    <sheet name="부품모델매핑" sheetId="8" r:id="rId8"/>
    <sheet name="단가버전" sheetId="9" r:id="rId9"/>
    <sheet name="업무이력" sheetId="10" r:id="rId10"/>
    <sheet name="증빙과협상" sheetId="11" r:id="rId11"/>
    <sheet name="장면3인계" sheetId="12" r:id="rId12"/>
    <sheet name="예외데이터" sheetId="13" r:id="rId13"/>
    <sheet name="검토의견반영" sheetId="14" r:id="rId14"/>
    <sheet name="데이터계약" sheetId="15" r:id="rId15"/>
    <sheet name="정합성검증" sheetId="16" r:id="rId16"/>
    <sheet name="SC03요약" sheetId="17" r:id="rId17"/>
    <sheet name="SC03기준" sheetId="18" r:id="rId18"/>
    <sheet name="SC03사실확인" sheetId="19" r:id="rId19"/>
    <sheet name="SC03쟁점" sheetId="20" r:id="rId20"/>
    <sheet name="SC03회의" sheetId="21" r:id="rId21"/>
    <sheet name="SC03후보" sheetId="22" r:id="rId22"/>
    <sheet name="SC03과제" sheetId="23" r:id="rId23"/>
    <sheet name="SC03이벤트" sheetId="24" r:id="rId24"/>
    <sheet name="SC03인계" sheetId="25" r:id="rId25"/>
    <sheet name="SC03예외" sheetId="26" r:id="rId26"/>
    <sheet name="SC03데이터계약" sheetId="27" r:id="rId27"/>
    <sheet name="SC03영업시간" sheetId="28" r:id="rId28"/>
    <sheet name="SC03검증" sheetId="29" r:id="rId29"/>
    <sheet name="통합모델손익" sheetId="30" r:id="rId30"/>
    <sheet name="검토요약_v02" sheetId="31" r:id="rId31"/>
    <sheet name="SC04비교" sheetId="32" r:id="rId32"/>
    <sheet name="SC04월손익" sheetId="33" r:id="rId33"/>
    <sheet name="SC04가정" sheetId="34" r:id="rId34"/>
    <sheet name="SC04월효과" sheetId="35" r:id="rId35"/>
    <sheet name="SC04근거" sheetId="36" r:id="rId36"/>
    <sheet name="SC04분석결과" sheetId="37" r:id="rId37"/>
    <sheet name="SC04예산과제" sheetId="38" r:id="rId38"/>
    <sheet name="SC04조건지시" sheetId="39" r:id="rId39"/>
    <sheet name="SC04회의" sheetId="40" r:id="rId40"/>
    <sheet name="SC04이벤트" sheetId="41" r:id="rId41"/>
    <sheet name="SC04인계" sheetId="42" r:id="rId42"/>
    <sheet name="SC04예외" sheetId="43" r:id="rId43"/>
    <sheet name="SC04계약" sheetId="44" r:id="rId44"/>
    <sheet name="SC04검증" sheetId="45" r:id="rId45"/>
    <sheet name="SC05요약" sheetId="46" r:id="rId46"/>
    <sheet name="SC05설정" sheetId="47" r:id="rId47"/>
    <sheet name="SC05계획" sheetId="48" r:id="rId48"/>
    <sheet name="SC05활동" sheetId="49" r:id="rId49"/>
    <sheet name="SC05조건품의" sheetId="50" r:id="rId50"/>
    <sheet name="SC05예산원장" sheetId="51" r:id="rId51"/>
    <sheet name="SC05예산" sheetId="52" r:id="rId52"/>
    <sheet name="SC05고객계획" sheetId="53" r:id="rId53"/>
    <sheet name="SC05변경공유" sheetId="54" r:id="rId54"/>
    <sheet name="SC05구매표본" sheetId="55" r:id="rId55"/>
    <sheet name="SC05초기지표" sheetId="56" r:id="rId56"/>
    <sheet name="SC05월효과" sheetId="57" r:id="rId57"/>
    <sheet name="SC05모델손익" sheetId="58" r:id="rId58"/>
    <sheet name="SC05월손익" sheetId="59" r:id="rId59"/>
    <sheet name="SC05이전공식" sheetId="60" r:id="rId60"/>
    <sheet name="SC05전망버전" sheetId="61" r:id="rId61"/>
    <sheet name="SC05변경대사" sheetId="62" r:id="rId62"/>
    <sheet name="SC05운영계획" sheetId="63" r:id="rId63"/>
    <sheet name="SC05근거" sheetId="64" r:id="rId64"/>
    <sheet name="SC05Agent" sheetId="65" r:id="rId65"/>
    <sheet name="SC05이벤트" sheetId="66" r:id="rId66"/>
    <sheet name="SC05인계" sheetId="67" r:id="rId67"/>
    <sheet name="SC05착수조건" sheetId="68" r:id="rId68"/>
    <sheet name="SC05예외" sheetId="69" r:id="rId69"/>
    <sheet name="SC05데이터계약" sheetId="70" r:id="rId70"/>
    <sheet name="SC05검증" sheetId="71" r:id="rId71"/>
    <sheet name="SC06요약" sheetId="72" r:id="rId72"/>
    <sheet name="SC06과제성과" sheetId="73" r:id="rId73"/>
    <sheet name="SC06원인집계" sheetId="74" r:id="rId74"/>
    <sheet name="SC06분기손익" sheetId="75" r:id="rId75"/>
    <sheet name="SC06기준" sheetId="76" r:id="rId76"/>
    <sheet name="SC06설정" sheetId="77" r:id="rId77"/>
    <sheet name="SC06실행실적" sheetId="78" r:id="rId78"/>
    <sheet name="SC06운영비" sheetId="79" r:id="rId79"/>
    <sheet name="SC06구매거래" sheetId="80" r:id="rId80"/>
    <sheet name="SC06변경근거" sheetId="81" r:id="rId81"/>
    <sheet name="SC06월효과" sheetId="82" r:id="rId82"/>
    <sheet name="SC06운영지표" sheetId="83" r:id="rId83"/>
    <sheet name="SC06완료판단" sheetId="84" r:id="rId84"/>
    <sheet name="SC06후속조치" sheetId="85" r:id="rId85"/>
    <sheet name="SC06근거" sheetId="86" r:id="rId86"/>
    <sheet name="SC06Agent" sheetId="87" r:id="rId87"/>
    <sheet name="SC06보고" sheetId="88" r:id="rId88"/>
    <sheet name="SC06화면매핑" sheetId="89" r:id="rId89"/>
    <sheet name="SC06데이터계약" sheetId="90" r:id="rId90"/>
    <sheet name="SC06예외" sheetId="91" r:id="rId91"/>
    <sheet name="SC06검증" sheetId="92" r:id="rId9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92" l="1"/>
  <c r="E22" i="92" s="1"/>
  <c r="D17" i="92"/>
  <c r="E17" i="92" s="1"/>
  <c r="D16" i="92"/>
  <c r="E16" i="92" s="1"/>
  <c r="D15" i="92"/>
  <c r="E15" i="92" s="1"/>
  <c r="D14" i="92"/>
  <c r="E14" i="92" s="1"/>
  <c r="C17" i="83"/>
  <c r="C16" i="83"/>
  <c r="C14" i="83"/>
  <c r="C13" i="83"/>
  <c r="C10" i="83"/>
  <c r="C7" i="83"/>
  <c r="C6" i="83"/>
  <c r="D10" i="92" s="1"/>
  <c r="E10" i="92" s="1"/>
  <c r="H14" i="82"/>
  <c r="E14" i="82"/>
  <c r="D14" i="82"/>
  <c r="H13" i="82"/>
  <c r="F13" i="82"/>
  <c r="E13" i="82"/>
  <c r="D13" i="82"/>
  <c r="H12" i="82"/>
  <c r="E12" i="82"/>
  <c r="D12" i="82"/>
  <c r="H11" i="82"/>
  <c r="E11" i="82"/>
  <c r="D11" i="82"/>
  <c r="H10" i="82"/>
  <c r="G10" i="82"/>
  <c r="F10" i="82"/>
  <c r="J10" i="82" s="1"/>
  <c r="K10" i="82" s="1"/>
  <c r="E10" i="82"/>
  <c r="D10" i="82"/>
  <c r="H9" i="82"/>
  <c r="E9" i="82"/>
  <c r="D9" i="82"/>
  <c r="H8" i="82"/>
  <c r="E8" i="82"/>
  <c r="D8" i="82"/>
  <c r="H7" i="82"/>
  <c r="G7" i="82"/>
  <c r="F7" i="82"/>
  <c r="J7" i="82" s="1"/>
  <c r="E7" i="82"/>
  <c r="D7" i="82"/>
  <c r="H6" i="82"/>
  <c r="F6" i="82"/>
  <c r="E6" i="82"/>
  <c r="G6" i="82" s="1"/>
  <c r="D6" i="82"/>
  <c r="I19" i="81"/>
  <c r="H19" i="81"/>
  <c r="I18" i="81"/>
  <c r="H18" i="81"/>
  <c r="I17" i="81"/>
  <c r="H17" i="81"/>
  <c r="I16" i="81"/>
  <c r="H16" i="81"/>
  <c r="I15" i="81"/>
  <c r="H15" i="81"/>
  <c r="I14" i="81"/>
  <c r="H14" i="81"/>
  <c r="I13" i="81"/>
  <c r="H13" i="81"/>
  <c r="I12" i="81"/>
  <c r="H12" i="81"/>
  <c r="I11" i="81"/>
  <c r="H11" i="81"/>
  <c r="I10" i="81"/>
  <c r="H10" i="81"/>
  <c r="I9" i="81"/>
  <c r="H9" i="81"/>
  <c r="I8" i="81"/>
  <c r="H8" i="81"/>
  <c r="I7" i="81"/>
  <c r="H7" i="81"/>
  <c r="I6" i="81"/>
  <c r="C12" i="83" s="1"/>
  <c r="D18" i="92" s="1"/>
  <c r="E18" i="92" s="1"/>
  <c r="H6" i="81"/>
  <c r="C11" i="83" s="1"/>
  <c r="J185" i="80"/>
  <c r="J184" i="80"/>
  <c r="J183" i="80"/>
  <c r="J182" i="80"/>
  <c r="J181" i="80"/>
  <c r="J180" i="80"/>
  <c r="J179" i="80"/>
  <c r="J178" i="80"/>
  <c r="J177" i="80"/>
  <c r="J176" i="80"/>
  <c r="J175" i="80"/>
  <c r="J174" i="80"/>
  <c r="J173" i="80"/>
  <c r="J172" i="80"/>
  <c r="J171" i="80"/>
  <c r="J170" i="80"/>
  <c r="J169" i="80"/>
  <c r="J168" i="80"/>
  <c r="J167" i="80"/>
  <c r="J166" i="80"/>
  <c r="J165" i="80"/>
  <c r="J164" i="80"/>
  <c r="J163" i="80"/>
  <c r="J162" i="80"/>
  <c r="J161" i="80"/>
  <c r="J160" i="80"/>
  <c r="J159" i="80"/>
  <c r="J158" i="80"/>
  <c r="J157" i="80"/>
  <c r="J156" i="80"/>
  <c r="J155" i="80"/>
  <c r="J154" i="80"/>
  <c r="J153" i="80"/>
  <c r="J152" i="80"/>
  <c r="J151" i="80"/>
  <c r="J150" i="80"/>
  <c r="J149" i="80"/>
  <c r="J148" i="80"/>
  <c r="J147" i="80"/>
  <c r="J146" i="80"/>
  <c r="J145" i="80"/>
  <c r="J144" i="80"/>
  <c r="J143" i="80"/>
  <c r="J142" i="80"/>
  <c r="J141" i="80"/>
  <c r="J140" i="80"/>
  <c r="J139" i="80"/>
  <c r="J138" i="80"/>
  <c r="J137" i="80"/>
  <c r="J136" i="80"/>
  <c r="J135" i="80"/>
  <c r="J134" i="80"/>
  <c r="J133" i="80"/>
  <c r="J132" i="80"/>
  <c r="J131" i="80"/>
  <c r="J130" i="80"/>
  <c r="J129" i="80"/>
  <c r="J128" i="80"/>
  <c r="J127" i="80"/>
  <c r="J126" i="80"/>
  <c r="J125" i="80"/>
  <c r="J124" i="80"/>
  <c r="J123" i="80"/>
  <c r="J122" i="80"/>
  <c r="J121" i="80"/>
  <c r="J120" i="80"/>
  <c r="J119" i="80"/>
  <c r="J118" i="80"/>
  <c r="J117" i="80"/>
  <c r="J116" i="80"/>
  <c r="J115" i="80"/>
  <c r="J114" i="80"/>
  <c r="J113" i="80"/>
  <c r="J112" i="80"/>
  <c r="J111" i="80"/>
  <c r="J110" i="80"/>
  <c r="J109" i="80"/>
  <c r="J108" i="80"/>
  <c r="J107" i="80"/>
  <c r="J106" i="80"/>
  <c r="J105" i="80"/>
  <c r="J104" i="80"/>
  <c r="J103" i="80"/>
  <c r="J102" i="80"/>
  <c r="J101" i="80"/>
  <c r="J100" i="80"/>
  <c r="J99" i="80"/>
  <c r="J98" i="80"/>
  <c r="J97" i="80"/>
  <c r="J96" i="80"/>
  <c r="J95" i="80"/>
  <c r="J94" i="80"/>
  <c r="J93" i="80"/>
  <c r="J92" i="80"/>
  <c r="J91" i="80"/>
  <c r="J90" i="80"/>
  <c r="J89" i="80"/>
  <c r="J88" i="80"/>
  <c r="J87" i="80"/>
  <c r="J86" i="80"/>
  <c r="J85" i="80"/>
  <c r="J84" i="80"/>
  <c r="J83" i="80"/>
  <c r="J82" i="80"/>
  <c r="J81" i="80"/>
  <c r="J80" i="80"/>
  <c r="J79" i="80"/>
  <c r="J78" i="80"/>
  <c r="J77" i="80"/>
  <c r="J76" i="80"/>
  <c r="J75" i="80"/>
  <c r="J74" i="80"/>
  <c r="J73" i="80"/>
  <c r="J72" i="80"/>
  <c r="J71" i="80"/>
  <c r="J70" i="80"/>
  <c r="J69" i="80"/>
  <c r="J68" i="80"/>
  <c r="J67" i="80"/>
  <c r="J66" i="80"/>
  <c r="J65" i="80"/>
  <c r="J64" i="80"/>
  <c r="J63" i="80"/>
  <c r="J62" i="80"/>
  <c r="J61" i="80"/>
  <c r="J60" i="80"/>
  <c r="J59" i="80"/>
  <c r="J58" i="80"/>
  <c r="J57" i="80"/>
  <c r="J56" i="80"/>
  <c r="J55" i="80"/>
  <c r="J54" i="80"/>
  <c r="J53" i="80"/>
  <c r="J52" i="80"/>
  <c r="J51" i="80"/>
  <c r="J50" i="80"/>
  <c r="J49" i="80"/>
  <c r="J48" i="80"/>
  <c r="J47" i="80"/>
  <c r="J46" i="80"/>
  <c r="J45" i="80"/>
  <c r="J44" i="80"/>
  <c r="J43" i="80"/>
  <c r="J42" i="80"/>
  <c r="J41" i="80"/>
  <c r="J40" i="80"/>
  <c r="J39" i="80"/>
  <c r="J38" i="80"/>
  <c r="J37" i="80"/>
  <c r="J36" i="80"/>
  <c r="J35" i="80"/>
  <c r="J34" i="80"/>
  <c r="J33" i="80"/>
  <c r="J32" i="80"/>
  <c r="J31" i="80"/>
  <c r="J30" i="80"/>
  <c r="J29" i="80"/>
  <c r="J28" i="80"/>
  <c r="J27" i="80"/>
  <c r="J26" i="80"/>
  <c r="J25" i="80"/>
  <c r="J24" i="80"/>
  <c r="J23" i="80"/>
  <c r="J22" i="80"/>
  <c r="J21" i="80"/>
  <c r="J20" i="80"/>
  <c r="J19" i="80"/>
  <c r="J18" i="80"/>
  <c r="J17" i="80"/>
  <c r="J16" i="80"/>
  <c r="J15" i="80"/>
  <c r="J14" i="80"/>
  <c r="J13" i="80"/>
  <c r="J12" i="80"/>
  <c r="J11" i="80"/>
  <c r="J10" i="80"/>
  <c r="J9" i="80"/>
  <c r="J8" i="80"/>
  <c r="J7" i="80"/>
  <c r="J6" i="80"/>
  <c r="D8" i="75"/>
  <c r="D7" i="75"/>
  <c r="D6" i="75"/>
  <c r="D9" i="75" s="1"/>
  <c r="D8" i="74"/>
  <c r="C8" i="74"/>
  <c r="D7" i="74"/>
  <c r="C7" i="74"/>
  <c r="D6" i="74"/>
  <c r="D9" i="74" s="1"/>
  <c r="C6" i="74"/>
  <c r="C9" i="74" s="1"/>
  <c r="E8" i="73"/>
  <c r="E7" i="73"/>
  <c r="B12" i="72" s="1"/>
  <c r="E6" i="73"/>
  <c r="E9" i="73" s="1"/>
  <c r="D28" i="71"/>
  <c r="E28" i="71" s="1"/>
  <c r="D24" i="71"/>
  <c r="E24" i="71" s="1"/>
  <c r="D23" i="71"/>
  <c r="E23" i="71" s="1"/>
  <c r="D19" i="71"/>
  <c r="E19" i="71" s="1"/>
  <c r="J10" i="68"/>
  <c r="K10" i="68" s="1"/>
  <c r="D25" i="71" s="1"/>
  <c r="E25" i="71" s="1"/>
  <c r="J9" i="68"/>
  <c r="K9" i="68" s="1"/>
  <c r="J8" i="68"/>
  <c r="K8" i="68" s="1"/>
  <c r="J7" i="68"/>
  <c r="K7" i="68" s="1"/>
  <c r="J6" i="68"/>
  <c r="K6" i="68" s="1"/>
  <c r="B6" i="62"/>
  <c r="J7" i="61"/>
  <c r="E17" i="59"/>
  <c r="E16" i="59"/>
  <c r="E15" i="59"/>
  <c r="E20" i="59" s="1"/>
  <c r="E14" i="59"/>
  <c r="D14" i="59"/>
  <c r="F14" i="59" s="1"/>
  <c r="E13" i="59"/>
  <c r="D13" i="59"/>
  <c r="F13" i="59" s="1"/>
  <c r="E12" i="59"/>
  <c r="E21" i="59" s="1"/>
  <c r="D12" i="59"/>
  <c r="E11" i="59"/>
  <c r="D11" i="59"/>
  <c r="F11" i="59" s="1"/>
  <c r="E10" i="59"/>
  <c r="D10" i="59"/>
  <c r="F10" i="59" s="1"/>
  <c r="E9" i="59"/>
  <c r="D9" i="59"/>
  <c r="F9" i="59" s="1"/>
  <c r="E8" i="59"/>
  <c r="F8" i="59" s="1"/>
  <c r="D8" i="59"/>
  <c r="E7" i="59"/>
  <c r="D7" i="59"/>
  <c r="F7" i="59" s="1"/>
  <c r="E6" i="59"/>
  <c r="D6" i="59"/>
  <c r="F65" i="58"/>
  <c r="E65" i="58"/>
  <c r="K65" i="58" s="1"/>
  <c r="F64" i="58"/>
  <c r="E64" i="58"/>
  <c r="K64" i="58" s="1"/>
  <c r="F63" i="58"/>
  <c r="E63" i="58"/>
  <c r="K63" i="58" s="1"/>
  <c r="F62" i="58"/>
  <c r="E62" i="58"/>
  <c r="K62" i="58" s="1"/>
  <c r="F61" i="58"/>
  <c r="E61" i="58"/>
  <c r="K61" i="58" s="1"/>
  <c r="L17" i="59" s="1"/>
  <c r="F60" i="58"/>
  <c r="E60" i="58"/>
  <c r="K60" i="58" s="1"/>
  <c r="F59" i="58"/>
  <c r="E59" i="58"/>
  <c r="K59" i="58" s="1"/>
  <c r="F58" i="58"/>
  <c r="E58" i="58"/>
  <c r="K58" i="58" s="1"/>
  <c r="F57" i="58"/>
  <c r="E57" i="58"/>
  <c r="K57" i="58" s="1"/>
  <c r="F56" i="58"/>
  <c r="E56" i="58"/>
  <c r="K56" i="58" s="1"/>
  <c r="L16" i="59" s="1"/>
  <c r="F55" i="58"/>
  <c r="E55" i="58"/>
  <c r="K55" i="58" s="1"/>
  <c r="F54" i="58"/>
  <c r="E54" i="58"/>
  <c r="K54" i="58" s="1"/>
  <c r="F53" i="58"/>
  <c r="E53" i="58"/>
  <c r="K53" i="58" s="1"/>
  <c r="F52" i="58"/>
  <c r="E52" i="58"/>
  <c r="K52" i="58" s="1"/>
  <c r="F51" i="58"/>
  <c r="E51" i="58"/>
  <c r="K51" i="58" s="1"/>
  <c r="L15" i="59" s="1"/>
  <c r="L20" i="59" s="1"/>
  <c r="K50" i="58"/>
  <c r="J50" i="58"/>
  <c r="K49" i="58"/>
  <c r="J49" i="58"/>
  <c r="K48" i="58"/>
  <c r="J48" i="58"/>
  <c r="K47" i="58"/>
  <c r="K46" i="58"/>
  <c r="L14" i="59" s="1"/>
  <c r="K45" i="58"/>
  <c r="J45" i="58"/>
  <c r="K44" i="58"/>
  <c r="J44" i="58"/>
  <c r="K43" i="58"/>
  <c r="J43" i="58"/>
  <c r="K42" i="58"/>
  <c r="K41" i="58"/>
  <c r="L13" i="59" s="1"/>
  <c r="K40" i="58"/>
  <c r="J40" i="58"/>
  <c r="K39" i="58"/>
  <c r="J39" i="58"/>
  <c r="K38" i="58"/>
  <c r="J38" i="58"/>
  <c r="K37" i="58"/>
  <c r="K36" i="58"/>
  <c r="L12" i="59" s="1"/>
  <c r="L21" i="59" s="1"/>
  <c r="K35" i="58"/>
  <c r="J35" i="58"/>
  <c r="K34" i="58"/>
  <c r="J34" i="58"/>
  <c r="K33" i="58"/>
  <c r="J33" i="58"/>
  <c r="K32" i="58"/>
  <c r="I32" i="58"/>
  <c r="J32" i="58" s="1"/>
  <c r="K31" i="58"/>
  <c r="L11" i="59" s="1"/>
  <c r="I31" i="58"/>
  <c r="K30" i="58"/>
  <c r="J30" i="58"/>
  <c r="K29" i="58"/>
  <c r="J29" i="58"/>
  <c r="K28" i="58"/>
  <c r="J28" i="58"/>
  <c r="K27" i="58"/>
  <c r="I27" i="58"/>
  <c r="K26" i="58"/>
  <c r="L10" i="59" s="1"/>
  <c r="I26" i="58"/>
  <c r="K25" i="58"/>
  <c r="J25" i="58"/>
  <c r="K24" i="58"/>
  <c r="J24" i="58"/>
  <c r="K23" i="58"/>
  <c r="J23" i="58"/>
  <c r="K22" i="58"/>
  <c r="I22" i="58"/>
  <c r="J22" i="58" s="1"/>
  <c r="K21" i="58"/>
  <c r="L9" i="59" s="1"/>
  <c r="I21" i="58"/>
  <c r="K20" i="58"/>
  <c r="J20" i="58"/>
  <c r="K19" i="58"/>
  <c r="J19" i="58"/>
  <c r="K18" i="58"/>
  <c r="J18" i="58"/>
  <c r="K17" i="58"/>
  <c r="I17" i="58"/>
  <c r="J17" i="58" s="1"/>
  <c r="K16" i="58"/>
  <c r="L8" i="59" s="1"/>
  <c r="I16" i="58"/>
  <c r="K15" i="58"/>
  <c r="J15" i="58"/>
  <c r="K14" i="58"/>
  <c r="J14" i="58"/>
  <c r="K13" i="58"/>
  <c r="J13" i="58"/>
  <c r="K12" i="58"/>
  <c r="I12" i="58"/>
  <c r="J12" i="58" s="1"/>
  <c r="K11" i="58"/>
  <c r="L7" i="59" s="1"/>
  <c r="I11" i="58"/>
  <c r="K10" i="58"/>
  <c r="J10" i="58"/>
  <c r="K9" i="58"/>
  <c r="J9" i="58"/>
  <c r="K8" i="58"/>
  <c r="J8" i="58"/>
  <c r="K7" i="58"/>
  <c r="I7" i="58"/>
  <c r="J7" i="58" s="1"/>
  <c r="K6" i="58"/>
  <c r="L6" i="59" s="1"/>
  <c r="I6" i="58"/>
  <c r="N23" i="57"/>
  <c r="L22" i="57"/>
  <c r="K22" i="57"/>
  <c r="J22" i="57"/>
  <c r="I22" i="57"/>
  <c r="N22" i="57" s="1"/>
  <c r="I62" i="58" s="1"/>
  <c r="N21" i="57"/>
  <c r="I61" i="58" s="1"/>
  <c r="G17" i="59" s="1"/>
  <c r="N20" i="57"/>
  <c r="N19" i="57"/>
  <c r="I57" i="58" s="1"/>
  <c r="L19" i="57"/>
  <c r="K19" i="57"/>
  <c r="J19" i="57"/>
  <c r="I19" i="57"/>
  <c r="N18" i="57"/>
  <c r="I56" i="58" s="1"/>
  <c r="G16" i="59" s="1"/>
  <c r="N17" i="57"/>
  <c r="L16" i="57"/>
  <c r="K16" i="57"/>
  <c r="J16" i="57"/>
  <c r="I16" i="57"/>
  <c r="N16" i="57" s="1"/>
  <c r="I52" i="58" s="1"/>
  <c r="N15" i="57"/>
  <c r="M14" i="57"/>
  <c r="N14" i="57" s="1"/>
  <c r="K13" i="57"/>
  <c r="I13" i="57"/>
  <c r="N12" i="57"/>
  <c r="I46" i="58" s="1"/>
  <c r="N11" i="57"/>
  <c r="M10" i="57"/>
  <c r="K10" i="57"/>
  <c r="N10" i="57" s="1"/>
  <c r="I42" i="58" s="1"/>
  <c r="J42" i="58" s="1"/>
  <c r="N9" i="57"/>
  <c r="I41" i="58" s="1"/>
  <c r="N8" i="57"/>
  <c r="K7" i="57"/>
  <c r="N7" i="57" s="1"/>
  <c r="I37" i="58" s="1"/>
  <c r="J37" i="58" s="1"/>
  <c r="M6" i="57"/>
  <c r="N6" i="57" s="1"/>
  <c r="I36" i="58" s="1"/>
  <c r="C19" i="56"/>
  <c r="C18" i="56"/>
  <c r="D11" i="71" s="1"/>
  <c r="E11" i="71" s="1"/>
  <c r="C14" i="56"/>
  <c r="C13" i="56"/>
  <c r="C11" i="56"/>
  <c r="L13" i="57" s="1"/>
  <c r="C10" i="56"/>
  <c r="C7" i="56"/>
  <c r="C6" i="56"/>
  <c r="J65" i="55"/>
  <c r="J64" i="55"/>
  <c r="J63" i="55"/>
  <c r="J62" i="55"/>
  <c r="J61" i="55"/>
  <c r="J60" i="55"/>
  <c r="J59" i="55"/>
  <c r="J58" i="55"/>
  <c r="J57" i="55"/>
  <c r="J56" i="55"/>
  <c r="J55" i="55"/>
  <c r="J54" i="55"/>
  <c r="J53" i="55"/>
  <c r="J52" i="55"/>
  <c r="J51" i="55"/>
  <c r="J50" i="55"/>
  <c r="J49" i="55"/>
  <c r="J48" i="55"/>
  <c r="J47" i="55"/>
  <c r="J46" i="55"/>
  <c r="J45" i="55"/>
  <c r="J44" i="55"/>
  <c r="J43" i="55"/>
  <c r="J42" i="55"/>
  <c r="J41" i="55"/>
  <c r="J40" i="55"/>
  <c r="J39" i="55"/>
  <c r="J38" i="55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C9" i="56" s="1"/>
  <c r="O11" i="54"/>
  <c r="P11" i="54" s="1"/>
  <c r="N11" i="54"/>
  <c r="O10" i="54"/>
  <c r="P10" i="54" s="1"/>
  <c r="N10" i="54"/>
  <c r="O9" i="54"/>
  <c r="N9" i="54"/>
  <c r="C15" i="56" s="1"/>
  <c r="O8" i="54"/>
  <c r="P8" i="54" s="1"/>
  <c r="N8" i="54"/>
  <c r="O7" i="54"/>
  <c r="P7" i="54" s="1"/>
  <c r="N7" i="54"/>
  <c r="O6" i="54"/>
  <c r="P6" i="54" s="1"/>
  <c r="N6" i="54"/>
  <c r="N15" i="53"/>
  <c r="N14" i="53"/>
  <c r="N13" i="53"/>
  <c r="N12" i="53"/>
  <c r="N11" i="53"/>
  <c r="N10" i="53"/>
  <c r="N9" i="53"/>
  <c r="N8" i="53"/>
  <c r="N7" i="53"/>
  <c r="N6" i="53"/>
  <c r="D8" i="52"/>
  <c r="C8" i="52"/>
  <c r="B8" i="52"/>
  <c r="E8" i="52" s="1"/>
  <c r="D7" i="52"/>
  <c r="C7" i="52"/>
  <c r="B7" i="52"/>
  <c r="E7" i="52" s="1"/>
  <c r="D6" i="52"/>
  <c r="D9" i="52" s="1"/>
  <c r="D20" i="71" s="1"/>
  <c r="E20" i="71" s="1"/>
  <c r="C6" i="52"/>
  <c r="C9" i="52" s="1"/>
  <c r="D21" i="71" s="1"/>
  <c r="E21" i="71" s="1"/>
  <c r="B6" i="52"/>
  <c r="B8" i="46"/>
  <c r="D18" i="45"/>
  <c r="E18" i="45" s="1"/>
  <c r="F18" i="45" s="1"/>
  <c r="D17" i="45"/>
  <c r="E17" i="45" s="1"/>
  <c r="F17" i="45" s="1"/>
  <c r="D14" i="45"/>
  <c r="E14" i="45" s="1"/>
  <c r="F14" i="45" s="1"/>
  <c r="H9" i="38"/>
  <c r="G9" i="38"/>
  <c r="F9" i="38"/>
  <c r="I9" i="38" s="1"/>
  <c r="D15" i="45" s="1"/>
  <c r="E15" i="45" s="1"/>
  <c r="F15" i="45" s="1"/>
  <c r="I8" i="38"/>
  <c r="I7" i="38"/>
  <c r="I6" i="38"/>
  <c r="D17" i="37"/>
  <c r="C17" i="37"/>
  <c r="B17" i="37"/>
  <c r="E17" i="37" s="1"/>
  <c r="D16" i="37"/>
  <c r="C16" i="37"/>
  <c r="B16" i="37"/>
  <c r="E16" i="37" s="1"/>
  <c r="D15" i="37"/>
  <c r="C15" i="37"/>
  <c r="B15" i="37"/>
  <c r="E15" i="37" s="1"/>
  <c r="D14" i="37"/>
  <c r="C14" i="37"/>
  <c r="B14" i="37"/>
  <c r="E14" i="37" s="1"/>
  <c r="D13" i="37"/>
  <c r="C13" i="37"/>
  <c r="B13" i="37"/>
  <c r="E13" i="37" s="1"/>
  <c r="E18" i="37" s="1"/>
  <c r="D7" i="45" s="1"/>
  <c r="E7" i="45" s="1"/>
  <c r="F7" i="45" s="1"/>
  <c r="M41" i="35"/>
  <c r="N41" i="35" s="1"/>
  <c r="L41" i="35"/>
  <c r="F41" i="35"/>
  <c r="E41" i="35"/>
  <c r="M40" i="35"/>
  <c r="N40" i="35" s="1"/>
  <c r="L40" i="35"/>
  <c r="E40" i="35"/>
  <c r="F40" i="35" s="1"/>
  <c r="M39" i="35"/>
  <c r="N39" i="35" s="1"/>
  <c r="L39" i="35"/>
  <c r="E39" i="35"/>
  <c r="F39" i="35" s="1"/>
  <c r="M38" i="35"/>
  <c r="N38" i="35" s="1"/>
  <c r="L38" i="35"/>
  <c r="E38" i="35"/>
  <c r="F38" i="35" s="1"/>
  <c r="M37" i="35"/>
  <c r="N37" i="35" s="1"/>
  <c r="L37" i="35"/>
  <c r="E37" i="35"/>
  <c r="F37" i="35" s="1"/>
  <c r="M36" i="35"/>
  <c r="N36" i="35" s="1"/>
  <c r="L36" i="35"/>
  <c r="E36" i="35"/>
  <c r="F36" i="35" s="1"/>
  <c r="N35" i="35"/>
  <c r="M35" i="35"/>
  <c r="L35" i="35"/>
  <c r="F35" i="35"/>
  <c r="E35" i="35"/>
  <c r="M34" i="35"/>
  <c r="N34" i="35" s="1"/>
  <c r="L34" i="35"/>
  <c r="E34" i="35"/>
  <c r="F34" i="35" s="1"/>
  <c r="M33" i="35"/>
  <c r="N33" i="35" s="1"/>
  <c r="L33" i="35"/>
  <c r="E33" i="35"/>
  <c r="F33" i="35" s="1"/>
  <c r="M32" i="35"/>
  <c r="N32" i="35" s="1"/>
  <c r="L32" i="35"/>
  <c r="E32" i="35"/>
  <c r="F32" i="35" s="1"/>
  <c r="M31" i="35"/>
  <c r="N31" i="35" s="1"/>
  <c r="L31" i="35"/>
  <c r="E31" i="35"/>
  <c r="F31" i="35" s="1"/>
  <c r="M30" i="35"/>
  <c r="N30" i="35" s="1"/>
  <c r="L30" i="35"/>
  <c r="E30" i="35"/>
  <c r="F30" i="35" s="1"/>
  <c r="M29" i="35"/>
  <c r="N29" i="35" s="1"/>
  <c r="L29" i="35"/>
  <c r="E29" i="35"/>
  <c r="F29" i="35" s="1"/>
  <c r="M28" i="35"/>
  <c r="N28" i="35" s="1"/>
  <c r="L28" i="35"/>
  <c r="E28" i="35"/>
  <c r="F28" i="35" s="1"/>
  <c r="M27" i="35"/>
  <c r="N27" i="35" s="1"/>
  <c r="L27" i="35"/>
  <c r="E27" i="35"/>
  <c r="F27" i="35" s="1"/>
  <c r="M26" i="35"/>
  <c r="N26" i="35" s="1"/>
  <c r="L26" i="35"/>
  <c r="E26" i="35"/>
  <c r="F26" i="35" s="1"/>
  <c r="M25" i="35"/>
  <c r="N25" i="35" s="1"/>
  <c r="L25" i="35"/>
  <c r="E25" i="35"/>
  <c r="F25" i="35" s="1"/>
  <c r="M24" i="35"/>
  <c r="N24" i="35" s="1"/>
  <c r="D16" i="45" s="1"/>
  <c r="E16" i="45" s="1"/>
  <c r="F16" i="45" s="1"/>
  <c r="L24" i="35"/>
  <c r="E24" i="35"/>
  <c r="F24" i="35" s="1"/>
  <c r="M23" i="35"/>
  <c r="N23" i="35" s="1"/>
  <c r="L23" i="35"/>
  <c r="E23" i="35"/>
  <c r="F23" i="35" s="1"/>
  <c r="M22" i="35"/>
  <c r="N22" i="35" s="1"/>
  <c r="L22" i="35"/>
  <c r="E22" i="35"/>
  <c r="F22" i="35" s="1"/>
  <c r="M21" i="35"/>
  <c r="N21" i="35" s="1"/>
  <c r="L21" i="35"/>
  <c r="E21" i="35"/>
  <c r="F21" i="35" s="1"/>
  <c r="M20" i="35"/>
  <c r="N20" i="35" s="1"/>
  <c r="L20" i="35"/>
  <c r="E20" i="35"/>
  <c r="F20" i="35" s="1"/>
  <c r="M19" i="35"/>
  <c r="N19" i="35" s="1"/>
  <c r="L19" i="35"/>
  <c r="E19" i="35"/>
  <c r="F19" i="35" s="1"/>
  <c r="M18" i="35"/>
  <c r="N18" i="35" s="1"/>
  <c r="L18" i="35"/>
  <c r="E18" i="35"/>
  <c r="F18" i="35" s="1"/>
  <c r="M17" i="35"/>
  <c r="N17" i="35" s="1"/>
  <c r="L17" i="35"/>
  <c r="E17" i="35"/>
  <c r="F17" i="35" s="1"/>
  <c r="M16" i="35"/>
  <c r="N16" i="35" s="1"/>
  <c r="L16" i="35"/>
  <c r="E16" i="35"/>
  <c r="F16" i="35" s="1"/>
  <c r="M15" i="35"/>
  <c r="N15" i="35" s="1"/>
  <c r="L15" i="35"/>
  <c r="E15" i="35"/>
  <c r="F15" i="35" s="1"/>
  <c r="M14" i="35"/>
  <c r="N14" i="35" s="1"/>
  <c r="L14" i="35"/>
  <c r="E14" i="35"/>
  <c r="F14" i="35" s="1"/>
  <c r="M13" i="35"/>
  <c r="N13" i="35" s="1"/>
  <c r="L13" i="35"/>
  <c r="E13" i="35"/>
  <c r="F13" i="35" s="1"/>
  <c r="M12" i="35"/>
  <c r="N12" i="35" s="1"/>
  <c r="L12" i="35"/>
  <c r="E12" i="35"/>
  <c r="F12" i="35" s="1"/>
  <c r="M11" i="35"/>
  <c r="N11" i="35" s="1"/>
  <c r="L11" i="35"/>
  <c r="E11" i="35"/>
  <c r="F11" i="35" s="1"/>
  <c r="M10" i="35"/>
  <c r="N10" i="35" s="1"/>
  <c r="L10" i="35"/>
  <c r="E10" i="35"/>
  <c r="F10" i="35" s="1"/>
  <c r="M9" i="35"/>
  <c r="N9" i="35" s="1"/>
  <c r="L9" i="35"/>
  <c r="E9" i="35"/>
  <c r="F9" i="35" s="1"/>
  <c r="M8" i="35"/>
  <c r="N8" i="35" s="1"/>
  <c r="L8" i="35"/>
  <c r="E8" i="35"/>
  <c r="F8" i="35" s="1"/>
  <c r="M7" i="35"/>
  <c r="N7" i="35" s="1"/>
  <c r="L7" i="35"/>
  <c r="E7" i="35"/>
  <c r="F7" i="35" s="1"/>
  <c r="M6" i="35"/>
  <c r="N6" i="35" s="1"/>
  <c r="L6" i="35"/>
  <c r="E6" i="35"/>
  <c r="F6" i="35" s="1"/>
  <c r="S8" i="34"/>
  <c r="T8" i="34" s="1"/>
  <c r="F8" i="32" s="1"/>
  <c r="S7" i="34"/>
  <c r="T7" i="34" s="1"/>
  <c r="F7" i="32" s="1"/>
  <c r="S6" i="34"/>
  <c r="T6" i="34" s="1"/>
  <c r="F6" i="32" s="1"/>
  <c r="F9" i="32" s="1"/>
  <c r="E11" i="33"/>
  <c r="D11" i="33"/>
  <c r="E10" i="33"/>
  <c r="D10" i="33"/>
  <c r="E9" i="33"/>
  <c r="D9" i="33"/>
  <c r="E8" i="33"/>
  <c r="D8" i="33"/>
  <c r="E7" i="33"/>
  <c r="D7" i="33"/>
  <c r="E6" i="33"/>
  <c r="D6" i="33"/>
  <c r="D16" i="29"/>
  <c r="E16" i="29" s="1"/>
  <c r="D13" i="29"/>
  <c r="E13" i="29" s="1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D15" i="29" s="1"/>
  <c r="E15" i="29" s="1"/>
  <c r="B16" i="17"/>
  <c r="B15" i="17"/>
  <c r="B14" i="17"/>
  <c r="D10" i="29" s="1"/>
  <c r="E10" i="29" s="1"/>
  <c r="B13" i="17"/>
  <c r="D9" i="29" s="1"/>
  <c r="E9" i="29" s="1"/>
  <c r="B12" i="17"/>
  <c r="D8" i="29" s="1"/>
  <c r="E8" i="29" s="1"/>
  <c r="D21" i="16"/>
  <c r="E21" i="16" s="1"/>
  <c r="F21" i="16" s="1"/>
  <c r="D18" i="16"/>
  <c r="E18" i="16" s="1"/>
  <c r="F18" i="16" s="1"/>
  <c r="D13" i="16"/>
  <c r="E13" i="16" s="1"/>
  <c r="F13" i="16" s="1"/>
  <c r="I17" i="13"/>
  <c r="H17" i="13"/>
  <c r="I16" i="13"/>
  <c r="H16" i="13"/>
  <c r="I15" i="13"/>
  <c r="H15" i="13"/>
  <c r="I14" i="13"/>
  <c r="H14" i="13"/>
  <c r="I9" i="13"/>
  <c r="H9" i="13"/>
  <c r="I8" i="13"/>
  <c r="H8" i="13"/>
  <c r="B11" i="12"/>
  <c r="H10" i="10"/>
  <c r="H9" i="10"/>
  <c r="G10" i="9"/>
  <c r="F10" i="9"/>
  <c r="E10" i="9"/>
  <c r="G9" i="9"/>
  <c r="F9" i="9"/>
  <c r="E9" i="9"/>
  <c r="G8" i="9"/>
  <c r="F8" i="9"/>
  <c r="E8" i="9"/>
  <c r="G7" i="9"/>
  <c r="F7" i="9"/>
  <c r="E7" i="9"/>
  <c r="G6" i="9"/>
  <c r="F6" i="9"/>
  <c r="E6" i="9"/>
  <c r="F10" i="8"/>
  <c r="G10" i="8" s="1"/>
  <c r="E10" i="8"/>
  <c r="F9" i="8"/>
  <c r="G9" i="8" s="1"/>
  <c r="E9" i="8"/>
  <c r="F8" i="8"/>
  <c r="G8" i="8" s="1"/>
  <c r="E8" i="8"/>
  <c r="F7" i="8"/>
  <c r="G7" i="8" s="1"/>
  <c r="E7" i="8"/>
  <c r="F6" i="8"/>
  <c r="G6" i="8" s="1"/>
  <c r="D14" i="16" s="1"/>
  <c r="E14" i="16" s="1"/>
  <c r="F14" i="16" s="1"/>
  <c r="E6" i="8"/>
  <c r="B24" i="7"/>
  <c r="B23" i="7"/>
  <c r="B22" i="7"/>
  <c r="B21" i="7"/>
  <c r="B20" i="7"/>
  <c r="B19" i="7"/>
  <c r="B18" i="7"/>
  <c r="J100" i="6"/>
  <c r="I100" i="6"/>
  <c r="T100" i="5" s="1"/>
  <c r="H100" i="6"/>
  <c r="G100" i="5" s="1"/>
  <c r="G100" i="6"/>
  <c r="F100" i="5" s="1"/>
  <c r="H100" i="5" s="1"/>
  <c r="E100" i="6"/>
  <c r="J99" i="6"/>
  <c r="I99" i="6"/>
  <c r="T99" i="5" s="1"/>
  <c r="H99" i="6"/>
  <c r="G99" i="5" s="1"/>
  <c r="G99" i="6"/>
  <c r="F99" i="5" s="1"/>
  <c r="H99" i="5" s="1"/>
  <c r="E99" i="6"/>
  <c r="J98" i="6"/>
  <c r="I98" i="6"/>
  <c r="T98" i="5" s="1"/>
  <c r="H98" i="6"/>
  <c r="G98" i="5" s="1"/>
  <c r="G98" i="6"/>
  <c r="F98" i="5" s="1"/>
  <c r="H98" i="5" s="1"/>
  <c r="E98" i="6"/>
  <c r="J97" i="6"/>
  <c r="I97" i="6"/>
  <c r="T97" i="5" s="1"/>
  <c r="H97" i="6"/>
  <c r="G97" i="5" s="1"/>
  <c r="G97" i="6"/>
  <c r="F97" i="5" s="1"/>
  <c r="H97" i="5" s="1"/>
  <c r="E97" i="6"/>
  <c r="J96" i="6"/>
  <c r="I96" i="6"/>
  <c r="T96" i="5" s="1"/>
  <c r="H96" i="6"/>
  <c r="G96" i="5" s="1"/>
  <c r="G96" i="6"/>
  <c r="F96" i="5" s="1"/>
  <c r="H96" i="5" s="1"/>
  <c r="E96" i="6"/>
  <c r="J95" i="6"/>
  <c r="I95" i="6"/>
  <c r="T95" i="5" s="1"/>
  <c r="H95" i="6"/>
  <c r="G95" i="5" s="1"/>
  <c r="G95" i="6"/>
  <c r="F95" i="5" s="1"/>
  <c r="H95" i="5" s="1"/>
  <c r="E95" i="6"/>
  <c r="J94" i="6"/>
  <c r="I94" i="6"/>
  <c r="T94" i="5" s="1"/>
  <c r="H94" i="6"/>
  <c r="G94" i="5" s="1"/>
  <c r="G94" i="6"/>
  <c r="F94" i="5" s="1"/>
  <c r="H94" i="5" s="1"/>
  <c r="E94" i="6"/>
  <c r="J93" i="6"/>
  <c r="I93" i="6"/>
  <c r="T93" i="5" s="1"/>
  <c r="H93" i="6"/>
  <c r="G93" i="5" s="1"/>
  <c r="G93" i="6"/>
  <c r="F93" i="5" s="1"/>
  <c r="E93" i="6"/>
  <c r="J92" i="6"/>
  <c r="I92" i="6"/>
  <c r="T92" i="5" s="1"/>
  <c r="H92" i="6"/>
  <c r="G92" i="5" s="1"/>
  <c r="G92" i="6"/>
  <c r="F92" i="5" s="1"/>
  <c r="H92" i="5" s="1"/>
  <c r="E92" i="6"/>
  <c r="J91" i="6"/>
  <c r="I91" i="6"/>
  <c r="T91" i="5" s="1"/>
  <c r="H91" i="6"/>
  <c r="G91" i="5" s="1"/>
  <c r="G91" i="6"/>
  <c r="F91" i="5" s="1"/>
  <c r="H91" i="5" s="1"/>
  <c r="E91" i="6"/>
  <c r="J90" i="6"/>
  <c r="I90" i="6"/>
  <c r="T90" i="5" s="1"/>
  <c r="H90" i="6"/>
  <c r="G90" i="5" s="1"/>
  <c r="G90" i="6"/>
  <c r="F90" i="5" s="1"/>
  <c r="H90" i="5" s="1"/>
  <c r="E90" i="6"/>
  <c r="J89" i="6"/>
  <c r="I89" i="6"/>
  <c r="T89" i="5" s="1"/>
  <c r="H89" i="6"/>
  <c r="G89" i="5" s="1"/>
  <c r="G89" i="6"/>
  <c r="F89" i="5" s="1"/>
  <c r="H89" i="5" s="1"/>
  <c r="E89" i="6"/>
  <c r="J88" i="6"/>
  <c r="I88" i="6"/>
  <c r="T88" i="5" s="1"/>
  <c r="H88" i="6"/>
  <c r="G88" i="5" s="1"/>
  <c r="G88" i="6"/>
  <c r="F88" i="5" s="1"/>
  <c r="H88" i="5" s="1"/>
  <c r="E88" i="6"/>
  <c r="J87" i="6"/>
  <c r="I87" i="6"/>
  <c r="T87" i="5" s="1"/>
  <c r="H87" i="6"/>
  <c r="G87" i="5" s="1"/>
  <c r="G87" i="6"/>
  <c r="F87" i="5" s="1"/>
  <c r="H87" i="5" s="1"/>
  <c r="E87" i="6"/>
  <c r="J86" i="6"/>
  <c r="I86" i="6"/>
  <c r="T86" i="5" s="1"/>
  <c r="H86" i="6"/>
  <c r="G86" i="5" s="1"/>
  <c r="G86" i="6"/>
  <c r="F86" i="5" s="1"/>
  <c r="H86" i="5" s="1"/>
  <c r="E86" i="6"/>
  <c r="J85" i="6"/>
  <c r="I85" i="6"/>
  <c r="T85" i="5" s="1"/>
  <c r="H85" i="6"/>
  <c r="G85" i="5" s="1"/>
  <c r="G85" i="6"/>
  <c r="F85" i="5" s="1"/>
  <c r="H85" i="5" s="1"/>
  <c r="E85" i="6"/>
  <c r="J84" i="6"/>
  <c r="I84" i="6"/>
  <c r="T84" i="5" s="1"/>
  <c r="H84" i="6"/>
  <c r="G84" i="5" s="1"/>
  <c r="G84" i="6"/>
  <c r="F84" i="5" s="1"/>
  <c r="H84" i="5" s="1"/>
  <c r="E84" i="6"/>
  <c r="J83" i="6"/>
  <c r="I83" i="6"/>
  <c r="T83" i="5" s="1"/>
  <c r="H83" i="6"/>
  <c r="G83" i="5" s="1"/>
  <c r="G83" i="6"/>
  <c r="F83" i="5" s="1"/>
  <c r="H83" i="5" s="1"/>
  <c r="E83" i="6"/>
  <c r="J82" i="6"/>
  <c r="I82" i="6"/>
  <c r="H82" i="6"/>
  <c r="G82" i="6"/>
  <c r="E82" i="6"/>
  <c r="F82" i="6" s="1"/>
  <c r="J81" i="6"/>
  <c r="I81" i="6"/>
  <c r="H81" i="6"/>
  <c r="G81" i="6"/>
  <c r="E81" i="6"/>
  <c r="F81" i="6" s="1"/>
  <c r="J80" i="6"/>
  <c r="I80" i="6"/>
  <c r="H80" i="6"/>
  <c r="G80" i="6"/>
  <c r="E80" i="6"/>
  <c r="F80" i="6" s="1"/>
  <c r="J79" i="6"/>
  <c r="I79" i="6"/>
  <c r="H79" i="6"/>
  <c r="G79" i="6"/>
  <c r="E79" i="6"/>
  <c r="F79" i="6" s="1"/>
  <c r="J78" i="6"/>
  <c r="I78" i="6"/>
  <c r="H78" i="6"/>
  <c r="G78" i="6"/>
  <c r="E78" i="6"/>
  <c r="F78" i="6" s="1"/>
  <c r="J77" i="6"/>
  <c r="I77" i="6"/>
  <c r="H77" i="6"/>
  <c r="G77" i="6"/>
  <c r="E77" i="6"/>
  <c r="F77" i="6" s="1"/>
  <c r="J76" i="6"/>
  <c r="I76" i="6"/>
  <c r="H76" i="6"/>
  <c r="G76" i="6"/>
  <c r="E76" i="6"/>
  <c r="F76" i="6" s="1"/>
  <c r="J75" i="6"/>
  <c r="I75" i="6"/>
  <c r="H75" i="6"/>
  <c r="G75" i="6"/>
  <c r="E75" i="6"/>
  <c r="F75" i="6" s="1"/>
  <c r="J74" i="6"/>
  <c r="I74" i="6"/>
  <c r="H74" i="6"/>
  <c r="G74" i="6"/>
  <c r="E74" i="6"/>
  <c r="F74" i="6" s="1"/>
  <c r="J73" i="6"/>
  <c r="I73" i="6"/>
  <c r="H73" i="6"/>
  <c r="G73" i="6"/>
  <c r="E73" i="6"/>
  <c r="F73" i="6" s="1"/>
  <c r="J72" i="6"/>
  <c r="I72" i="6"/>
  <c r="H72" i="6"/>
  <c r="G72" i="6"/>
  <c r="E72" i="6"/>
  <c r="F72" i="6" s="1"/>
  <c r="J71" i="6"/>
  <c r="I71" i="6"/>
  <c r="H71" i="6"/>
  <c r="G71" i="6"/>
  <c r="E71" i="6"/>
  <c r="F71" i="6" s="1"/>
  <c r="J70" i="6"/>
  <c r="I70" i="6"/>
  <c r="H70" i="6"/>
  <c r="G70" i="6"/>
  <c r="E70" i="6"/>
  <c r="F70" i="6" s="1"/>
  <c r="J69" i="6"/>
  <c r="I69" i="6"/>
  <c r="H69" i="6"/>
  <c r="G69" i="6"/>
  <c r="E69" i="6"/>
  <c r="F69" i="6" s="1"/>
  <c r="J68" i="6"/>
  <c r="I68" i="6"/>
  <c r="H68" i="6"/>
  <c r="G68" i="6"/>
  <c r="F68" i="5" s="1"/>
  <c r="H68" i="5" s="1"/>
  <c r="E68" i="6"/>
  <c r="J67" i="6"/>
  <c r="I67" i="6"/>
  <c r="T67" i="5" s="1"/>
  <c r="H67" i="6"/>
  <c r="G67" i="6"/>
  <c r="E67" i="6"/>
  <c r="F67" i="6" s="1"/>
  <c r="J66" i="6"/>
  <c r="I66" i="6"/>
  <c r="H66" i="6"/>
  <c r="G66" i="6"/>
  <c r="E66" i="6"/>
  <c r="F66" i="6" s="1"/>
  <c r="R100" i="5"/>
  <c r="I100" i="5"/>
  <c r="C100" i="5"/>
  <c r="B100" i="5"/>
  <c r="A100" i="5"/>
  <c r="R99" i="5"/>
  <c r="I99" i="5"/>
  <c r="C99" i="5"/>
  <c r="B99" i="5"/>
  <c r="A99" i="5"/>
  <c r="R98" i="5"/>
  <c r="I98" i="5"/>
  <c r="C98" i="5"/>
  <c r="B98" i="5"/>
  <c r="A98" i="5"/>
  <c r="R97" i="5"/>
  <c r="I97" i="5"/>
  <c r="C97" i="5"/>
  <c r="B97" i="5"/>
  <c r="A97" i="5"/>
  <c r="R96" i="5"/>
  <c r="I96" i="5"/>
  <c r="C96" i="5"/>
  <c r="B96" i="5"/>
  <c r="A96" i="5"/>
  <c r="R95" i="5"/>
  <c r="I95" i="5"/>
  <c r="C95" i="5"/>
  <c r="B95" i="5"/>
  <c r="A95" i="5"/>
  <c r="R94" i="5"/>
  <c r="I94" i="5"/>
  <c r="C94" i="5"/>
  <c r="B94" i="5"/>
  <c r="A94" i="5"/>
  <c r="R93" i="5"/>
  <c r="I93" i="5"/>
  <c r="C93" i="5"/>
  <c r="B93" i="5"/>
  <c r="A93" i="5"/>
  <c r="R92" i="5"/>
  <c r="I92" i="5"/>
  <c r="C92" i="5"/>
  <c r="B92" i="5"/>
  <c r="A92" i="5"/>
  <c r="R91" i="5"/>
  <c r="I91" i="5"/>
  <c r="C91" i="5"/>
  <c r="B91" i="5"/>
  <c r="A91" i="5"/>
  <c r="R90" i="5"/>
  <c r="I90" i="5"/>
  <c r="C90" i="5"/>
  <c r="B90" i="5"/>
  <c r="A90" i="5"/>
  <c r="R89" i="5"/>
  <c r="I89" i="5"/>
  <c r="C89" i="5"/>
  <c r="B89" i="5"/>
  <c r="A89" i="5"/>
  <c r="R88" i="5"/>
  <c r="I88" i="5"/>
  <c r="C88" i="5"/>
  <c r="B88" i="5"/>
  <c r="A88" i="5"/>
  <c r="R87" i="5"/>
  <c r="I87" i="5"/>
  <c r="C87" i="5"/>
  <c r="B87" i="5"/>
  <c r="A87" i="5"/>
  <c r="R86" i="5"/>
  <c r="I86" i="5"/>
  <c r="C86" i="5"/>
  <c r="B86" i="5"/>
  <c r="A86" i="5"/>
  <c r="R85" i="5"/>
  <c r="I85" i="5"/>
  <c r="C85" i="5"/>
  <c r="B85" i="5"/>
  <c r="A85" i="5"/>
  <c r="R84" i="5"/>
  <c r="I84" i="5"/>
  <c r="C84" i="5"/>
  <c r="B84" i="5"/>
  <c r="A84" i="5"/>
  <c r="R83" i="5"/>
  <c r="I83" i="5"/>
  <c r="C83" i="5"/>
  <c r="B83" i="5"/>
  <c r="A83" i="5"/>
  <c r="R82" i="5"/>
  <c r="I82" i="5"/>
  <c r="F82" i="5"/>
  <c r="D82" i="5"/>
  <c r="C82" i="5"/>
  <c r="B82" i="5"/>
  <c r="A82" i="5"/>
  <c r="U82" i="5" s="1"/>
  <c r="R81" i="5"/>
  <c r="I81" i="5"/>
  <c r="G81" i="5"/>
  <c r="F81" i="5"/>
  <c r="H81" i="5" s="1"/>
  <c r="D81" i="5"/>
  <c r="K81" i="5" s="1"/>
  <c r="C81" i="5"/>
  <c r="B81" i="5"/>
  <c r="A81" i="5"/>
  <c r="U81" i="5" s="1"/>
  <c r="R80" i="5"/>
  <c r="I80" i="5"/>
  <c r="G80" i="5"/>
  <c r="F80" i="5"/>
  <c r="H80" i="5" s="1"/>
  <c r="D80" i="5"/>
  <c r="K80" i="5" s="1"/>
  <c r="C80" i="5"/>
  <c r="B80" i="5"/>
  <c r="A80" i="5"/>
  <c r="U80" i="5" s="1"/>
  <c r="R79" i="5"/>
  <c r="I79" i="5"/>
  <c r="G79" i="5"/>
  <c r="F79" i="5"/>
  <c r="H79" i="5" s="1"/>
  <c r="D79" i="5"/>
  <c r="K79" i="5" s="1"/>
  <c r="C79" i="5"/>
  <c r="B79" i="5"/>
  <c r="A79" i="5"/>
  <c r="U79" i="5" s="1"/>
  <c r="R78" i="5"/>
  <c r="I78" i="5"/>
  <c r="G78" i="5"/>
  <c r="F78" i="5"/>
  <c r="H78" i="5" s="1"/>
  <c r="D78" i="5"/>
  <c r="K78" i="5" s="1"/>
  <c r="C78" i="5"/>
  <c r="B78" i="5"/>
  <c r="A78" i="5"/>
  <c r="U78" i="5" s="1"/>
  <c r="R77" i="5"/>
  <c r="I77" i="5"/>
  <c r="G77" i="5"/>
  <c r="F77" i="5"/>
  <c r="H77" i="5" s="1"/>
  <c r="D77" i="5"/>
  <c r="K77" i="5" s="1"/>
  <c r="C77" i="5"/>
  <c r="B77" i="5"/>
  <c r="A77" i="5"/>
  <c r="U77" i="5" s="1"/>
  <c r="R76" i="5"/>
  <c r="I76" i="5"/>
  <c r="G76" i="5"/>
  <c r="F76" i="5"/>
  <c r="H76" i="5" s="1"/>
  <c r="D76" i="5"/>
  <c r="K76" i="5" s="1"/>
  <c r="C76" i="5"/>
  <c r="B76" i="5"/>
  <c r="A76" i="5"/>
  <c r="U76" i="5" s="1"/>
  <c r="R75" i="5"/>
  <c r="I75" i="5"/>
  <c r="H75" i="5"/>
  <c r="G75" i="5"/>
  <c r="F75" i="5"/>
  <c r="D75" i="5"/>
  <c r="K75" i="5" s="1"/>
  <c r="C75" i="5"/>
  <c r="B75" i="5"/>
  <c r="A75" i="5"/>
  <c r="U75" i="5" s="1"/>
  <c r="R74" i="5"/>
  <c r="I74" i="5"/>
  <c r="G74" i="5"/>
  <c r="F74" i="5"/>
  <c r="H74" i="5" s="1"/>
  <c r="D74" i="5"/>
  <c r="K74" i="5" s="1"/>
  <c r="C74" i="5"/>
  <c r="B74" i="5"/>
  <c r="A74" i="5"/>
  <c r="U74" i="5" s="1"/>
  <c r="R73" i="5"/>
  <c r="I73" i="5"/>
  <c r="G73" i="5"/>
  <c r="F73" i="5"/>
  <c r="H73" i="5" s="1"/>
  <c r="D73" i="5"/>
  <c r="K73" i="5" s="1"/>
  <c r="C73" i="5"/>
  <c r="B73" i="5"/>
  <c r="A73" i="5"/>
  <c r="U73" i="5" s="1"/>
  <c r="R72" i="5"/>
  <c r="I72" i="5"/>
  <c r="G72" i="5"/>
  <c r="F72" i="5"/>
  <c r="H72" i="5" s="1"/>
  <c r="D72" i="5"/>
  <c r="K72" i="5" s="1"/>
  <c r="C72" i="5"/>
  <c r="B72" i="5"/>
  <c r="A72" i="5"/>
  <c r="U72" i="5" s="1"/>
  <c r="R71" i="5"/>
  <c r="I71" i="5"/>
  <c r="G71" i="5"/>
  <c r="F71" i="5"/>
  <c r="H71" i="5" s="1"/>
  <c r="D71" i="5"/>
  <c r="C71" i="5"/>
  <c r="B71" i="5"/>
  <c r="A71" i="5"/>
  <c r="U71" i="5" s="1"/>
  <c r="R70" i="5"/>
  <c r="I70" i="5"/>
  <c r="G70" i="5"/>
  <c r="F70" i="5"/>
  <c r="H70" i="5" s="1"/>
  <c r="D70" i="5"/>
  <c r="C70" i="5"/>
  <c r="B70" i="5"/>
  <c r="A70" i="5"/>
  <c r="U70" i="5" s="1"/>
  <c r="R69" i="5"/>
  <c r="I69" i="5"/>
  <c r="G69" i="5"/>
  <c r="F69" i="5"/>
  <c r="H69" i="5" s="1"/>
  <c r="D69" i="5"/>
  <c r="K69" i="5" s="1"/>
  <c r="C69" i="5"/>
  <c r="B69" i="5"/>
  <c r="A69" i="5"/>
  <c r="U69" i="5" s="1"/>
  <c r="T68" i="5"/>
  <c r="R68" i="5"/>
  <c r="I68" i="5"/>
  <c r="G68" i="5"/>
  <c r="C68" i="5"/>
  <c r="B68" i="5"/>
  <c r="A68" i="5"/>
  <c r="R67" i="5"/>
  <c r="I67" i="5"/>
  <c r="G67" i="5"/>
  <c r="F67" i="5"/>
  <c r="H67" i="5" s="1"/>
  <c r="D67" i="5"/>
  <c r="K67" i="5" s="1"/>
  <c r="C67" i="5"/>
  <c r="B67" i="5"/>
  <c r="A67" i="5"/>
  <c r="U67" i="5" s="1"/>
  <c r="R66" i="5"/>
  <c r="I66" i="5"/>
  <c r="G66" i="5"/>
  <c r="F66" i="5"/>
  <c r="H66" i="5" s="1"/>
  <c r="D66" i="5"/>
  <c r="K66" i="5" s="1"/>
  <c r="C66" i="5"/>
  <c r="B66" i="5"/>
  <c r="A66" i="5"/>
  <c r="U66" i="5" s="1"/>
  <c r="I65" i="5"/>
  <c r="G65" i="5"/>
  <c r="F65" i="5"/>
  <c r="H65" i="5" s="1"/>
  <c r="R65" i="5" s="1"/>
  <c r="H65" i="58" s="1"/>
  <c r="E65" i="5"/>
  <c r="D65" i="5"/>
  <c r="K65" i="5" s="1"/>
  <c r="C65" i="5"/>
  <c r="B65" i="5"/>
  <c r="A65" i="5"/>
  <c r="U65" i="5" s="1"/>
  <c r="I64" i="5"/>
  <c r="G64" i="5"/>
  <c r="F64" i="5"/>
  <c r="H64" i="5" s="1"/>
  <c r="R64" i="5" s="1"/>
  <c r="H64" i="58" s="1"/>
  <c r="E64" i="5"/>
  <c r="D64" i="5"/>
  <c r="K64" i="5" s="1"/>
  <c r="C64" i="5"/>
  <c r="B64" i="5"/>
  <c r="A64" i="5"/>
  <c r="U64" i="5" s="1"/>
  <c r="I63" i="5"/>
  <c r="G63" i="5"/>
  <c r="F63" i="5"/>
  <c r="H63" i="5" s="1"/>
  <c r="R63" i="5" s="1"/>
  <c r="H63" i="58" s="1"/>
  <c r="E63" i="5"/>
  <c r="D63" i="5"/>
  <c r="K63" i="5" s="1"/>
  <c r="C63" i="5"/>
  <c r="B63" i="5"/>
  <c r="A63" i="5"/>
  <c r="U63" i="5" s="1"/>
  <c r="I62" i="5"/>
  <c r="G62" i="5"/>
  <c r="F62" i="5"/>
  <c r="H62" i="5" s="1"/>
  <c r="R62" i="5" s="1"/>
  <c r="H62" i="58" s="1"/>
  <c r="E62" i="5"/>
  <c r="D62" i="5"/>
  <c r="K62" i="5" s="1"/>
  <c r="C62" i="5"/>
  <c r="B62" i="5"/>
  <c r="A62" i="5"/>
  <c r="U62" i="5" s="1"/>
  <c r="I61" i="5"/>
  <c r="G61" i="5"/>
  <c r="F61" i="5"/>
  <c r="H61" i="5" s="1"/>
  <c r="R61" i="5" s="1"/>
  <c r="H61" i="58" s="1"/>
  <c r="E61" i="5"/>
  <c r="D61" i="5"/>
  <c r="K61" i="5" s="1"/>
  <c r="C61" i="5"/>
  <c r="B61" i="5"/>
  <c r="A61" i="5"/>
  <c r="U61" i="5" s="1"/>
  <c r="I60" i="5"/>
  <c r="G60" i="5"/>
  <c r="F60" i="5"/>
  <c r="H60" i="5" s="1"/>
  <c r="R60" i="5" s="1"/>
  <c r="H60" i="58" s="1"/>
  <c r="E60" i="5"/>
  <c r="D60" i="5"/>
  <c r="K60" i="5" s="1"/>
  <c r="C60" i="5"/>
  <c r="B60" i="5"/>
  <c r="A60" i="5"/>
  <c r="U60" i="5" s="1"/>
  <c r="I59" i="5"/>
  <c r="G59" i="5"/>
  <c r="F59" i="5"/>
  <c r="H59" i="5" s="1"/>
  <c r="R59" i="5" s="1"/>
  <c r="H59" i="58" s="1"/>
  <c r="E59" i="5"/>
  <c r="D59" i="5"/>
  <c r="K59" i="5" s="1"/>
  <c r="C59" i="5"/>
  <c r="B59" i="5"/>
  <c r="A59" i="5"/>
  <c r="U59" i="5" s="1"/>
  <c r="U58" i="5"/>
  <c r="T58" i="5"/>
  <c r="I58" i="5"/>
  <c r="G58" i="5"/>
  <c r="F58" i="5"/>
  <c r="H58" i="5" s="1"/>
  <c r="R58" i="5" s="1"/>
  <c r="H58" i="58" s="1"/>
  <c r="E58" i="5"/>
  <c r="D58" i="5"/>
  <c r="K58" i="5" s="1"/>
  <c r="C58" i="5"/>
  <c r="B58" i="5"/>
  <c r="A58" i="5"/>
  <c r="I57" i="5"/>
  <c r="G57" i="5"/>
  <c r="F57" i="5"/>
  <c r="H57" i="5" s="1"/>
  <c r="R57" i="5" s="1"/>
  <c r="H57" i="58" s="1"/>
  <c r="E57" i="5"/>
  <c r="D57" i="5"/>
  <c r="K57" i="5" s="1"/>
  <c r="C57" i="5"/>
  <c r="B57" i="5"/>
  <c r="A57" i="5"/>
  <c r="U57" i="5" s="1"/>
  <c r="I56" i="5"/>
  <c r="G56" i="5"/>
  <c r="F56" i="5"/>
  <c r="H56" i="5" s="1"/>
  <c r="R56" i="5" s="1"/>
  <c r="H56" i="58" s="1"/>
  <c r="E56" i="5"/>
  <c r="D56" i="5"/>
  <c r="K56" i="5" s="1"/>
  <c r="C56" i="5"/>
  <c r="B56" i="5"/>
  <c r="A56" i="5"/>
  <c r="U56" i="5" s="1"/>
  <c r="I55" i="5"/>
  <c r="G55" i="5"/>
  <c r="F55" i="5"/>
  <c r="H55" i="5" s="1"/>
  <c r="R55" i="5" s="1"/>
  <c r="H55" i="58" s="1"/>
  <c r="E55" i="5"/>
  <c r="D55" i="5"/>
  <c r="K55" i="5" s="1"/>
  <c r="C55" i="5"/>
  <c r="B55" i="5"/>
  <c r="A55" i="5"/>
  <c r="U55" i="5" s="1"/>
  <c r="I54" i="5"/>
  <c r="G54" i="5"/>
  <c r="F54" i="5"/>
  <c r="H54" i="5" s="1"/>
  <c r="R54" i="5" s="1"/>
  <c r="H54" i="58" s="1"/>
  <c r="E54" i="5"/>
  <c r="D54" i="5"/>
  <c r="K54" i="5" s="1"/>
  <c r="C54" i="5"/>
  <c r="B54" i="5"/>
  <c r="A54" i="5"/>
  <c r="U54" i="5" s="1"/>
  <c r="I53" i="5"/>
  <c r="G53" i="5"/>
  <c r="F53" i="5"/>
  <c r="H53" i="5" s="1"/>
  <c r="R53" i="5" s="1"/>
  <c r="H53" i="58" s="1"/>
  <c r="E53" i="5"/>
  <c r="D53" i="5"/>
  <c r="K53" i="5" s="1"/>
  <c r="C53" i="5"/>
  <c r="B53" i="5"/>
  <c r="A53" i="5"/>
  <c r="U53" i="5" s="1"/>
  <c r="I52" i="5"/>
  <c r="G52" i="5"/>
  <c r="F52" i="5"/>
  <c r="H52" i="5" s="1"/>
  <c r="R52" i="5" s="1"/>
  <c r="H52" i="58" s="1"/>
  <c r="E52" i="5"/>
  <c r="D52" i="5"/>
  <c r="C52" i="5"/>
  <c r="B52" i="5"/>
  <c r="A52" i="5"/>
  <c r="U52" i="5" s="1"/>
  <c r="I51" i="5"/>
  <c r="G51" i="5"/>
  <c r="F51" i="5"/>
  <c r="H51" i="5" s="1"/>
  <c r="R51" i="5" s="1"/>
  <c r="H51" i="58" s="1"/>
  <c r="E51" i="5"/>
  <c r="D51" i="5"/>
  <c r="K51" i="5" s="1"/>
  <c r="C51" i="5"/>
  <c r="B51" i="5"/>
  <c r="A51" i="5"/>
  <c r="U51" i="5" s="1"/>
  <c r="I50" i="5"/>
  <c r="G50" i="5"/>
  <c r="F50" i="5"/>
  <c r="H50" i="5" s="1"/>
  <c r="R50" i="5" s="1"/>
  <c r="H50" i="58" s="1"/>
  <c r="E50" i="5"/>
  <c r="D50" i="5"/>
  <c r="K50" i="5" s="1"/>
  <c r="C50" i="5"/>
  <c r="B50" i="5"/>
  <c r="A50" i="5"/>
  <c r="U50" i="5" s="1"/>
  <c r="S49" i="5"/>
  <c r="I49" i="5"/>
  <c r="G49" i="5"/>
  <c r="F49" i="5"/>
  <c r="H49" i="5" s="1"/>
  <c r="R49" i="5" s="1"/>
  <c r="H49" i="58" s="1"/>
  <c r="E49" i="5"/>
  <c r="D49" i="5"/>
  <c r="K49" i="5" s="1"/>
  <c r="C49" i="5"/>
  <c r="B49" i="5"/>
  <c r="T49" i="5" s="1"/>
  <c r="A49" i="5"/>
  <c r="U49" i="5" s="1"/>
  <c r="I48" i="5"/>
  <c r="G48" i="5"/>
  <c r="F48" i="5"/>
  <c r="H48" i="5" s="1"/>
  <c r="R48" i="5" s="1"/>
  <c r="H48" i="58" s="1"/>
  <c r="E48" i="5"/>
  <c r="D48" i="5"/>
  <c r="K48" i="5" s="1"/>
  <c r="C48" i="5"/>
  <c r="B48" i="5"/>
  <c r="A48" i="5"/>
  <c r="U48" i="5" s="1"/>
  <c r="I47" i="5"/>
  <c r="G47" i="5"/>
  <c r="F47" i="5"/>
  <c r="H47" i="5" s="1"/>
  <c r="R47" i="5" s="1"/>
  <c r="H47" i="58" s="1"/>
  <c r="E47" i="5"/>
  <c r="D47" i="5"/>
  <c r="K47" i="5" s="1"/>
  <c r="C47" i="5"/>
  <c r="B47" i="5"/>
  <c r="A47" i="5"/>
  <c r="U47" i="5" s="1"/>
  <c r="I46" i="5"/>
  <c r="G46" i="5"/>
  <c r="F46" i="5"/>
  <c r="H46" i="5" s="1"/>
  <c r="R46" i="5" s="1"/>
  <c r="H46" i="58" s="1"/>
  <c r="E46" i="5"/>
  <c r="D46" i="5"/>
  <c r="K46" i="5" s="1"/>
  <c r="C46" i="5"/>
  <c r="B46" i="5"/>
  <c r="A46" i="5"/>
  <c r="U46" i="5" s="1"/>
  <c r="I45" i="5"/>
  <c r="G45" i="5"/>
  <c r="F45" i="5"/>
  <c r="H45" i="5" s="1"/>
  <c r="R45" i="5" s="1"/>
  <c r="H45" i="58" s="1"/>
  <c r="E45" i="5"/>
  <c r="D45" i="5"/>
  <c r="K45" i="5" s="1"/>
  <c r="C45" i="5"/>
  <c r="B45" i="5"/>
  <c r="A45" i="5"/>
  <c r="U45" i="5" s="1"/>
  <c r="I44" i="5"/>
  <c r="G44" i="5"/>
  <c r="F44" i="5"/>
  <c r="H44" i="5" s="1"/>
  <c r="R44" i="5" s="1"/>
  <c r="H44" i="58" s="1"/>
  <c r="E44" i="5"/>
  <c r="D44" i="5"/>
  <c r="K44" i="5" s="1"/>
  <c r="C44" i="5"/>
  <c r="B44" i="5"/>
  <c r="A44" i="5"/>
  <c r="U44" i="5" s="1"/>
  <c r="I43" i="5"/>
  <c r="G43" i="5"/>
  <c r="F43" i="5"/>
  <c r="H43" i="5" s="1"/>
  <c r="R43" i="5" s="1"/>
  <c r="H43" i="58" s="1"/>
  <c r="E43" i="5"/>
  <c r="D43" i="5"/>
  <c r="K43" i="5" s="1"/>
  <c r="C43" i="5"/>
  <c r="B43" i="5"/>
  <c r="A43" i="5"/>
  <c r="U43" i="5" s="1"/>
  <c r="I42" i="5"/>
  <c r="G42" i="5"/>
  <c r="F42" i="5"/>
  <c r="H42" i="5" s="1"/>
  <c r="R42" i="5" s="1"/>
  <c r="H42" i="58" s="1"/>
  <c r="E42" i="5"/>
  <c r="D42" i="5"/>
  <c r="K42" i="5" s="1"/>
  <c r="C42" i="5"/>
  <c r="B42" i="5"/>
  <c r="A42" i="5"/>
  <c r="U42" i="5" s="1"/>
  <c r="I41" i="5"/>
  <c r="G41" i="5"/>
  <c r="F41" i="5"/>
  <c r="H41" i="5" s="1"/>
  <c r="R41" i="5" s="1"/>
  <c r="E41" i="5"/>
  <c r="D41" i="5"/>
  <c r="K41" i="5" s="1"/>
  <c r="C41" i="5"/>
  <c r="B41" i="5"/>
  <c r="A41" i="5"/>
  <c r="U41" i="5" s="1"/>
  <c r="U40" i="5"/>
  <c r="I40" i="5"/>
  <c r="T40" i="5" s="1"/>
  <c r="G40" i="5"/>
  <c r="F40" i="5"/>
  <c r="H40" i="5" s="1"/>
  <c r="E40" i="5"/>
  <c r="D40" i="5"/>
  <c r="C40" i="5"/>
  <c r="B40" i="5"/>
  <c r="A40" i="5"/>
  <c r="I39" i="5"/>
  <c r="G39" i="5"/>
  <c r="F39" i="5"/>
  <c r="H39" i="5" s="1"/>
  <c r="R39" i="5" s="1"/>
  <c r="H39" i="58" s="1"/>
  <c r="E39" i="5"/>
  <c r="D39" i="5"/>
  <c r="K39" i="5" s="1"/>
  <c r="B9" i="30" s="1"/>
  <c r="C39" i="5"/>
  <c r="B39" i="5"/>
  <c r="A39" i="5"/>
  <c r="U39" i="5" s="1"/>
  <c r="I38" i="5"/>
  <c r="G38" i="5"/>
  <c r="F38" i="5"/>
  <c r="H38" i="5" s="1"/>
  <c r="R38" i="5" s="1"/>
  <c r="H38" i="58" s="1"/>
  <c r="E38" i="5"/>
  <c r="D38" i="5"/>
  <c r="K38" i="5" s="1"/>
  <c r="B8" i="30" s="1"/>
  <c r="C38" i="5"/>
  <c r="B38" i="5"/>
  <c r="A38" i="5"/>
  <c r="U38" i="5" s="1"/>
  <c r="I37" i="5"/>
  <c r="G37" i="5"/>
  <c r="F37" i="5"/>
  <c r="H37" i="5" s="1"/>
  <c r="R37" i="5" s="1"/>
  <c r="H37" i="58" s="1"/>
  <c r="E37" i="5"/>
  <c r="D37" i="5"/>
  <c r="K37" i="5" s="1"/>
  <c r="B7" i="30" s="1"/>
  <c r="C37" i="5"/>
  <c r="B37" i="5"/>
  <c r="A37" i="5"/>
  <c r="U37" i="5" s="1"/>
  <c r="I36" i="5"/>
  <c r="G36" i="5"/>
  <c r="F36" i="5"/>
  <c r="H36" i="5" s="1"/>
  <c r="R36" i="5" s="1"/>
  <c r="H36" i="58" s="1"/>
  <c r="E36" i="5"/>
  <c r="D36" i="5"/>
  <c r="K36" i="5" s="1"/>
  <c r="B6" i="30" s="1"/>
  <c r="C36" i="5"/>
  <c r="B36" i="5"/>
  <c r="A36" i="5"/>
  <c r="U36" i="5" s="1"/>
  <c r="I35" i="5"/>
  <c r="G35" i="5"/>
  <c r="F35" i="5"/>
  <c r="H35" i="5" s="1"/>
  <c r="R35" i="5" s="1"/>
  <c r="H35" i="58" s="1"/>
  <c r="E35" i="5"/>
  <c r="D35" i="5"/>
  <c r="K35" i="5" s="1"/>
  <c r="C35" i="5"/>
  <c r="B35" i="5"/>
  <c r="A35" i="5"/>
  <c r="U35" i="5" s="1"/>
  <c r="I34" i="5"/>
  <c r="G34" i="5"/>
  <c r="F34" i="5"/>
  <c r="H34" i="5" s="1"/>
  <c r="R34" i="5" s="1"/>
  <c r="H34" i="58" s="1"/>
  <c r="E34" i="5"/>
  <c r="D34" i="5"/>
  <c r="K34" i="5" s="1"/>
  <c r="C34" i="5"/>
  <c r="B34" i="5"/>
  <c r="A34" i="5"/>
  <c r="U34" i="5" s="1"/>
  <c r="I33" i="5"/>
  <c r="G33" i="5"/>
  <c r="F33" i="5"/>
  <c r="H33" i="5" s="1"/>
  <c r="R33" i="5" s="1"/>
  <c r="H33" i="58" s="1"/>
  <c r="E33" i="5"/>
  <c r="D33" i="5"/>
  <c r="K33" i="5" s="1"/>
  <c r="C33" i="5"/>
  <c r="B33" i="5"/>
  <c r="A33" i="5"/>
  <c r="U33" i="5" s="1"/>
  <c r="I32" i="5"/>
  <c r="G32" i="5"/>
  <c r="F32" i="5"/>
  <c r="H32" i="5" s="1"/>
  <c r="R32" i="5" s="1"/>
  <c r="H32" i="58" s="1"/>
  <c r="E32" i="5"/>
  <c r="D32" i="5"/>
  <c r="K32" i="5" s="1"/>
  <c r="C32" i="5"/>
  <c r="B32" i="5"/>
  <c r="A32" i="5"/>
  <c r="U32" i="5" s="1"/>
  <c r="I31" i="5"/>
  <c r="G31" i="5"/>
  <c r="F31" i="5"/>
  <c r="H31" i="5" s="1"/>
  <c r="R31" i="5" s="1"/>
  <c r="H31" i="58" s="1"/>
  <c r="E31" i="5"/>
  <c r="D31" i="5"/>
  <c r="K31" i="5" s="1"/>
  <c r="C31" i="5"/>
  <c r="B31" i="5"/>
  <c r="A31" i="5"/>
  <c r="U31" i="5" s="1"/>
  <c r="I30" i="5"/>
  <c r="G30" i="5"/>
  <c r="F30" i="5"/>
  <c r="H30" i="5" s="1"/>
  <c r="R30" i="5" s="1"/>
  <c r="H30" i="58" s="1"/>
  <c r="E30" i="5"/>
  <c r="D30" i="5"/>
  <c r="K30" i="5" s="1"/>
  <c r="C30" i="5"/>
  <c r="B30" i="5"/>
  <c r="A30" i="5"/>
  <c r="U30" i="5" s="1"/>
  <c r="I29" i="5"/>
  <c r="G29" i="5"/>
  <c r="F29" i="5"/>
  <c r="H29" i="5" s="1"/>
  <c r="R29" i="5" s="1"/>
  <c r="H29" i="58" s="1"/>
  <c r="E29" i="5"/>
  <c r="D29" i="5"/>
  <c r="K29" i="5" s="1"/>
  <c r="C29" i="5"/>
  <c r="B29" i="5"/>
  <c r="A29" i="5"/>
  <c r="U29" i="5" s="1"/>
  <c r="I28" i="5"/>
  <c r="G28" i="5"/>
  <c r="F28" i="5"/>
  <c r="H28" i="5" s="1"/>
  <c r="R28" i="5" s="1"/>
  <c r="H28" i="58" s="1"/>
  <c r="E28" i="5"/>
  <c r="D28" i="5"/>
  <c r="K28" i="5" s="1"/>
  <c r="C28" i="5"/>
  <c r="B28" i="5"/>
  <c r="A28" i="5"/>
  <c r="U28" i="5" s="1"/>
  <c r="I27" i="5"/>
  <c r="G27" i="5"/>
  <c r="F27" i="5"/>
  <c r="H27" i="5" s="1"/>
  <c r="R27" i="5" s="1"/>
  <c r="H27" i="58" s="1"/>
  <c r="E27" i="5"/>
  <c r="D27" i="5"/>
  <c r="C27" i="5"/>
  <c r="B27" i="5"/>
  <c r="A27" i="5"/>
  <c r="U27" i="5" s="1"/>
  <c r="I26" i="5"/>
  <c r="G26" i="5"/>
  <c r="F26" i="5"/>
  <c r="H26" i="5" s="1"/>
  <c r="R26" i="5" s="1"/>
  <c r="H26" i="58" s="1"/>
  <c r="E26" i="5"/>
  <c r="D26" i="5"/>
  <c r="K26" i="5" s="1"/>
  <c r="C26" i="5"/>
  <c r="B26" i="5"/>
  <c r="A26" i="5"/>
  <c r="U26" i="5" s="1"/>
  <c r="I25" i="5"/>
  <c r="G25" i="5"/>
  <c r="F25" i="5"/>
  <c r="H25" i="5" s="1"/>
  <c r="R25" i="5" s="1"/>
  <c r="H25" i="58" s="1"/>
  <c r="E25" i="5"/>
  <c r="D25" i="5"/>
  <c r="K25" i="5" s="1"/>
  <c r="C25" i="5"/>
  <c r="B25" i="5"/>
  <c r="A25" i="5"/>
  <c r="U25" i="5" s="1"/>
  <c r="I24" i="5"/>
  <c r="G24" i="5"/>
  <c r="F24" i="5"/>
  <c r="H24" i="5" s="1"/>
  <c r="R24" i="5" s="1"/>
  <c r="H24" i="58" s="1"/>
  <c r="E24" i="5"/>
  <c r="D24" i="5"/>
  <c r="K24" i="5" s="1"/>
  <c r="C24" i="5"/>
  <c r="B24" i="5"/>
  <c r="A24" i="5"/>
  <c r="U24" i="5" s="1"/>
  <c r="I23" i="5"/>
  <c r="G23" i="5"/>
  <c r="F23" i="5"/>
  <c r="H23" i="5" s="1"/>
  <c r="R23" i="5" s="1"/>
  <c r="H23" i="58" s="1"/>
  <c r="E23" i="5"/>
  <c r="D23" i="5"/>
  <c r="K23" i="5" s="1"/>
  <c r="C23" i="5"/>
  <c r="B23" i="5"/>
  <c r="A23" i="5"/>
  <c r="U23" i="5" s="1"/>
  <c r="I22" i="5"/>
  <c r="G22" i="5"/>
  <c r="F22" i="5"/>
  <c r="H22" i="5" s="1"/>
  <c r="R22" i="5" s="1"/>
  <c r="H22" i="58" s="1"/>
  <c r="E22" i="5"/>
  <c r="D22" i="5"/>
  <c r="K22" i="5" s="1"/>
  <c r="C22" i="5"/>
  <c r="B22" i="5"/>
  <c r="A22" i="5"/>
  <c r="U22" i="5" s="1"/>
  <c r="U21" i="5"/>
  <c r="T21" i="5"/>
  <c r="S21" i="5"/>
  <c r="P21" i="5"/>
  <c r="I21" i="5"/>
  <c r="G21" i="5"/>
  <c r="F21" i="5"/>
  <c r="H21" i="5" s="1"/>
  <c r="E21" i="5"/>
  <c r="J21" i="5" s="1"/>
  <c r="D21" i="5"/>
  <c r="C21" i="5"/>
  <c r="B21" i="5"/>
  <c r="A21" i="5"/>
  <c r="I20" i="5"/>
  <c r="G20" i="5"/>
  <c r="F20" i="5"/>
  <c r="H20" i="5" s="1"/>
  <c r="R20" i="5" s="1"/>
  <c r="H20" i="58" s="1"/>
  <c r="E20" i="5"/>
  <c r="D20" i="5"/>
  <c r="K20" i="5" s="1"/>
  <c r="C20" i="5"/>
  <c r="B20" i="5"/>
  <c r="A20" i="5"/>
  <c r="U20" i="5" s="1"/>
  <c r="I19" i="5"/>
  <c r="G19" i="5"/>
  <c r="F19" i="5"/>
  <c r="H19" i="5" s="1"/>
  <c r="R19" i="5" s="1"/>
  <c r="H19" i="58" s="1"/>
  <c r="E19" i="5"/>
  <c r="D19" i="5"/>
  <c r="K19" i="5" s="1"/>
  <c r="C19" i="5"/>
  <c r="B19" i="5"/>
  <c r="A19" i="5"/>
  <c r="U19" i="5" s="1"/>
  <c r="I18" i="5"/>
  <c r="G18" i="5"/>
  <c r="F18" i="5"/>
  <c r="H18" i="5" s="1"/>
  <c r="R18" i="5" s="1"/>
  <c r="H18" i="58" s="1"/>
  <c r="E18" i="5"/>
  <c r="D18" i="5"/>
  <c r="K18" i="5" s="1"/>
  <c r="C18" i="5"/>
  <c r="B18" i="5"/>
  <c r="A18" i="5"/>
  <c r="U18" i="5" s="1"/>
  <c r="I17" i="5"/>
  <c r="G17" i="5"/>
  <c r="F17" i="5"/>
  <c r="H17" i="5" s="1"/>
  <c r="R17" i="5" s="1"/>
  <c r="H17" i="58" s="1"/>
  <c r="E17" i="5"/>
  <c r="D17" i="5"/>
  <c r="K17" i="5" s="1"/>
  <c r="C17" i="5"/>
  <c r="B17" i="5"/>
  <c r="A17" i="5"/>
  <c r="U17" i="5" s="1"/>
  <c r="I16" i="5"/>
  <c r="G16" i="5"/>
  <c r="F16" i="5"/>
  <c r="H16" i="5" s="1"/>
  <c r="R16" i="5" s="1"/>
  <c r="H16" i="58" s="1"/>
  <c r="E16" i="5"/>
  <c r="D16" i="5"/>
  <c r="K16" i="5" s="1"/>
  <c r="C16" i="5"/>
  <c r="B16" i="5"/>
  <c r="A16" i="5"/>
  <c r="U16" i="5" s="1"/>
  <c r="I15" i="5"/>
  <c r="G15" i="5"/>
  <c r="F15" i="5"/>
  <c r="H15" i="5" s="1"/>
  <c r="R15" i="5" s="1"/>
  <c r="H15" i="58" s="1"/>
  <c r="E15" i="5"/>
  <c r="D15" i="5"/>
  <c r="K15" i="5" s="1"/>
  <c r="C15" i="5"/>
  <c r="B15" i="5"/>
  <c r="A15" i="5"/>
  <c r="U15" i="5" s="1"/>
  <c r="I14" i="5"/>
  <c r="G14" i="5"/>
  <c r="F14" i="5"/>
  <c r="H14" i="5" s="1"/>
  <c r="R14" i="5" s="1"/>
  <c r="H14" i="58" s="1"/>
  <c r="E14" i="5"/>
  <c r="D14" i="5"/>
  <c r="K14" i="5" s="1"/>
  <c r="C14" i="5"/>
  <c r="B14" i="5"/>
  <c r="A14" i="5"/>
  <c r="U14" i="5" s="1"/>
  <c r="I13" i="5"/>
  <c r="G13" i="5"/>
  <c r="F13" i="5"/>
  <c r="H13" i="5" s="1"/>
  <c r="R13" i="5" s="1"/>
  <c r="H13" i="58" s="1"/>
  <c r="E13" i="5"/>
  <c r="D13" i="5"/>
  <c r="K13" i="5" s="1"/>
  <c r="C13" i="5"/>
  <c r="B13" i="5"/>
  <c r="A13" i="5"/>
  <c r="U13" i="5" s="1"/>
  <c r="U12" i="5"/>
  <c r="T12" i="5"/>
  <c r="P12" i="5"/>
  <c r="I12" i="5"/>
  <c r="G12" i="5"/>
  <c r="F12" i="5"/>
  <c r="H12" i="5" s="1"/>
  <c r="R12" i="5" s="1"/>
  <c r="H12" i="58" s="1"/>
  <c r="E12" i="5"/>
  <c r="D12" i="5"/>
  <c r="K12" i="5" s="1"/>
  <c r="C12" i="5"/>
  <c r="B12" i="5"/>
  <c r="A12" i="5"/>
  <c r="I11" i="5"/>
  <c r="G11" i="5"/>
  <c r="F11" i="5"/>
  <c r="H11" i="5" s="1"/>
  <c r="R11" i="5" s="1"/>
  <c r="H11" i="58" s="1"/>
  <c r="E11" i="5"/>
  <c r="D11" i="5"/>
  <c r="K11" i="5" s="1"/>
  <c r="C11" i="5"/>
  <c r="B11" i="5"/>
  <c r="A11" i="5"/>
  <c r="U11" i="5" s="1"/>
  <c r="I10" i="5"/>
  <c r="G10" i="5"/>
  <c r="F10" i="5"/>
  <c r="H10" i="5" s="1"/>
  <c r="R10" i="5" s="1"/>
  <c r="H10" i="58" s="1"/>
  <c r="E10" i="5"/>
  <c r="D10" i="5"/>
  <c r="C10" i="5"/>
  <c r="B10" i="5"/>
  <c r="A10" i="5"/>
  <c r="U10" i="5" s="1"/>
  <c r="I9" i="5"/>
  <c r="G9" i="5"/>
  <c r="F9" i="5"/>
  <c r="H9" i="5" s="1"/>
  <c r="R9" i="5" s="1"/>
  <c r="H9" i="58" s="1"/>
  <c r="E9" i="5"/>
  <c r="D9" i="5"/>
  <c r="K9" i="5" s="1"/>
  <c r="C9" i="5"/>
  <c r="B9" i="5"/>
  <c r="A9" i="5"/>
  <c r="U9" i="5" s="1"/>
  <c r="I8" i="5"/>
  <c r="G8" i="5"/>
  <c r="F8" i="5"/>
  <c r="H8" i="5" s="1"/>
  <c r="R8" i="5" s="1"/>
  <c r="H8" i="58" s="1"/>
  <c r="E8" i="5"/>
  <c r="D8" i="5"/>
  <c r="K8" i="5" s="1"/>
  <c r="C8" i="5"/>
  <c r="B8" i="5"/>
  <c r="A8" i="5"/>
  <c r="U8" i="5" s="1"/>
  <c r="I7" i="5"/>
  <c r="G7" i="5"/>
  <c r="F7" i="5"/>
  <c r="H7" i="5" s="1"/>
  <c r="R7" i="5" s="1"/>
  <c r="H7" i="58" s="1"/>
  <c r="E7" i="5"/>
  <c r="D7" i="5"/>
  <c r="K7" i="5" s="1"/>
  <c r="C7" i="5"/>
  <c r="B7" i="5"/>
  <c r="A7" i="5"/>
  <c r="U7" i="5" s="1"/>
  <c r="I6" i="5"/>
  <c r="G6" i="5"/>
  <c r="F6" i="5"/>
  <c r="H6" i="5" s="1"/>
  <c r="R6" i="5" s="1"/>
  <c r="H6" i="58" s="1"/>
  <c r="E6" i="5"/>
  <c r="D6" i="5"/>
  <c r="K6" i="5" s="1"/>
  <c r="C6" i="5"/>
  <c r="B6" i="5"/>
  <c r="A6" i="5"/>
  <c r="U6" i="5" s="1"/>
  <c r="B22" i="4"/>
  <c r="F21" i="4"/>
  <c r="B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D10" i="3"/>
  <c r="C10" i="3"/>
  <c r="E10" i="3" s="1"/>
  <c r="J10" i="3" s="1"/>
  <c r="D9" i="3"/>
  <c r="C9" i="3"/>
  <c r="E9" i="3" s="1"/>
  <c r="J9" i="3" s="1"/>
  <c r="D8" i="3"/>
  <c r="C8" i="3"/>
  <c r="E8" i="3" s="1"/>
  <c r="J8" i="3" s="1"/>
  <c r="D7" i="3"/>
  <c r="C7" i="3"/>
  <c r="E7" i="3" s="1"/>
  <c r="J7" i="3" s="1"/>
  <c r="D6" i="3"/>
  <c r="C6" i="3"/>
  <c r="E6" i="3" s="1"/>
  <c r="J6" i="3" s="1"/>
  <c r="B24" i="2"/>
  <c r="B23" i="2"/>
  <c r="B17" i="1"/>
  <c r="D11" i="92" l="1"/>
  <c r="E11" i="92" s="1"/>
  <c r="C15" i="83"/>
  <c r="C8" i="83"/>
  <c r="G14" i="82"/>
  <c r="F14" i="82"/>
  <c r="J14" i="82" s="1"/>
  <c r="K14" i="82" s="1"/>
  <c r="F12" i="82"/>
  <c r="J12" i="82" s="1"/>
  <c r="G12" i="82"/>
  <c r="F11" i="82"/>
  <c r="G11" i="82"/>
  <c r="G9" i="82"/>
  <c r="F9" i="82"/>
  <c r="J9" i="82" s="1"/>
  <c r="G8" i="82"/>
  <c r="F8" i="82"/>
  <c r="J8" i="82" s="1"/>
  <c r="K7" i="82"/>
  <c r="G13" i="82"/>
  <c r="J13" i="82" s="1"/>
  <c r="C9" i="83"/>
  <c r="D20" i="92"/>
  <c r="E20" i="92" s="1"/>
  <c r="B14" i="72"/>
  <c r="D6" i="92"/>
  <c r="E6" i="92" s="1"/>
  <c r="B9" i="72"/>
  <c r="F12" i="59"/>
  <c r="D21" i="59"/>
  <c r="E18" i="59"/>
  <c r="E19" i="59"/>
  <c r="D18" i="71"/>
  <c r="E18" i="71" s="1"/>
  <c r="D19" i="59"/>
  <c r="F6" i="59"/>
  <c r="G11" i="59"/>
  <c r="H11" i="59" s="1"/>
  <c r="J31" i="58"/>
  <c r="J27" i="58"/>
  <c r="G10" i="59"/>
  <c r="H10" i="59" s="1"/>
  <c r="J26" i="58"/>
  <c r="J21" i="58"/>
  <c r="G9" i="59"/>
  <c r="H9" i="59" s="1"/>
  <c r="J16" i="58"/>
  <c r="G8" i="59"/>
  <c r="H8" i="59" s="1"/>
  <c r="G7" i="59"/>
  <c r="H7" i="59" s="1"/>
  <c r="J11" i="58"/>
  <c r="L18" i="59"/>
  <c r="L19" i="59"/>
  <c r="J6" i="58"/>
  <c r="G6" i="59"/>
  <c r="I51" i="58"/>
  <c r="G15" i="59" s="1"/>
  <c r="G20" i="59" s="1"/>
  <c r="B13" i="46" s="1"/>
  <c r="D19" i="92"/>
  <c r="E19" i="92" s="1"/>
  <c r="J46" i="58"/>
  <c r="J41" i="58"/>
  <c r="G13" i="59"/>
  <c r="H13" i="59" s="1"/>
  <c r="J36" i="58"/>
  <c r="G12" i="59"/>
  <c r="C8" i="56"/>
  <c r="D8" i="71"/>
  <c r="E8" i="71" s="1"/>
  <c r="J13" i="57"/>
  <c r="N13" i="57" s="1"/>
  <c r="I47" i="58" s="1"/>
  <c r="D9" i="71"/>
  <c r="E9" i="71" s="1"/>
  <c r="B9" i="46"/>
  <c r="P9" i="54"/>
  <c r="C17" i="56" s="1"/>
  <c r="D26" i="71" s="1"/>
  <c r="E26" i="71" s="1"/>
  <c r="C16" i="56"/>
  <c r="E6" i="52"/>
  <c r="B9" i="52"/>
  <c r="E9" i="52" s="1"/>
  <c r="G41" i="35"/>
  <c r="K41" i="35"/>
  <c r="K40" i="35"/>
  <c r="G40" i="35"/>
  <c r="K39" i="35"/>
  <c r="G39" i="35"/>
  <c r="G38" i="35"/>
  <c r="K38" i="35"/>
  <c r="G37" i="35"/>
  <c r="K37" i="35"/>
  <c r="G36" i="35"/>
  <c r="K36" i="35"/>
  <c r="H35" i="35"/>
  <c r="G35" i="35"/>
  <c r="K35" i="35"/>
  <c r="G34" i="35"/>
  <c r="H34" i="35"/>
  <c r="K34" i="35"/>
  <c r="G33" i="35"/>
  <c r="H33" i="35"/>
  <c r="K33" i="35"/>
  <c r="G32" i="35"/>
  <c r="H32" i="35"/>
  <c r="K32" i="35"/>
  <c r="G31" i="35"/>
  <c r="H31" i="35"/>
  <c r="K31" i="35"/>
  <c r="G30" i="35"/>
  <c r="H30" i="35"/>
  <c r="K30" i="35"/>
  <c r="G29" i="35"/>
  <c r="K29" i="35"/>
  <c r="G28" i="35"/>
  <c r="K28" i="35"/>
  <c r="G27" i="35"/>
  <c r="K27" i="35"/>
  <c r="G26" i="35"/>
  <c r="K26" i="35"/>
  <c r="G25" i="35"/>
  <c r="K25" i="35"/>
  <c r="G24" i="35"/>
  <c r="K24" i="35"/>
  <c r="G23" i="35"/>
  <c r="K23" i="35"/>
  <c r="G22" i="35"/>
  <c r="K22" i="35"/>
  <c r="G21" i="35"/>
  <c r="K21" i="35"/>
  <c r="G20" i="35"/>
  <c r="K20" i="35"/>
  <c r="G19" i="35"/>
  <c r="K19" i="35"/>
  <c r="G18" i="35"/>
  <c r="K18" i="35"/>
  <c r="G17" i="35"/>
  <c r="H17" i="35"/>
  <c r="K17" i="35"/>
  <c r="G16" i="35"/>
  <c r="H16" i="35"/>
  <c r="K16" i="35"/>
  <c r="G15" i="35"/>
  <c r="H15" i="35"/>
  <c r="K15" i="35"/>
  <c r="G14" i="35"/>
  <c r="H14" i="35"/>
  <c r="K14" i="35"/>
  <c r="G13" i="35"/>
  <c r="H13" i="35"/>
  <c r="K13" i="35"/>
  <c r="G12" i="35"/>
  <c r="H12" i="35"/>
  <c r="K12" i="35"/>
  <c r="G11" i="35"/>
  <c r="K11" i="35"/>
  <c r="G10" i="35"/>
  <c r="K10" i="35"/>
  <c r="G9" i="35"/>
  <c r="K9" i="35"/>
  <c r="G8" i="35"/>
  <c r="K8" i="35"/>
  <c r="G7" i="35"/>
  <c r="K7" i="35"/>
  <c r="G6" i="35"/>
  <c r="K6" i="35"/>
  <c r="B16" i="1"/>
  <c r="D13" i="45"/>
  <c r="E13" i="45" s="1"/>
  <c r="F13" i="45" s="1"/>
  <c r="B17" i="17"/>
  <c r="D12" i="29" s="1"/>
  <c r="E12" i="29" s="1"/>
  <c r="D11" i="29"/>
  <c r="E11" i="29" s="1"/>
  <c r="D100" i="5"/>
  <c r="K100" i="5" s="1"/>
  <c r="F100" i="6"/>
  <c r="F99" i="6"/>
  <c r="D99" i="5"/>
  <c r="K99" i="5" s="1"/>
  <c r="F98" i="6"/>
  <c r="D98" i="5"/>
  <c r="K98" i="5" s="1"/>
  <c r="D97" i="5"/>
  <c r="K97" i="5" s="1"/>
  <c r="F97" i="6"/>
  <c r="F96" i="6"/>
  <c r="D96" i="5"/>
  <c r="K96" i="5" s="1"/>
  <c r="U96" i="5"/>
  <c r="F95" i="6"/>
  <c r="D95" i="5"/>
  <c r="K95" i="5" s="1"/>
  <c r="F94" i="6"/>
  <c r="D94" i="5"/>
  <c r="K94" i="5" s="1"/>
  <c r="F93" i="6"/>
  <c r="D93" i="5"/>
  <c r="F92" i="6"/>
  <c r="D92" i="5"/>
  <c r="K92" i="5" s="1"/>
  <c r="F91" i="6"/>
  <c r="D91" i="5"/>
  <c r="K91" i="5" s="1"/>
  <c r="F90" i="6"/>
  <c r="D90" i="5"/>
  <c r="K90" i="5" s="1"/>
  <c r="F89" i="6"/>
  <c r="D89" i="5"/>
  <c r="K89" i="5" s="1"/>
  <c r="F88" i="6"/>
  <c r="D88" i="5"/>
  <c r="K88" i="5" s="1"/>
  <c r="F87" i="6"/>
  <c r="D87" i="5"/>
  <c r="K87" i="5" s="1"/>
  <c r="D86" i="5"/>
  <c r="K86" i="5" s="1"/>
  <c r="F86" i="6"/>
  <c r="D85" i="5"/>
  <c r="K85" i="5" s="1"/>
  <c r="F85" i="6"/>
  <c r="F84" i="6"/>
  <c r="D84" i="5"/>
  <c r="K84" i="5" s="1"/>
  <c r="F83" i="6"/>
  <c r="D83" i="5"/>
  <c r="K83" i="5" s="1"/>
  <c r="T82" i="5"/>
  <c r="G82" i="5"/>
  <c r="H82" i="5" s="1"/>
  <c r="K82" i="5" s="1"/>
  <c r="E82" i="5"/>
  <c r="J82" i="5"/>
  <c r="E81" i="5"/>
  <c r="J81" i="5"/>
  <c r="E80" i="5"/>
  <c r="J80" i="5"/>
  <c r="E79" i="5"/>
  <c r="J79" i="5" s="1"/>
  <c r="P79" i="5" s="1"/>
  <c r="E78" i="5"/>
  <c r="J78" i="5" s="1"/>
  <c r="P78" i="5" s="1"/>
  <c r="E77" i="5"/>
  <c r="J77" i="5" s="1"/>
  <c r="P77" i="5" s="1"/>
  <c r="E76" i="5"/>
  <c r="J76" i="5"/>
  <c r="E75" i="5"/>
  <c r="J75" i="5"/>
  <c r="E74" i="5"/>
  <c r="J74" i="5"/>
  <c r="E73" i="5"/>
  <c r="J73" i="5"/>
  <c r="E72" i="5"/>
  <c r="J72" i="5" s="1"/>
  <c r="P72" i="5" s="1"/>
  <c r="E71" i="5"/>
  <c r="J71" i="5" s="1"/>
  <c r="P71" i="5" s="1"/>
  <c r="E70" i="5"/>
  <c r="J70" i="5"/>
  <c r="E69" i="5"/>
  <c r="J69" i="5"/>
  <c r="F68" i="6"/>
  <c r="D68" i="5"/>
  <c r="K68" i="5" s="1"/>
  <c r="E67" i="5"/>
  <c r="J67" i="5"/>
  <c r="E66" i="5"/>
  <c r="J66" i="5"/>
  <c r="N100" i="5"/>
  <c r="O100" i="5"/>
  <c r="O99" i="5"/>
  <c r="N99" i="5"/>
  <c r="O98" i="5"/>
  <c r="N98" i="5"/>
  <c r="O97" i="5"/>
  <c r="N97" i="5"/>
  <c r="O95" i="5"/>
  <c r="N95" i="5"/>
  <c r="N94" i="5"/>
  <c r="O94" i="5"/>
  <c r="N93" i="5"/>
  <c r="O93" i="5"/>
  <c r="O92" i="5"/>
  <c r="N92" i="5"/>
  <c r="N91" i="5"/>
  <c r="O91" i="5"/>
  <c r="O90" i="5"/>
  <c r="N90" i="5"/>
  <c r="O89" i="5"/>
  <c r="N89" i="5"/>
  <c r="N88" i="5"/>
  <c r="O88" i="5"/>
  <c r="N87" i="5"/>
  <c r="O87" i="5"/>
  <c r="O86" i="5"/>
  <c r="N86" i="5"/>
  <c r="N85" i="5"/>
  <c r="O85" i="5"/>
  <c r="N84" i="5"/>
  <c r="O84" i="5"/>
  <c r="N83" i="5"/>
  <c r="O83" i="5"/>
  <c r="N82" i="5"/>
  <c r="O82" i="5"/>
  <c r="P82" i="5"/>
  <c r="T81" i="5"/>
  <c r="N81" i="5"/>
  <c r="O81" i="5"/>
  <c r="P81" i="5"/>
  <c r="N80" i="5"/>
  <c r="O80" i="5"/>
  <c r="P80" i="5"/>
  <c r="T80" i="5"/>
  <c r="N79" i="5"/>
  <c r="O79" i="5"/>
  <c r="T79" i="5"/>
  <c r="O78" i="5"/>
  <c r="N78" i="5"/>
  <c r="T78" i="5"/>
  <c r="N77" i="5"/>
  <c r="O77" i="5"/>
  <c r="T77" i="5"/>
  <c r="N76" i="5"/>
  <c r="O76" i="5"/>
  <c r="T76" i="5"/>
  <c r="P76" i="5"/>
  <c r="T75" i="5"/>
  <c r="N75" i="5"/>
  <c r="O75" i="5"/>
  <c r="P75" i="5"/>
  <c r="T74" i="5"/>
  <c r="N74" i="5"/>
  <c r="P74" i="5"/>
  <c r="O74" i="5"/>
  <c r="O73" i="5"/>
  <c r="N73" i="5"/>
  <c r="T73" i="5"/>
  <c r="P73" i="5"/>
  <c r="N72" i="5"/>
  <c r="O72" i="5"/>
  <c r="T72" i="5"/>
  <c r="T71" i="5"/>
  <c r="N71" i="5"/>
  <c r="O71" i="5"/>
  <c r="T70" i="5"/>
  <c r="P70" i="5"/>
  <c r="O70" i="5"/>
  <c r="N70" i="5"/>
  <c r="T69" i="5"/>
  <c r="P69" i="5"/>
  <c r="O69" i="5"/>
  <c r="N69" i="5"/>
  <c r="P67" i="5"/>
  <c r="O67" i="5"/>
  <c r="N67" i="5"/>
  <c r="O66" i="5"/>
  <c r="N66" i="5"/>
  <c r="T66" i="5"/>
  <c r="P66" i="5"/>
  <c r="S65" i="5"/>
  <c r="L65" i="5"/>
  <c r="J65" i="5"/>
  <c r="P65" i="5"/>
  <c r="T65" i="5"/>
  <c r="O65" i="5"/>
  <c r="N65" i="5"/>
  <c r="S64" i="5"/>
  <c r="L64" i="5"/>
  <c r="J64" i="5"/>
  <c r="T64" i="5"/>
  <c r="P64" i="5"/>
  <c r="O64" i="5"/>
  <c r="N64" i="5"/>
  <c r="J63" i="5"/>
  <c r="L63" i="5"/>
  <c r="S63" i="5"/>
  <c r="T63" i="5"/>
  <c r="P63" i="5"/>
  <c r="O63" i="5"/>
  <c r="N63" i="5"/>
  <c r="S62" i="5"/>
  <c r="L62" i="5"/>
  <c r="J62" i="5"/>
  <c r="T62" i="5"/>
  <c r="P62" i="5"/>
  <c r="O62" i="5"/>
  <c r="N62" i="5"/>
  <c r="S61" i="5"/>
  <c r="E17" i="4" s="1"/>
  <c r="L61" i="5"/>
  <c r="H17" i="4" s="1"/>
  <c r="J61" i="5"/>
  <c r="T61" i="5"/>
  <c r="P61" i="5"/>
  <c r="J17" i="4" s="1"/>
  <c r="O61" i="5"/>
  <c r="N61" i="5"/>
  <c r="J60" i="5"/>
  <c r="L60" i="5"/>
  <c r="S60" i="5"/>
  <c r="T60" i="5"/>
  <c r="P60" i="5"/>
  <c r="O60" i="5"/>
  <c r="N60" i="5"/>
  <c r="J59" i="5"/>
  <c r="S59" i="5"/>
  <c r="L59" i="5"/>
  <c r="T59" i="5"/>
  <c r="P59" i="5"/>
  <c r="O59" i="5"/>
  <c r="N59" i="5"/>
  <c r="S58" i="5"/>
  <c r="J58" i="5"/>
  <c r="L58" i="5"/>
  <c r="P58" i="5"/>
  <c r="O58" i="5"/>
  <c r="N58" i="5"/>
  <c r="S57" i="5"/>
  <c r="L57" i="5"/>
  <c r="J57" i="5"/>
  <c r="T57" i="5"/>
  <c r="P57" i="5"/>
  <c r="O57" i="5"/>
  <c r="N57" i="5"/>
  <c r="J56" i="5"/>
  <c r="S56" i="5"/>
  <c r="E16" i="4" s="1"/>
  <c r="L56" i="5"/>
  <c r="H16" i="4" s="1"/>
  <c r="T56" i="5"/>
  <c r="P56" i="5"/>
  <c r="J16" i="4" s="1"/>
  <c r="O56" i="5"/>
  <c r="N56" i="5"/>
  <c r="J55" i="5"/>
  <c r="S55" i="5"/>
  <c r="L55" i="5"/>
  <c r="P55" i="5"/>
  <c r="N55" i="5"/>
  <c r="O55" i="5"/>
  <c r="T55" i="5"/>
  <c r="J54" i="5"/>
  <c r="S54" i="5"/>
  <c r="L54" i="5"/>
  <c r="T54" i="5"/>
  <c r="P54" i="5"/>
  <c r="O54" i="5"/>
  <c r="N54" i="5"/>
  <c r="L53" i="5"/>
  <c r="S53" i="5"/>
  <c r="J53" i="5"/>
  <c r="N53" i="5"/>
  <c r="O53" i="5"/>
  <c r="P53" i="5"/>
  <c r="T53" i="5"/>
  <c r="S52" i="5"/>
  <c r="L52" i="5"/>
  <c r="J52" i="5"/>
  <c r="T52" i="5"/>
  <c r="P52" i="5"/>
  <c r="O52" i="5"/>
  <c r="N52" i="5"/>
  <c r="S51" i="5"/>
  <c r="L51" i="5"/>
  <c r="J51" i="5"/>
  <c r="T51" i="5"/>
  <c r="P51" i="5"/>
  <c r="N51" i="5"/>
  <c r="O51" i="5"/>
  <c r="L50" i="5"/>
  <c r="S50" i="5"/>
  <c r="J50" i="5"/>
  <c r="T50" i="5"/>
  <c r="P50" i="5"/>
  <c r="O50" i="5"/>
  <c r="N50" i="5"/>
  <c r="J49" i="5"/>
  <c r="P49" i="5" s="1"/>
  <c r="L49" i="5"/>
  <c r="J48" i="5"/>
  <c r="L48" i="5"/>
  <c r="S48" i="5"/>
  <c r="N48" i="5"/>
  <c r="O48" i="5"/>
  <c r="P48" i="5"/>
  <c r="T48" i="5"/>
  <c r="S47" i="5"/>
  <c r="L47" i="5"/>
  <c r="J47" i="5"/>
  <c r="P47" i="5"/>
  <c r="T47" i="5"/>
  <c r="N47" i="5"/>
  <c r="O47" i="5"/>
  <c r="L46" i="5"/>
  <c r="S46" i="5"/>
  <c r="E14" i="4" s="1"/>
  <c r="J46" i="5"/>
  <c r="T46" i="5"/>
  <c r="P46" i="5"/>
  <c r="J14" i="4" s="1"/>
  <c r="O46" i="5"/>
  <c r="N46" i="5"/>
  <c r="L45" i="5"/>
  <c r="J45" i="5"/>
  <c r="S45" i="5"/>
  <c r="N45" i="5"/>
  <c r="T45" i="5"/>
  <c r="P45" i="5"/>
  <c r="O45" i="5"/>
  <c r="J44" i="5"/>
  <c r="L44" i="5"/>
  <c r="S44" i="5"/>
  <c r="N44" i="5"/>
  <c r="O44" i="5"/>
  <c r="P44" i="5"/>
  <c r="T44" i="5"/>
  <c r="J43" i="5"/>
  <c r="L43" i="5"/>
  <c r="S43" i="5"/>
  <c r="P43" i="5"/>
  <c r="O43" i="5"/>
  <c r="N43" i="5"/>
  <c r="T43" i="5"/>
  <c r="J42" i="5"/>
  <c r="S42" i="5"/>
  <c r="L42" i="5"/>
  <c r="O42" i="5"/>
  <c r="P42" i="5"/>
  <c r="T42" i="5"/>
  <c r="N42" i="5"/>
  <c r="M13" i="4"/>
  <c r="H41" i="58"/>
  <c r="S41" i="5"/>
  <c r="E13" i="4" s="1"/>
  <c r="L41" i="5"/>
  <c r="H13" i="4" s="1"/>
  <c r="J41" i="5"/>
  <c r="P41" i="5" s="1"/>
  <c r="J13" i="4" s="1"/>
  <c r="O41" i="5"/>
  <c r="N41" i="5"/>
  <c r="T41" i="5"/>
  <c r="K40" i="5"/>
  <c r="B10" i="30" s="1"/>
  <c r="R40" i="5"/>
  <c r="L40" i="5"/>
  <c r="J40" i="5"/>
  <c r="P40" i="5" s="1"/>
  <c r="S40" i="5"/>
  <c r="S39" i="5"/>
  <c r="L39" i="5"/>
  <c r="J39" i="5"/>
  <c r="P39" i="5"/>
  <c r="T39" i="5"/>
  <c r="O39" i="5"/>
  <c r="N39" i="5"/>
  <c r="S38" i="5"/>
  <c r="L38" i="5"/>
  <c r="J38" i="5"/>
  <c r="P38" i="5"/>
  <c r="T38" i="5"/>
  <c r="O38" i="5"/>
  <c r="N38" i="5"/>
  <c r="L37" i="5"/>
  <c r="J37" i="5"/>
  <c r="S37" i="5"/>
  <c r="O37" i="5"/>
  <c r="N37" i="5"/>
  <c r="T37" i="5"/>
  <c r="P37" i="5"/>
  <c r="D7" i="30" s="1"/>
  <c r="J36" i="5"/>
  <c r="L36" i="5"/>
  <c r="S36" i="5"/>
  <c r="E20" i="4" s="1"/>
  <c r="O36" i="5"/>
  <c r="N36" i="5"/>
  <c r="P36" i="5"/>
  <c r="J20" i="4" s="1"/>
  <c r="T36" i="5"/>
  <c r="L35" i="5"/>
  <c r="S35" i="5"/>
  <c r="J35" i="5"/>
  <c r="T35" i="5"/>
  <c r="O35" i="5"/>
  <c r="N35" i="5"/>
  <c r="P35" i="5"/>
  <c r="L34" i="5"/>
  <c r="J34" i="5"/>
  <c r="S34" i="5"/>
  <c r="T34" i="5"/>
  <c r="P34" i="5"/>
  <c r="O34" i="5"/>
  <c r="N34" i="5"/>
  <c r="J33" i="5"/>
  <c r="S33" i="5"/>
  <c r="L33" i="5"/>
  <c r="T33" i="5"/>
  <c r="P33" i="5"/>
  <c r="O33" i="5"/>
  <c r="N33" i="5"/>
  <c r="S32" i="5"/>
  <c r="L32" i="5"/>
  <c r="J32" i="5"/>
  <c r="P32" i="5"/>
  <c r="O32" i="5"/>
  <c r="N32" i="5"/>
  <c r="T32" i="5"/>
  <c r="J31" i="5"/>
  <c r="S31" i="5"/>
  <c r="E11" i="4" s="1"/>
  <c r="L31" i="5"/>
  <c r="H11" i="4" s="1"/>
  <c r="P31" i="5"/>
  <c r="J11" i="4" s="1"/>
  <c r="O31" i="5"/>
  <c r="N31" i="5"/>
  <c r="T31" i="5"/>
  <c r="S30" i="5"/>
  <c r="L30" i="5"/>
  <c r="H10" i="4" s="1"/>
  <c r="J30" i="5"/>
  <c r="T30" i="5"/>
  <c r="N30" i="5"/>
  <c r="O30" i="5"/>
  <c r="P30" i="5"/>
  <c r="S29" i="5"/>
  <c r="L29" i="5"/>
  <c r="J29" i="5"/>
  <c r="T29" i="5"/>
  <c r="P29" i="5"/>
  <c r="O29" i="5"/>
  <c r="N29" i="5"/>
  <c r="L28" i="5"/>
  <c r="J28" i="5"/>
  <c r="S28" i="5"/>
  <c r="N28" i="5"/>
  <c r="O28" i="5"/>
  <c r="T28" i="5"/>
  <c r="P28" i="5"/>
  <c r="L27" i="5"/>
  <c r="S27" i="5"/>
  <c r="J27" i="5"/>
  <c r="T27" i="5"/>
  <c r="N27" i="5"/>
  <c r="O27" i="5"/>
  <c r="P27" i="5"/>
  <c r="S26" i="5"/>
  <c r="L26" i="5"/>
  <c r="J26" i="5"/>
  <c r="O26" i="5"/>
  <c r="N26" i="5"/>
  <c r="T26" i="5"/>
  <c r="P26" i="5"/>
  <c r="S25" i="5"/>
  <c r="L25" i="5"/>
  <c r="J25" i="5"/>
  <c r="T25" i="5"/>
  <c r="P25" i="5"/>
  <c r="O25" i="5"/>
  <c r="N25" i="5"/>
  <c r="L24" i="5"/>
  <c r="J24" i="5"/>
  <c r="S24" i="5"/>
  <c r="N24" i="5"/>
  <c r="T24" i="5"/>
  <c r="P24" i="5"/>
  <c r="O24" i="5"/>
  <c r="S23" i="5"/>
  <c r="L23" i="5"/>
  <c r="J23" i="5"/>
  <c r="P23" i="5"/>
  <c r="O23" i="5"/>
  <c r="N23" i="5"/>
  <c r="T23" i="5"/>
  <c r="L22" i="5"/>
  <c r="J22" i="5"/>
  <c r="S22" i="5"/>
  <c r="E9" i="4" s="1"/>
  <c r="T22" i="5"/>
  <c r="P22" i="5"/>
  <c r="J9" i="4" s="1"/>
  <c r="N22" i="5"/>
  <c r="O22" i="5"/>
  <c r="K21" i="5"/>
  <c r="G9" i="4" s="1"/>
  <c r="L21" i="5"/>
  <c r="H9" i="4" s="1"/>
  <c r="R21" i="5"/>
  <c r="L20" i="5"/>
  <c r="J20" i="5"/>
  <c r="S20" i="5"/>
  <c r="P20" i="5"/>
  <c r="N20" i="5"/>
  <c r="T20" i="5"/>
  <c r="O20" i="5"/>
  <c r="J19" i="5"/>
  <c r="L19" i="5"/>
  <c r="S19" i="5"/>
  <c r="N19" i="5"/>
  <c r="P19" i="5"/>
  <c r="O19" i="5"/>
  <c r="T19" i="5"/>
  <c r="S18" i="5"/>
  <c r="J18" i="5"/>
  <c r="L18" i="5"/>
  <c r="H8" i="4" s="1"/>
  <c r="P18" i="5"/>
  <c r="O18" i="5"/>
  <c r="N18" i="5"/>
  <c r="T18" i="5"/>
  <c r="S17" i="5"/>
  <c r="J17" i="5"/>
  <c r="L17" i="5"/>
  <c r="T17" i="5"/>
  <c r="O17" i="5"/>
  <c r="P17" i="5"/>
  <c r="N17" i="5"/>
  <c r="J16" i="5"/>
  <c r="L16" i="5"/>
  <c r="S16" i="5"/>
  <c r="N16" i="5"/>
  <c r="O16" i="5"/>
  <c r="P16" i="5"/>
  <c r="T16" i="5"/>
  <c r="J15" i="5"/>
  <c r="L15" i="5"/>
  <c r="S15" i="5"/>
  <c r="T15" i="5"/>
  <c r="P15" i="5"/>
  <c r="N15" i="5"/>
  <c r="O15" i="5"/>
  <c r="L14" i="5"/>
  <c r="J14" i="5"/>
  <c r="S14" i="5"/>
  <c r="N14" i="5"/>
  <c r="T14" i="5"/>
  <c r="P14" i="5"/>
  <c r="O14" i="5"/>
  <c r="J13" i="5"/>
  <c r="S13" i="5"/>
  <c r="L13" i="5"/>
  <c r="T13" i="5"/>
  <c r="P13" i="5"/>
  <c r="O13" i="5"/>
  <c r="N13" i="5"/>
  <c r="L12" i="5"/>
  <c r="J12" i="5"/>
  <c r="S12" i="5"/>
  <c r="S11" i="5"/>
  <c r="E7" i="4" s="1"/>
  <c r="L11" i="5"/>
  <c r="J11" i="5"/>
  <c r="N11" i="5"/>
  <c r="T11" i="5"/>
  <c r="P11" i="5"/>
  <c r="J7" i="4" s="1"/>
  <c r="O11" i="5"/>
  <c r="S10" i="5"/>
  <c r="J10" i="5"/>
  <c r="L10" i="5"/>
  <c r="T10" i="5"/>
  <c r="P10" i="5"/>
  <c r="O10" i="5"/>
  <c r="N10" i="5"/>
  <c r="S9" i="5"/>
  <c r="L9" i="5"/>
  <c r="J9" i="5"/>
  <c r="P9" i="5"/>
  <c r="O9" i="5"/>
  <c r="N9" i="5"/>
  <c r="T9" i="5"/>
  <c r="L8" i="5"/>
  <c r="J8" i="5"/>
  <c r="S8" i="5"/>
  <c r="O8" i="5"/>
  <c r="N8" i="5"/>
  <c r="P8" i="5"/>
  <c r="T8" i="5"/>
  <c r="S7" i="5"/>
  <c r="L7" i="5"/>
  <c r="J7" i="5"/>
  <c r="T7" i="5"/>
  <c r="P7" i="5"/>
  <c r="O7" i="5"/>
  <c r="N7" i="5"/>
  <c r="S6" i="5"/>
  <c r="L6" i="5"/>
  <c r="H21" i="4" s="1"/>
  <c r="J6" i="5"/>
  <c r="O6" i="5"/>
  <c r="N6" i="5"/>
  <c r="T6" i="5"/>
  <c r="P6" i="5"/>
  <c r="F20" i="4"/>
  <c r="M19" i="4"/>
  <c r="G18" i="4"/>
  <c r="M17" i="4"/>
  <c r="G17" i="4"/>
  <c r="M16" i="4"/>
  <c r="G16" i="4"/>
  <c r="M15" i="4"/>
  <c r="M14" i="4"/>
  <c r="H14" i="4"/>
  <c r="G14" i="4"/>
  <c r="G13" i="4"/>
  <c r="G12" i="4"/>
  <c r="M12" i="4"/>
  <c r="M11" i="4"/>
  <c r="G11" i="4"/>
  <c r="M10" i="4"/>
  <c r="G8" i="4"/>
  <c r="M8" i="4"/>
  <c r="M7" i="4"/>
  <c r="H7" i="4"/>
  <c r="G7" i="4"/>
  <c r="M6" i="4"/>
  <c r="H6" i="4"/>
  <c r="O21" i="5"/>
  <c r="O12" i="5"/>
  <c r="O49" i="5"/>
  <c r="O40" i="5"/>
  <c r="O68" i="5"/>
  <c r="O96" i="5"/>
  <c r="N21" i="5"/>
  <c r="N68" i="5"/>
  <c r="N49" i="5"/>
  <c r="N96" i="5"/>
  <c r="N12" i="5"/>
  <c r="C22" i="4"/>
  <c r="N40" i="5"/>
  <c r="J6" i="82"/>
  <c r="H93" i="5"/>
  <c r="C12" i="56"/>
  <c r="K71" i="5"/>
  <c r="K70" i="5"/>
  <c r="K52" i="5"/>
  <c r="K27" i="5"/>
  <c r="G10" i="4" s="1"/>
  <c r="K10" i="5"/>
  <c r="K12" i="82" l="1"/>
  <c r="E8" i="75"/>
  <c r="F8" i="75" s="1"/>
  <c r="K9" i="82"/>
  <c r="K8" i="82"/>
  <c r="D13" i="92"/>
  <c r="E13" i="92" s="1"/>
  <c r="D12" i="92"/>
  <c r="E12" i="92" s="1"/>
  <c r="H12" i="59"/>
  <c r="F21" i="59"/>
  <c r="H6" i="59"/>
  <c r="F19" i="59"/>
  <c r="B18" i="46"/>
  <c r="D22" i="71"/>
  <c r="E22" i="71" s="1"/>
  <c r="I41" i="35"/>
  <c r="H41" i="35"/>
  <c r="J41" i="35"/>
  <c r="I40" i="35"/>
  <c r="J40" i="35"/>
  <c r="H40" i="35"/>
  <c r="O40" i="35" s="1"/>
  <c r="J39" i="35"/>
  <c r="H39" i="35"/>
  <c r="I39" i="35"/>
  <c r="J38" i="35"/>
  <c r="H38" i="35"/>
  <c r="I38" i="35"/>
  <c r="I37" i="35"/>
  <c r="H37" i="35"/>
  <c r="J37" i="35"/>
  <c r="I36" i="35"/>
  <c r="H36" i="35"/>
  <c r="J36" i="35"/>
  <c r="I35" i="35"/>
  <c r="J35" i="35"/>
  <c r="I34" i="35"/>
  <c r="J34" i="35"/>
  <c r="I33" i="35"/>
  <c r="J33" i="35"/>
  <c r="I32" i="35"/>
  <c r="J32" i="35"/>
  <c r="I31" i="35"/>
  <c r="J31" i="35"/>
  <c r="I30" i="35"/>
  <c r="J30" i="35"/>
  <c r="H29" i="35"/>
  <c r="I29" i="35"/>
  <c r="J29" i="35"/>
  <c r="H28" i="35"/>
  <c r="I28" i="35"/>
  <c r="J28" i="35"/>
  <c r="H27" i="35"/>
  <c r="I27" i="35"/>
  <c r="J27" i="35"/>
  <c r="H26" i="35"/>
  <c r="I26" i="35"/>
  <c r="J26" i="35"/>
  <c r="H25" i="35"/>
  <c r="I25" i="35"/>
  <c r="J25" i="35"/>
  <c r="H24" i="35"/>
  <c r="I24" i="35"/>
  <c r="J24" i="35"/>
  <c r="H23" i="35"/>
  <c r="I23" i="35"/>
  <c r="J23" i="35"/>
  <c r="H22" i="35"/>
  <c r="I22" i="35"/>
  <c r="J22" i="35"/>
  <c r="H21" i="35"/>
  <c r="I21" i="35"/>
  <c r="J21" i="35"/>
  <c r="H20" i="35"/>
  <c r="I20" i="35"/>
  <c r="J20" i="35"/>
  <c r="H19" i="35"/>
  <c r="I19" i="35"/>
  <c r="J19" i="35"/>
  <c r="H18" i="35"/>
  <c r="I18" i="35"/>
  <c r="J18" i="35"/>
  <c r="I17" i="35"/>
  <c r="J17" i="35"/>
  <c r="I16" i="35"/>
  <c r="J16" i="35"/>
  <c r="I15" i="35"/>
  <c r="J15" i="35"/>
  <c r="I14" i="35"/>
  <c r="J14" i="35"/>
  <c r="I13" i="35"/>
  <c r="J13" i="35"/>
  <c r="I12" i="35"/>
  <c r="J12" i="35"/>
  <c r="H11" i="35"/>
  <c r="I11" i="35"/>
  <c r="J11" i="35"/>
  <c r="H10" i="35"/>
  <c r="I10" i="35"/>
  <c r="J10" i="35"/>
  <c r="H9" i="35"/>
  <c r="I9" i="35"/>
  <c r="J9" i="35"/>
  <c r="H8" i="35"/>
  <c r="I8" i="35"/>
  <c r="J8" i="35"/>
  <c r="H7" i="35"/>
  <c r="I7" i="35"/>
  <c r="J7" i="35"/>
  <c r="H6" i="35"/>
  <c r="I6" i="35"/>
  <c r="J6" i="35"/>
  <c r="U100" i="5"/>
  <c r="E100" i="5"/>
  <c r="J100" i="5"/>
  <c r="P100" i="5" s="1"/>
  <c r="U99" i="5"/>
  <c r="E99" i="5"/>
  <c r="J99" i="5"/>
  <c r="P99" i="5" s="1"/>
  <c r="U98" i="5"/>
  <c r="E98" i="5"/>
  <c r="J98" i="5" s="1"/>
  <c r="P98" i="5" s="1"/>
  <c r="U97" i="5"/>
  <c r="E97" i="5"/>
  <c r="J97" i="5"/>
  <c r="P97" i="5" s="1"/>
  <c r="E96" i="5"/>
  <c r="J96" i="5"/>
  <c r="P96" i="5" s="1"/>
  <c r="U95" i="5"/>
  <c r="E95" i="5"/>
  <c r="J95" i="5"/>
  <c r="P95" i="5" s="1"/>
  <c r="U94" i="5"/>
  <c r="E94" i="5"/>
  <c r="J94" i="5"/>
  <c r="P94" i="5" s="1"/>
  <c r="U93" i="5"/>
  <c r="E93" i="5"/>
  <c r="J93" i="5"/>
  <c r="P93" i="5" s="1"/>
  <c r="U92" i="5"/>
  <c r="E92" i="5"/>
  <c r="J92" i="5"/>
  <c r="P92" i="5" s="1"/>
  <c r="U91" i="5"/>
  <c r="E91" i="5"/>
  <c r="J91" i="5"/>
  <c r="P91" i="5" s="1"/>
  <c r="U90" i="5"/>
  <c r="E90" i="5"/>
  <c r="J90" i="5"/>
  <c r="P90" i="5" s="1"/>
  <c r="U89" i="5"/>
  <c r="E89" i="5"/>
  <c r="J89" i="5"/>
  <c r="P89" i="5" s="1"/>
  <c r="U88" i="5"/>
  <c r="E88" i="5"/>
  <c r="J88" i="5" s="1"/>
  <c r="U87" i="5"/>
  <c r="E87" i="5"/>
  <c r="J87" i="5"/>
  <c r="P87" i="5" s="1"/>
  <c r="U86" i="5"/>
  <c r="E86" i="5"/>
  <c r="J86" i="5"/>
  <c r="P86" i="5" s="1"/>
  <c r="U85" i="5"/>
  <c r="E85" i="5"/>
  <c r="J85" i="5"/>
  <c r="P85" i="5" s="1"/>
  <c r="U84" i="5"/>
  <c r="E84" i="5"/>
  <c r="J84" i="5"/>
  <c r="P84" i="5" s="1"/>
  <c r="U83" i="5"/>
  <c r="E83" i="5"/>
  <c r="J83" i="5"/>
  <c r="P83" i="5" s="1"/>
  <c r="L82" i="5"/>
  <c r="S82" i="5"/>
  <c r="L81" i="5"/>
  <c r="S81" i="5"/>
  <c r="L80" i="5"/>
  <c r="S80" i="5"/>
  <c r="L79" i="5"/>
  <c r="S79" i="5"/>
  <c r="L78" i="5"/>
  <c r="S78" i="5"/>
  <c r="L77" i="5"/>
  <c r="S77" i="5"/>
  <c r="S76" i="5"/>
  <c r="L76" i="5"/>
  <c r="L75" i="5"/>
  <c r="S75" i="5"/>
  <c r="S74" i="5"/>
  <c r="L74" i="5"/>
  <c r="L73" i="5"/>
  <c r="S73" i="5"/>
  <c r="L72" i="5"/>
  <c r="S72" i="5"/>
  <c r="L71" i="5"/>
  <c r="S71" i="5"/>
  <c r="L70" i="5"/>
  <c r="S70" i="5"/>
  <c r="L69" i="5"/>
  <c r="S69" i="5"/>
  <c r="E68" i="5"/>
  <c r="U68" i="5"/>
  <c r="J68" i="5"/>
  <c r="P68" i="5" s="1"/>
  <c r="L67" i="5"/>
  <c r="S67" i="5"/>
  <c r="L66" i="5"/>
  <c r="S66" i="5"/>
  <c r="M65" i="5"/>
  <c r="Q65" i="5"/>
  <c r="G65" i="58" s="1"/>
  <c r="J65" i="58" s="1"/>
  <c r="M64" i="5"/>
  <c r="Q64" i="5"/>
  <c r="G64" i="58" s="1"/>
  <c r="J64" i="58" s="1"/>
  <c r="M63" i="5"/>
  <c r="Q63" i="5"/>
  <c r="G63" i="58" s="1"/>
  <c r="J63" i="58" s="1"/>
  <c r="M62" i="5"/>
  <c r="Q62" i="5"/>
  <c r="G62" i="58" s="1"/>
  <c r="J62" i="58" s="1"/>
  <c r="M61" i="5"/>
  <c r="Q61" i="5"/>
  <c r="G61" i="58" s="1"/>
  <c r="M60" i="5"/>
  <c r="Q60" i="5"/>
  <c r="G60" i="58" s="1"/>
  <c r="J60" i="58" s="1"/>
  <c r="M59" i="5"/>
  <c r="Q59" i="5"/>
  <c r="G59" i="58" s="1"/>
  <c r="J59" i="58" s="1"/>
  <c r="M58" i="5"/>
  <c r="Q58" i="5"/>
  <c r="G58" i="58" s="1"/>
  <c r="J58" i="58" s="1"/>
  <c r="M57" i="5"/>
  <c r="Q57" i="5"/>
  <c r="G57" i="58" s="1"/>
  <c r="J57" i="58" s="1"/>
  <c r="M56" i="5"/>
  <c r="Q56" i="5"/>
  <c r="G56" i="58" s="1"/>
  <c r="M55" i="5"/>
  <c r="Q55" i="5"/>
  <c r="G55" i="58" s="1"/>
  <c r="J55" i="58" s="1"/>
  <c r="M54" i="5"/>
  <c r="Q54" i="5"/>
  <c r="G54" i="58" s="1"/>
  <c r="J54" i="58" s="1"/>
  <c r="M53" i="5"/>
  <c r="Q53" i="5"/>
  <c r="G53" i="58" s="1"/>
  <c r="J53" i="58" s="1"/>
  <c r="M52" i="5"/>
  <c r="Q52" i="5"/>
  <c r="G52" i="58" s="1"/>
  <c r="J52" i="58" s="1"/>
  <c r="E19" i="4"/>
  <c r="E15" i="4"/>
  <c r="M51" i="5"/>
  <c r="Q51" i="5"/>
  <c r="G51" i="58" s="1"/>
  <c r="J19" i="4"/>
  <c r="J15" i="4"/>
  <c r="M50" i="5"/>
  <c r="Q50" i="5"/>
  <c r="M49" i="5"/>
  <c r="Q49" i="5"/>
  <c r="M48" i="5"/>
  <c r="Q48" i="5"/>
  <c r="M47" i="5"/>
  <c r="Q47" i="5"/>
  <c r="M46" i="5"/>
  <c r="Q46" i="5"/>
  <c r="M45" i="5"/>
  <c r="Q45" i="5"/>
  <c r="M44" i="5"/>
  <c r="Q44" i="5"/>
  <c r="Q43" i="5"/>
  <c r="M43" i="5"/>
  <c r="Q42" i="5"/>
  <c r="M42" i="5"/>
  <c r="B13" i="33"/>
  <c r="M41" i="5"/>
  <c r="Q41" i="5"/>
  <c r="M40" i="5"/>
  <c r="C10" i="30" s="1"/>
  <c r="Q40" i="5"/>
  <c r="E10" i="30" s="1"/>
  <c r="M39" i="5"/>
  <c r="C9" i="30" s="1"/>
  <c r="Q39" i="5"/>
  <c r="E9" i="30" s="1"/>
  <c r="M38" i="5"/>
  <c r="C8" i="30" s="1"/>
  <c r="Q38" i="5"/>
  <c r="E8" i="30" s="1"/>
  <c r="M37" i="5"/>
  <c r="C7" i="30" s="1"/>
  <c r="Q37" i="5"/>
  <c r="E7" i="30" s="1"/>
  <c r="M36" i="5"/>
  <c r="C6" i="30" s="1"/>
  <c r="Q36" i="5"/>
  <c r="E6" i="30" s="1"/>
  <c r="D19" i="45" s="1"/>
  <c r="E19" i="45" s="1"/>
  <c r="F19" i="45" s="1"/>
  <c r="E18" i="4"/>
  <c r="E12" i="4"/>
  <c r="J18" i="4"/>
  <c r="J12" i="4"/>
  <c r="D6" i="30"/>
  <c r="M35" i="5"/>
  <c r="Q35" i="5"/>
  <c r="M34" i="5"/>
  <c r="Q34" i="5"/>
  <c r="M33" i="5"/>
  <c r="Q33" i="5"/>
  <c r="M32" i="5"/>
  <c r="Q32" i="5"/>
  <c r="M31" i="5"/>
  <c r="Q31" i="5"/>
  <c r="M30" i="5"/>
  <c r="Q30" i="5"/>
  <c r="M29" i="5"/>
  <c r="Q29" i="5"/>
  <c r="M28" i="5"/>
  <c r="Q28" i="5"/>
  <c r="M27" i="5"/>
  <c r="Q27" i="5"/>
  <c r="M26" i="5"/>
  <c r="Q26" i="5"/>
  <c r="M25" i="5"/>
  <c r="Q25" i="5"/>
  <c r="M24" i="5"/>
  <c r="Q24" i="5"/>
  <c r="M23" i="5"/>
  <c r="Q23" i="5"/>
  <c r="M22" i="5"/>
  <c r="Q22" i="5"/>
  <c r="M21" i="5"/>
  <c r="Q21" i="5"/>
  <c r="M20" i="5"/>
  <c r="Q20" i="5"/>
  <c r="M19" i="5"/>
  <c r="Q19" i="5"/>
  <c r="M18" i="5"/>
  <c r="Q18" i="5"/>
  <c r="M17" i="5"/>
  <c r="Q17" i="5"/>
  <c r="M16" i="5"/>
  <c r="Q16" i="5"/>
  <c r="M15" i="5"/>
  <c r="Q15" i="5"/>
  <c r="M14" i="5"/>
  <c r="Q14" i="5"/>
  <c r="M13" i="5"/>
  <c r="Q13" i="5"/>
  <c r="M12" i="5"/>
  <c r="Q12" i="5"/>
  <c r="M11" i="5"/>
  <c r="Q11" i="5"/>
  <c r="M10" i="5"/>
  <c r="Q10" i="5"/>
  <c r="M9" i="5"/>
  <c r="Q9" i="5"/>
  <c r="M8" i="5"/>
  <c r="Q8" i="5"/>
  <c r="M7" i="5"/>
  <c r="Q7" i="5"/>
  <c r="E21" i="4"/>
  <c r="E6" i="4"/>
  <c r="M6" i="5"/>
  <c r="Q6" i="5"/>
  <c r="D10" i="16"/>
  <c r="E10" i="16" s="1"/>
  <c r="F10" i="16" s="1"/>
  <c r="D11" i="16"/>
  <c r="E11" i="16" s="1"/>
  <c r="F11" i="16" s="1"/>
  <c r="J6" i="4"/>
  <c r="K6" i="4" s="1"/>
  <c r="N6" i="4" s="1"/>
  <c r="J21" i="4"/>
  <c r="D7" i="16"/>
  <c r="E7" i="16" s="1"/>
  <c r="F7" i="16" s="1"/>
  <c r="K21" i="4"/>
  <c r="I17" i="4"/>
  <c r="K17" i="4"/>
  <c r="N17" i="4"/>
  <c r="B17" i="33"/>
  <c r="B16" i="33"/>
  <c r="I16" i="4"/>
  <c r="K16" i="4"/>
  <c r="N16" i="4" s="1"/>
  <c r="B15" i="33"/>
  <c r="B14" i="33"/>
  <c r="I14" i="4"/>
  <c r="K14" i="4"/>
  <c r="N14" i="4" s="1"/>
  <c r="I13" i="4"/>
  <c r="K13" i="4"/>
  <c r="N13" i="4" s="1"/>
  <c r="B12" i="33"/>
  <c r="I11" i="4"/>
  <c r="K11" i="4"/>
  <c r="N11" i="4"/>
  <c r="B11" i="33"/>
  <c r="I10" i="4"/>
  <c r="B10" i="33"/>
  <c r="I9" i="4"/>
  <c r="K9" i="4"/>
  <c r="I8" i="4"/>
  <c r="B8" i="33"/>
  <c r="B7" i="33"/>
  <c r="I7" i="4"/>
  <c r="K7" i="4"/>
  <c r="N7" i="4" s="1"/>
  <c r="B6" i="33"/>
  <c r="K6" i="82"/>
  <c r="E6" i="75"/>
  <c r="F6" i="73"/>
  <c r="B10" i="46"/>
  <c r="D10" i="71"/>
  <c r="E10" i="71" s="1"/>
  <c r="K93" i="5"/>
  <c r="D10" i="30"/>
  <c r="D9" i="30"/>
  <c r="D8" i="30"/>
  <c r="E10" i="4"/>
  <c r="J10" i="4"/>
  <c r="K10" i="4" s="1"/>
  <c r="N10" i="4" s="1"/>
  <c r="E8" i="4"/>
  <c r="J8" i="4"/>
  <c r="K8" i="4" s="1"/>
  <c r="N8" i="4" s="1"/>
  <c r="J11" i="82"/>
  <c r="K13" i="82"/>
  <c r="F7" i="73"/>
  <c r="J47" i="58"/>
  <c r="D29" i="71"/>
  <c r="E29" i="71" s="1"/>
  <c r="G14" i="59"/>
  <c r="H19" i="4"/>
  <c r="H15" i="4"/>
  <c r="H40" i="58"/>
  <c r="M20" i="4"/>
  <c r="M18" i="4"/>
  <c r="H12" i="4"/>
  <c r="H20" i="4"/>
  <c r="H18" i="4"/>
  <c r="H21" i="58"/>
  <c r="M9" i="4"/>
  <c r="M21" i="4"/>
  <c r="G22" i="4"/>
  <c r="F22" i="4"/>
  <c r="G19" i="4"/>
  <c r="G20" i="4"/>
  <c r="G15" i="4"/>
  <c r="G6" i="4"/>
  <c r="I6" i="4" s="1"/>
  <c r="G21" i="4"/>
  <c r="H21" i="59" l="1"/>
  <c r="H19" i="59"/>
  <c r="L100" i="5"/>
  <c r="S100" i="5"/>
  <c r="L99" i="5"/>
  <c r="S99" i="5"/>
  <c r="L98" i="5"/>
  <c r="S98" i="5"/>
  <c r="L97" i="5"/>
  <c r="S97" i="5"/>
  <c r="L96" i="5"/>
  <c r="S96" i="5"/>
  <c r="L95" i="5"/>
  <c r="S95" i="5"/>
  <c r="L94" i="5"/>
  <c r="S94" i="5"/>
  <c r="L93" i="5"/>
  <c r="S93" i="5"/>
  <c r="L92" i="5"/>
  <c r="S92" i="5"/>
  <c r="L91" i="5"/>
  <c r="S91" i="5"/>
  <c r="L90" i="5"/>
  <c r="S90" i="5"/>
  <c r="L89" i="5"/>
  <c r="S89" i="5"/>
  <c r="L88" i="5"/>
  <c r="S88" i="5"/>
  <c r="L87" i="5"/>
  <c r="S87" i="5"/>
  <c r="L86" i="5"/>
  <c r="S86" i="5"/>
  <c r="L85" i="5"/>
  <c r="S85" i="5"/>
  <c r="L84" i="5"/>
  <c r="S84" i="5"/>
  <c r="L83" i="5"/>
  <c r="S83" i="5"/>
  <c r="M82" i="5"/>
  <c r="Q82" i="5"/>
  <c r="M81" i="5"/>
  <c r="Q81" i="5"/>
  <c r="M80" i="5"/>
  <c r="Q80" i="5"/>
  <c r="M79" i="5"/>
  <c r="Q79" i="5"/>
  <c r="M78" i="5"/>
  <c r="Q78" i="5"/>
  <c r="M77" i="5"/>
  <c r="Q77" i="5"/>
  <c r="M76" i="5"/>
  <c r="Q76" i="5"/>
  <c r="Q75" i="5"/>
  <c r="M75" i="5"/>
  <c r="M74" i="5"/>
  <c r="Q74" i="5"/>
  <c r="Q73" i="5"/>
  <c r="M73" i="5"/>
  <c r="M72" i="5"/>
  <c r="Q72" i="5"/>
  <c r="Q71" i="5"/>
  <c r="M71" i="5"/>
  <c r="M70" i="5"/>
  <c r="Q70" i="5"/>
  <c r="M69" i="5"/>
  <c r="Q69" i="5"/>
  <c r="S68" i="5"/>
  <c r="L68" i="5"/>
  <c r="M67" i="5"/>
  <c r="Q67" i="5"/>
  <c r="M66" i="5"/>
  <c r="Q66" i="5"/>
  <c r="J61" i="58"/>
  <c r="D17" i="59"/>
  <c r="F17" i="59" s="1"/>
  <c r="H17" i="59" s="1"/>
  <c r="J56" i="58"/>
  <c r="D16" i="59"/>
  <c r="F16" i="59" s="1"/>
  <c r="H16" i="59" s="1"/>
  <c r="J51" i="58"/>
  <c r="D15" i="59"/>
  <c r="C13" i="59"/>
  <c r="K13" i="59" s="1"/>
  <c r="B15" i="12"/>
  <c r="C12" i="31"/>
  <c r="L21" i="4"/>
  <c r="B11" i="17" s="1"/>
  <c r="B7" i="1"/>
  <c r="B16" i="12"/>
  <c r="D6" i="29"/>
  <c r="E6" i="29" s="1"/>
  <c r="C13" i="31"/>
  <c r="D6" i="45"/>
  <c r="E6" i="45" s="1"/>
  <c r="F6" i="45" s="1"/>
  <c r="B8" i="17"/>
  <c r="L17" i="4"/>
  <c r="O17" i="4"/>
  <c r="C17" i="33"/>
  <c r="C17" i="59"/>
  <c r="C16" i="59"/>
  <c r="L16" i="4"/>
  <c r="O16" i="4"/>
  <c r="C16" i="33"/>
  <c r="B20" i="33"/>
  <c r="C15" i="59"/>
  <c r="C14" i="59"/>
  <c r="L14" i="4"/>
  <c r="O14" i="4"/>
  <c r="C14" i="33"/>
  <c r="L13" i="4"/>
  <c r="O13" i="4"/>
  <c r="C13" i="33"/>
  <c r="B19" i="33"/>
  <c r="B21" i="33"/>
  <c r="C12" i="59"/>
  <c r="L11" i="4"/>
  <c r="O11" i="4"/>
  <c r="C11" i="33"/>
  <c r="C11" i="59"/>
  <c r="K11" i="59" s="1"/>
  <c r="L10" i="4"/>
  <c r="O10" i="4"/>
  <c r="C10" i="33"/>
  <c r="C10" i="59"/>
  <c r="K10" i="59" s="1"/>
  <c r="L9" i="4"/>
  <c r="O9" i="4"/>
  <c r="C9" i="33"/>
  <c r="L8" i="4"/>
  <c r="C8" i="33"/>
  <c r="O8" i="4"/>
  <c r="C8" i="59"/>
  <c r="K8" i="59" s="1"/>
  <c r="C7" i="59"/>
  <c r="K7" i="59" s="1"/>
  <c r="L7" i="4"/>
  <c r="O7" i="4"/>
  <c r="C7" i="33"/>
  <c r="B18" i="33"/>
  <c r="C6" i="59"/>
  <c r="L6" i="4"/>
  <c r="O6" i="4"/>
  <c r="C6" i="33"/>
  <c r="F6" i="75"/>
  <c r="G6" i="73"/>
  <c r="B13" i="72"/>
  <c r="D8" i="92"/>
  <c r="E8" i="92" s="1"/>
  <c r="G7" i="73"/>
  <c r="H7" i="73" s="1"/>
  <c r="G21" i="59"/>
  <c r="H14" i="59"/>
  <c r="K19" i="4"/>
  <c r="I19" i="4"/>
  <c r="K15" i="4"/>
  <c r="I15" i="4"/>
  <c r="K12" i="4"/>
  <c r="I12" i="4"/>
  <c r="K20" i="4"/>
  <c r="I20" i="4"/>
  <c r="K18" i="4"/>
  <c r="I18" i="4"/>
  <c r="B9" i="33"/>
  <c r="N9" i="4"/>
  <c r="B10" i="17"/>
  <c r="D9" i="16"/>
  <c r="E9" i="16" s="1"/>
  <c r="F9" i="16" s="1"/>
  <c r="B8" i="1"/>
  <c r="N21" i="4"/>
  <c r="O41" i="35"/>
  <c r="O39" i="35"/>
  <c r="O38" i="35"/>
  <c r="O37" i="35"/>
  <c r="O36" i="35"/>
  <c r="D8" i="32" s="1"/>
  <c r="O35" i="35"/>
  <c r="O34" i="35"/>
  <c r="O33" i="35"/>
  <c r="O32" i="35"/>
  <c r="O31" i="35"/>
  <c r="O30" i="35"/>
  <c r="D7" i="32" s="1"/>
  <c r="O29" i="35"/>
  <c r="E17" i="33" s="1"/>
  <c r="O28" i="35"/>
  <c r="E16" i="33" s="1"/>
  <c r="O27" i="35"/>
  <c r="E15" i="33" s="1"/>
  <c r="E20" i="33" s="1"/>
  <c r="O26" i="35"/>
  <c r="E14" i="33" s="1"/>
  <c r="O25" i="35"/>
  <c r="E13" i="33" s="1"/>
  <c r="O24" i="35"/>
  <c r="O23" i="35"/>
  <c r="O22" i="35"/>
  <c r="O21" i="35"/>
  <c r="O20" i="35"/>
  <c r="O19" i="35"/>
  <c r="O18" i="35"/>
  <c r="C8" i="32" s="1"/>
  <c r="O17" i="35"/>
  <c r="O16" i="35"/>
  <c r="O15" i="35"/>
  <c r="O14" i="35"/>
  <c r="O13" i="35"/>
  <c r="O12" i="35"/>
  <c r="C7" i="32" s="1"/>
  <c r="O11" i="35"/>
  <c r="D17" i="33" s="1"/>
  <c r="O10" i="35"/>
  <c r="D16" i="33" s="1"/>
  <c r="O9" i="35"/>
  <c r="D15" i="33" s="1"/>
  <c r="D20" i="33" s="1"/>
  <c r="O8" i="35"/>
  <c r="D14" i="33" s="1"/>
  <c r="O7" i="35"/>
  <c r="D13" i="33" s="1"/>
  <c r="O6" i="35"/>
  <c r="D22" i="16"/>
  <c r="E22" i="16" s="1"/>
  <c r="F22" i="16" s="1"/>
  <c r="F6" i="3"/>
  <c r="H6" i="3" s="1"/>
  <c r="F9" i="3"/>
  <c r="H9" i="3" s="1"/>
  <c r="G8" i="3"/>
  <c r="I8" i="3" s="1"/>
  <c r="F10" i="3"/>
  <c r="H10" i="3" s="1"/>
  <c r="D19" i="16" s="1"/>
  <c r="E19" i="16" s="1"/>
  <c r="F19" i="16" s="1"/>
  <c r="G10" i="3"/>
  <c r="I10" i="3" s="1"/>
  <c r="G9" i="3"/>
  <c r="F8" i="3"/>
  <c r="H8" i="3" s="1"/>
  <c r="C7" i="31" s="1"/>
  <c r="F7" i="3"/>
  <c r="H7" i="3" s="1"/>
  <c r="G6" i="3"/>
  <c r="I6" i="3" s="1"/>
  <c r="G7" i="3"/>
  <c r="I7" i="3" s="1"/>
  <c r="P88" i="5"/>
  <c r="J22" i="4" s="1"/>
  <c r="K11" i="82"/>
  <c r="E7" i="75"/>
  <c r="F8" i="73"/>
  <c r="G18" i="59"/>
  <c r="G19" i="59"/>
  <c r="B12" i="46" s="1"/>
  <c r="D6" i="16"/>
  <c r="E6" i="16" s="1"/>
  <c r="F6" i="16" s="1"/>
  <c r="I21" i="4"/>
  <c r="O21" i="4" s="1"/>
  <c r="M100" i="5" l="1"/>
  <c r="Q100" i="5"/>
  <c r="M99" i="5"/>
  <c r="Q99" i="5"/>
  <c r="M98" i="5"/>
  <c r="Q98" i="5"/>
  <c r="M97" i="5"/>
  <c r="Q97" i="5"/>
  <c r="M96" i="5"/>
  <c r="Q96" i="5"/>
  <c r="M95" i="5"/>
  <c r="Q95" i="5"/>
  <c r="M94" i="5"/>
  <c r="Q94" i="5"/>
  <c r="M93" i="5"/>
  <c r="Q93" i="5"/>
  <c r="M92" i="5"/>
  <c r="Q92" i="5"/>
  <c r="M91" i="5"/>
  <c r="Q91" i="5"/>
  <c r="M90" i="5"/>
  <c r="Q90" i="5"/>
  <c r="M89" i="5"/>
  <c r="Q89" i="5"/>
  <c r="M88" i="5"/>
  <c r="Q88" i="5"/>
  <c r="M87" i="5"/>
  <c r="Q87" i="5"/>
  <c r="M86" i="5"/>
  <c r="Q86" i="5"/>
  <c r="M85" i="5"/>
  <c r="Q85" i="5"/>
  <c r="M84" i="5"/>
  <c r="Q84" i="5"/>
  <c r="M83" i="5"/>
  <c r="Q83" i="5"/>
  <c r="H22" i="4"/>
  <c r="M68" i="5"/>
  <c r="Q68" i="5"/>
  <c r="C8" i="75"/>
  <c r="G8" i="75" s="1"/>
  <c r="C7" i="75"/>
  <c r="G7" i="75" s="1"/>
  <c r="D18" i="59"/>
  <c r="F15" i="59"/>
  <c r="D20" i="59"/>
  <c r="F17" i="33"/>
  <c r="G17" i="33"/>
  <c r="K17" i="59"/>
  <c r="B8" i="75"/>
  <c r="K16" i="59"/>
  <c r="B7" i="75"/>
  <c r="F16" i="33"/>
  <c r="G16" i="33"/>
  <c r="C20" i="59"/>
  <c r="B6" i="75"/>
  <c r="B9" i="75" s="1"/>
  <c r="F14" i="33"/>
  <c r="G14" i="33"/>
  <c r="F13" i="33"/>
  <c r="G13" i="33"/>
  <c r="K12" i="59"/>
  <c r="C21" i="59"/>
  <c r="F11" i="33"/>
  <c r="G11" i="33"/>
  <c r="F10" i="33"/>
  <c r="G10" i="33"/>
  <c r="F9" i="33"/>
  <c r="G9" i="33"/>
  <c r="H9" i="33" s="1"/>
  <c r="F8" i="33"/>
  <c r="G8" i="33"/>
  <c r="F7" i="33"/>
  <c r="G7" i="33"/>
  <c r="K6" i="61"/>
  <c r="K7" i="61"/>
  <c r="L7" i="61" s="1"/>
  <c r="K8" i="61"/>
  <c r="K9" i="61"/>
  <c r="K6" i="59"/>
  <c r="C18" i="59"/>
  <c r="C19" i="59"/>
  <c r="F6" i="33"/>
  <c r="G6" i="33"/>
  <c r="H6" i="73"/>
  <c r="G9" i="73"/>
  <c r="N19" i="4"/>
  <c r="L19" i="4"/>
  <c r="O19" i="4"/>
  <c r="N15" i="4"/>
  <c r="L15" i="4"/>
  <c r="O15" i="4"/>
  <c r="C15" i="33"/>
  <c r="N12" i="4"/>
  <c r="L12" i="4"/>
  <c r="O12" i="4"/>
  <c r="C12" i="33"/>
  <c r="C18" i="33" s="1"/>
  <c r="D6" i="71" s="1"/>
  <c r="E6" i="71" s="1"/>
  <c r="N20" i="4"/>
  <c r="L20" i="4"/>
  <c r="O20" i="4"/>
  <c r="N18" i="4"/>
  <c r="L18" i="4"/>
  <c r="O18" i="4"/>
  <c r="C9" i="59"/>
  <c r="K9" i="59" s="1"/>
  <c r="B17" i="12"/>
  <c r="D7" i="29"/>
  <c r="E7" i="29" s="1"/>
  <c r="B9" i="1"/>
  <c r="B9" i="17"/>
  <c r="C14" i="31"/>
  <c r="E12" i="33"/>
  <c r="D6" i="32"/>
  <c r="D12" i="33"/>
  <c r="C6" i="32"/>
  <c r="C9" i="32" s="1"/>
  <c r="O8" i="3"/>
  <c r="M8" i="3"/>
  <c r="D17" i="16"/>
  <c r="E17" i="16" s="1"/>
  <c r="F17" i="16" s="1"/>
  <c r="D15" i="16"/>
  <c r="E15" i="16" s="1"/>
  <c r="F15" i="16" s="1"/>
  <c r="K8" i="3"/>
  <c r="L8" i="3" s="1"/>
  <c r="C8" i="31"/>
  <c r="O10" i="3"/>
  <c r="M10" i="3"/>
  <c r="K10" i="3"/>
  <c r="L10" i="3" s="1"/>
  <c r="D20" i="16"/>
  <c r="E20" i="16" s="1"/>
  <c r="F20" i="16" s="1"/>
  <c r="B18" i="12"/>
  <c r="E7" i="13"/>
  <c r="I9" i="3"/>
  <c r="N7" i="3"/>
  <c r="N8" i="3"/>
  <c r="O6" i="3"/>
  <c r="M6" i="3"/>
  <c r="N9" i="3"/>
  <c r="N10" i="3"/>
  <c r="N6" i="3"/>
  <c r="K6" i="3"/>
  <c r="L6" i="3" s="1"/>
  <c r="O7" i="3"/>
  <c r="M7" i="3"/>
  <c r="K7" i="3"/>
  <c r="L7" i="3" s="1"/>
  <c r="B14" i="46"/>
  <c r="D12" i="71"/>
  <c r="E12" i="71" s="1"/>
  <c r="C11" i="31"/>
  <c r="D8" i="16"/>
  <c r="E8" i="16" s="1"/>
  <c r="F8" i="16" s="1"/>
  <c r="B14" i="12"/>
  <c r="E22" i="4"/>
  <c r="K14" i="59"/>
  <c r="D14" i="29"/>
  <c r="E14" i="29" s="1"/>
  <c r="E7" i="32"/>
  <c r="E8" i="32"/>
  <c r="F7" i="75"/>
  <c r="F9" i="75" s="1"/>
  <c r="E9" i="75"/>
  <c r="G8" i="73"/>
  <c r="H8" i="73" s="1"/>
  <c r="F9" i="73"/>
  <c r="I22" i="4" l="1"/>
  <c r="K22" i="4"/>
  <c r="F18" i="59"/>
  <c r="H15" i="59"/>
  <c r="F20" i="59"/>
  <c r="H17" i="33"/>
  <c r="I17" i="33"/>
  <c r="J17" i="33" s="1"/>
  <c r="I17" i="59"/>
  <c r="J17" i="59" s="1"/>
  <c r="H16" i="33"/>
  <c r="I16" i="33"/>
  <c r="J16" i="33" s="1"/>
  <c r="I16" i="59"/>
  <c r="J16" i="59" s="1"/>
  <c r="B9" i="62" s="1"/>
  <c r="H14" i="33"/>
  <c r="I14" i="33"/>
  <c r="J14" i="33" s="1"/>
  <c r="I14" i="59"/>
  <c r="J14" i="59" s="1"/>
  <c r="B7" i="62" s="1"/>
  <c r="H13" i="33"/>
  <c r="I13" i="33"/>
  <c r="J13" i="33" s="1"/>
  <c r="I13" i="59"/>
  <c r="J13" i="59" s="1"/>
  <c r="H11" i="33"/>
  <c r="I11" i="33"/>
  <c r="J11" i="33" s="1"/>
  <c r="I11" i="59"/>
  <c r="J11" i="59" s="1"/>
  <c r="H10" i="33"/>
  <c r="I10" i="33"/>
  <c r="J10" i="33" s="1"/>
  <c r="I10" i="59"/>
  <c r="J10" i="59" s="1"/>
  <c r="I9" i="33"/>
  <c r="J9" i="33" s="1"/>
  <c r="I9" i="59"/>
  <c r="J9" i="59" s="1"/>
  <c r="H8" i="33"/>
  <c r="I8" i="33"/>
  <c r="J8" i="33" s="1"/>
  <c r="I8" i="59"/>
  <c r="J8" i="59" s="1"/>
  <c r="H7" i="33"/>
  <c r="I7" i="33"/>
  <c r="J7" i="33" s="1"/>
  <c r="I7" i="59"/>
  <c r="J7" i="59" s="1"/>
  <c r="K19" i="59"/>
  <c r="D15" i="71"/>
  <c r="E15" i="71" s="1"/>
  <c r="B16" i="46"/>
  <c r="H6" i="33"/>
  <c r="I6" i="33"/>
  <c r="I6" i="59"/>
  <c r="H9" i="73"/>
  <c r="D9" i="92"/>
  <c r="E9" i="92" s="1"/>
  <c r="B11" i="72"/>
  <c r="F15" i="33"/>
  <c r="F20" i="33" s="1"/>
  <c r="G15" i="33"/>
  <c r="C20" i="33"/>
  <c r="F12" i="33"/>
  <c r="G12" i="33"/>
  <c r="G18" i="33" s="1"/>
  <c r="C19" i="33"/>
  <c r="C21" i="33"/>
  <c r="E18" i="33"/>
  <c r="E19" i="33"/>
  <c r="E21" i="33"/>
  <c r="E6" i="32"/>
  <c r="E9" i="32" s="1"/>
  <c r="D9" i="32"/>
  <c r="E8" i="43"/>
  <c r="D18" i="33"/>
  <c r="D19" i="33"/>
  <c r="D21" i="33"/>
  <c r="D8" i="45"/>
  <c r="E8" i="45" s="1"/>
  <c r="F8" i="45" s="1"/>
  <c r="B10" i="1"/>
  <c r="H7" i="13"/>
  <c r="I7" i="13"/>
  <c r="K9" i="3"/>
  <c r="L9" i="3" s="1"/>
  <c r="M9" i="3"/>
  <c r="O9" i="3"/>
  <c r="C9" i="31"/>
  <c r="D16" i="16"/>
  <c r="E16" i="16" s="1"/>
  <c r="F16" i="16" s="1"/>
  <c r="B10" i="72"/>
  <c r="D7" i="92"/>
  <c r="E7" i="92" s="1"/>
  <c r="H8" i="75"/>
  <c r="H7" i="75"/>
  <c r="K21" i="59"/>
  <c r="L22" i="4" l="1"/>
  <c r="O22" i="4"/>
  <c r="D12" i="16" s="1"/>
  <c r="E12" i="16" s="1"/>
  <c r="F12" i="16" s="1"/>
  <c r="B19" i="12"/>
  <c r="K15" i="59"/>
  <c r="H18" i="59"/>
  <c r="H20" i="59"/>
  <c r="C6" i="75"/>
  <c r="J6" i="33"/>
  <c r="J6" i="61"/>
  <c r="D20" i="45"/>
  <c r="E20" i="45" s="1"/>
  <c r="F20" i="45" s="1"/>
  <c r="B13" i="1"/>
  <c r="J6" i="59"/>
  <c r="I18" i="59"/>
  <c r="H15" i="33"/>
  <c r="H20" i="33" s="1"/>
  <c r="I15" i="33"/>
  <c r="G20" i="33"/>
  <c r="I15" i="59"/>
  <c r="F18" i="33"/>
  <c r="F19" i="33"/>
  <c r="F21" i="33"/>
  <c r="H12" i="33"/>
  <c r="I12" i="33"/>
  <c r="I18" i="33" s="1"/>
  <c r="G19" i="33"/>
  <c r="G21" i="33"/>
  <c r="I12" i="59"/>
  <c r="I19" i="59" s="1"/>
  <c r="B11" i="46"/>
  <c r="D7" i="71"/>
  <c r="E7" i="71" s="1"/>
  <c r="D10" i="45"/>
  <c r="E10" i="45" s="1"/>
  <c r="F10" i="45" s="1"/>
  <c r="B12" i="1"/>
  <c r="B11" i="1"/>
  <c r="D9" i="45"/>
  <c r="E9" i="45" s="1"/>
  <c r="F9" i="45" s="1"/>
  <c r="C10" i="31"/>
  <c r="K18" i="59" l="1"/>
  <c r="K20" i="59"/>
  <c r="B15" i="46"/>
  <c r="D17" i="71"/>
  <c r="E17" i="71" s="1"/>
  <c r="D13" i="71"/>
  <c r="E13" i="71" s="1"/>
  <c r="J9" i="61"/>
  <c r="J8" i="61"/>
  <c r="L8" i="61" s="1"/>
  <c r="C9" i="75"/>
  <c r="G6" i="75"/>
  <c r="B10" i="62"/>
  <c r="J19" i="59"/>
  <c r="J18" i="59"/>
  <c r="J15" i="33"/>
  <c r="J20" i="33" s="1"/>
  <c r="I20" i="33"/>
  <c r="H18" i="33"/>
  <c r="H21" i="33"/>
  <c r="H19" i="33"/>
  <c r="J12" i="33"/>
  <c r="I19" i="33"/>
  <c r="I21" i="33"/>
  <c r="J12" i="59"/>
  <c r="J21" i="59" s="1"/>
  <c r="I21" i="59"/>
  <c r="I20" i="59"/>
  <c r="J15" i="59"/>
  <c r="B17" i="46" l="1"/>
  <c r="D14" i="71"/>
  <c r="E14" i="71" s="1"/>
  <c r="L9" i="61"/>
  <c r="D27" i="71"/>
  <c r="E27" i="71" s="1"/>
  <c r="H6" i="75"/>
  <c r="H9" i="75" s="1"/>
  <c r="G9" i="75"/>
  <c r="D21" i="92" s="1"/>
  <c r="E21" i="92" s="1"/>
  <c r="D11" i="45"/>
  <c r="E11" i="45" s="1"/>
  <c r="F11" i="45" s="1"/>
  <c r="L6" i="61"/>
  <c r="B14" i="1"/>
  <c r="J18" i="33"/>
  <c r="J21" i="33"/>
  <c r="J19" i="33"/>
  <c r="B8" i="62"/>
  <c r="B11" i="62" s="1"/>
  <c r="B12" i="62" s="1"/>
  <c r="D16" i="71" s="1"/>
  <c r="E16" i="71" s="1"/>
  <c r="J20" i="59"/>
  <c r="D12" i="45" l="1"/>
  <c r="E12" i="45" s="1"/>
  <c r="F12" i="45" s="1"/>
  <c r="B15" i="1"/>
</calcChain>
</file>

<file path=xl/sharedStrings.xml><?xml version="1.0" encoding="utf-8"?>
<sst xmlns="http://schemas.openxmlformats.org/spreadsheetml/2006/main" count="8055" uniqueCount="3927">
  <si>
    <t>INNONOW 검토요약  v0.4</t>
  </si>
  <si>
    <t>모든 신규 사례·금액은 가상 제안. 원 단위. 먼저 대표 질의 전후 효과와 남는 목표 부족분을 확인하십시오.</t>
  </si>
  <si>
    <t>항목</t>
  </si>
  <si>
    <t>값</t>
  </si>
  <si>
    <t>단위·상태</t>
  </si>
  <si>
    <t>읽는 방법·근거</t>
  </si>
  <si>
    <t>데이터 묶음</t>
  </si>
  <si>
    <t>SC01~SC04 v0.4 수정본</t>
  </si>
  <si>
    <t>2026-10-23</t>
  </si>
  <si>
    <t>개선효과 재설정: ALT41 월3,000대·회피단가15,000원, ALT42 건당120만원. 기존 장면1~3 보존.</t>
  </si>
  <si>
    <t>대응 전 연간 관리손익</t>
  </si>
  <si>
    <t>원</t>
  </si>
  <si>
    <t>울산 A제품 a~e 범위. 기준 전망 유지.</t>
  </si>
  <si>
    <t>연간 Target</t>
  </si>
  <si>
    <t>자동 변경 없음.</t>
  </si>
  <si>
    <t>대응 전 목표 부족</t>
  </si>
  <si>
    <t>기존 부족과 신규 사건의 합계.</t>
  </si>
  <si>
    <t>회의 보고 시 개선효과</t>
  </si>
  <si>
    <t>검증·중복 조정 완료 보고본 REP41-v1.</t>
  </si>
  <si>
    <t>대표 질의 후 개선효과</t>
  </si>
  <si>
    <t>DEC41-v2. 긴급구매 효과 시작 8월→9월.</t>
  </si>
  <si>
    <t>회의 중 효과 조정</t>
  </si>
  <si>
    <t>8월 효과 1개월 감소.</t>
  </si>
  <si>
    <t>대응안 반영 연간 전망</t>
  </si>
  <si>
    <t>의사결정용 예상. 공식 Forecast 승인 별도.</t>
  </si>
  <si>
    <t>남는 목표 부족</t>
  </si>
  <si>
    <t>추가 과제 발굴 DIR41로 관리.</t>
  </si>
  <si>
    <t>조건부 효과 제외 부족</t>
  </si>
  <si>
    <t>긴급구매 조건이 성립하지 않는 경우의 비교.</t>
  </si>
  <si>
    <t>정상 연간 반복효과</t>
  </si>
  <si>
    <t>정액12개월 참고. 일회성비 제외. 2027효과와 합산 금지.</t>
  </si>
  <si>
    <t>총괄 예산 한도</t>
  </si>
  <si>
    <t>전환·검증·교육 일회성 범위. 배분8·6·4백만원.</t>
  </si>
  <si>
    <t>실행과제 인수</t>
  </si>
  <si>
    <t>3 / 3</t>
  </si>
  <si>
    <t>완료 기대상태</t>
  </si>
  <si>
    <t>전체 책임 인수 별도 완료. 승인2개·조건부1개.</t>
  </si>
  <si>
    <t>미충족 조건</t>
  </si>
  <si>
    <t>CON41</t>
  </si>
  <si>
    <t>OPEN</t>
  </si>
  <si>
    <t>생산·구매 공동 기준 마련. 계획 수립 가능, 해당 실행 착수 제한.</t>
  </si>
  <si>
    <t>장면5 인계</t>
  </si>
  <si>
    <t>HANDOFF41</t>
  </si>
  <si>
    <t>계획 수립 대기</t>
  </si>
  <si>
    <t>2027/7/13 10시 종료. 7/16 18시 상세 계획 제출.</t>
  </si>
  <si>
    <t>Risk / Forecast / Target</t>
  </si>
  <si>
    <t>OPEN / REVIEW_PENDING / UNCHANGED</t>
  </si>
  <si>
    <t>유지</t>
  </si>
  <si>
    <t>장면 완료와 성과 달성을 구분.</t>
  </si>
  <si>
    <t>검토 순서</t>
  </si>
  <si>
    <t>요약 → SC04비교 → SC04회의 → SC04예산과제</t>
  </si>
  <si>
    <t>권장</t>
  </si>
  <si>
    <t>세부 월효과·가정·예외는 개발자와 수치 검토에 활용.</t>
  </si>
  <si>
    <t>통합 가상 데이터 설정</t>
  </si>
  <si>
    <t>노란 값은 이번 데이터 설계의 가상 입력값입니다. 날짜·금액·내부가정 변경 시 계산표가 갱신됩니다.</t>
  </si>
  <si>
    <t>key</t>
  </si>
  <si>
    <t>value</t>
  </si>
  <si>
    <t>의미</t>
  </si>
  <si>
    <t>기준 및 사용법</t>
  </si>
  <si>
    <t>effective_date</t>
  </si>
  <si>
    <t>기본 적용일</t>
  </si>
  <si>
    <t>월초만 지원. 월중 적용은 구현 확장 필요</t>
  </si>
  <si>
    <t>next_year_factor</t>
  </si>
  <si>
    <t>2028 물량 가정</t>
  </si>
  <si>
    <t>2027 동일월 F01 ×97%, 정수 반올림. 2028-01~07 내부가정</t>
  </si>
  <si>
    <t>rate_attention</t>
  </si>
  <si>
    <t>단가 인상률 관심</t>
  </si>
  <si>
    <t>품목별 기존단가 대비</t>
  </si>
  <si>
    <t>rate_critical</t>
  </si>
  <si>
    <t>단가 인상률 중요</t>
  </si>
  <si>
    <t>정확히 경계값 포함</t>
  </si>
  <si>
    <t>amount_attention</t>
  </si>
  <si>
    <t>구매 증가액 관심</t>
  </si>
  <si>
    <t>향후12개월·공급사 요청건 합계·VAT 제외</t>
  </si>
  <si>
    <t>amount_critical</t>
  </si>
  <si>
    <t>구매 증가액 중요</t>
  </si>
  <si>
    <t>손익 감소액과 구분</t>
  </si>
  <si>
    <t>ceo_threshold</t>
  </si>
  <si>
    <t>대표 승인 기준</t>
  </si>
  <si>
    <t>최종 기안 향후12개월 구매 증가액 이상</t>
  </si>
  <si>
    <t>old_price</t>
  </si>
  <si>
    <t>기존 공통부품 단가</t>
  </si>
  <si>
    <t>C01 외주비에 이미 포함된 부품 P-COM01·원/개</t>
  </si>
  <si>
    <t>request_price</t>
  </si>
  <si>
    <t>공급사 요청 단가</t>
  </si>
  <si>
    <t>가상값·10% 인상</t>
  </si>
  <si>
    <t>internal_offer</t>
  </si>
  <si>
    <t>내부 협상 제시 단가</t>
  </si>
  <si>
    <t>가상값·실제 합의와 구분</t>
  </si>
  <si>
    <t>negotiated_price</t>
  </si>
  <si>
    <t>1차 협상 잠정 단가</t>
  </si>
  <si>
    <t>가상값·6% 인상·대표 승인 시연 유지</t>
  </si>
  <si>
    <t>proposal_price</t>
  </si>
  <si>
    <t>상신 단가</t>
  </si>
  <si>
    <t>협상안과 다르면 사유 입력 및 새 분석 필요</t>
  </si>
  <si>
    <t>approved_price</t>
  </si>
  <si>
    <t>승인 결과 예정값</t>
  </si>
  <si>
    <t>시연 D09 이후 생성할 기대값. 초기 시드에 승인값 적재 금지</t>
  </si>
  <si>
    <t>negotiation_due</t>
  </si>
  <si>
    <t>2027-06-21 18:00:00 KST</t>
  </si>
  <si>
    <t>외부협상 기한</t>
  </si>
  <si>
    <t>구매담당 수동 입력. 건별 변경 가능·내부 SLA와 별도</t>
  </si>
  <si>
    <t>selected_price_version</t>
  </si>
  <si>
    <t>PV-APP01</t>
  </si>
  <si>
    <t>장면3 최종 비교안</t>
  </si>
  <si>
    <t>승인 결과 기준 기대 데이터. 초기화 시 아직 존재하지 않음</t>
  </si>
  <si>
    <t>fixed_monthly</t>
  </si>
  <si>
    <t>2028 월 고정비 가정</t>
  </si>
  <si>
    <t>2027 월 기준 유지. 원가·판매단가도 C01 유지</t>
  </si>
  <si>
    <t>purchase_lag</t>
  </si>
  <si>
    <t>구매·생산·납품 시차</t>
  </si>
  <si>
    <t>기발주·재고 없음. 구매 증가와 공헌이익 감소가 같은 단순화</t>
  </si>
  <si>
    <t>analysis_period_end</t>
  </si>
  <si>
    <t>향후12개월 종료 경계</t>
  </si>
  <si>
    <t>종료일 미포함. 2027-07-01~2028-06-30</t>
  </si>
  <si>
    <t>remaining_year_end</t>
  </si>
  <si>
    <t>당해연도 종료 경계</t>
  </si>
  <si>
    <t>종료일 미포함</t>
  </si>
  <si>
    <t>expected_model_months</t>
  </si>
  <si>
    <t>12개월 필수 원가·물량 행수</t>
  </si>
  <si>
    <t>5모델 ×12개월. 중복키·누락값 별도 검사</t>
  </si>
  <si>
    <t>요청부터 승인까지 구매 증가액 비교</t>
  </si>
  <si>
    <t>동일 F02·EXT28-v1 물량. H: 2027 잔여기간, I: 적용일부터12개월. 승인선은 최종 기안안으로 확정하며 다른 안의 값은 사전 미리보기입니다.</t>
  </si>
  <si>
    <t>price_version</t>
  </si>
  <si>
    <t>종류</t>
  </si>
  <si>
    <t>기존가</t>
  </si>
  <si>
    <t>단가</t>
  </si>
  <si>
    <t>인상률</t>
  </si>
  <si>
    <t>잔여구매량</t>
  </si>
  <si>
    <t>12개월구매량</t>
  </si>
  <si>
    <t>잔여구매증가</t>
  </si>
  <si>
    <t>12개월구매증가</t>
  </si>
  <si>
    <t>비율위험</t>
  </si>
  <si>
    <t>금액위험</t>
  </si>
  <si>
    <t>종합위험</t>
  </si>
  <si>
    <t>승인선미리보기</t>
  </si>
  <si>
    <t>요청대비부담감소</t>
  </si>
  <si>
    <t>12개월CM영향</t>
  </si>
  <si>
    <t>PV-REQ01</t>
  </si>
  <si>
    <t>요청안</t>
  </si>
  <si>
    <t>PV-OFFER01</t>
  </si>
  <si>
    <t>내부제시안</t>
  </si>
  <si>
    <t>PV-NEG01</t>
  </si>
  <si>
    <t>1차협상안</t>
  </si>
  <si>
    <t>PV-PROP01</t>
  </si>
  <si>
    <t>기안안</t>
  </si>
  <si>
    <t>승인안</t>
  </si>
  <si>
    <t>장면 1·2 통합 관리손익</t>
  </si>
  <si>
    <t>모든 금액 원. 관리손익=공헌이익−공장고정비. 본사비·금융비·세금 제외. 향후12개월 Target은 미설정이며 당해연도 Target을 혼용하지 않습니다.</t>
  </si>
  <si>
    <t>기간</t>
  </si>
  <si>
    <t>시작일</t>
  </si>
  <si>
    <t>종료경계</t>
  </si>
  <si>
    <t>구분</t>
  </si>
  <si>
    <t>F02매출</t>
  </si>
  <si>
    <t>공장고정비</t>
  </si>
  <si>
    <t>F01기준손익</t>
  </si>
  <si>
    <t>물량반영손익</t>
  </si>
  <si>
    <t>장면1물량영향</t>
  </si>
  <si>
    <t>장면2원가영향</t>
  </si>
  <si>
    <t>통합손익</t>
  </si>
  <si>
    <t>전체변동</t>
  </si>
  <si>
    <t>Target손익</t>
  </si>
  <si>
    <t>Target부족</t>
  </si>
  <si>
    <t>브리지차이</t>
  </si>
  <si>
    <t>2027-01</t>
  </si>
  <si>
    <t>월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</si>
  <si>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</si>
  <si>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</si>
  <si>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</si>
  <si>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</si>
  <si>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</si>
  <si>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</si>
  <si>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</si>
  <si>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</si>
  <si>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</si>
  <si>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</si>
  <si>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</si>
  <si>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2027 Q3</t>
  </si>
  <si>
    <t>분기</t>
  </si>
  <si>
    <t>2027 Q4</t>
  </si>
  <si>
    <t>2027 잔여</t>
  </si>
  <si>
    <t>잔여</t>
  </si>
  <si>
    <t>2027 연간</t>
  </si>
  <si>
    <t>연간</t>
  </si>
  <si>
    <t>향후12개월</t>
  </si>
  <si>
    <t>12개월</t>
  </si>
  <si>
    <t>월별·모델별 손익 및 구매수량</t>
  </si>
  <si>
    <t>금액 원, 수량 개/대분. 가격 인상은 적용일 이후에만 반영합니다. 2028년 비교안은 모두 같은 내부가정·원가·고정비 범위를 사용합니다.</t>
  </si>
  <si>
    <t>row_key</t>
  </si>
  <si>
    <t>period</t>
  </si>
  <si>
    <t>model_id</t>
  </si>
  <si>
    <t>F01_qty</t>
  </si>
  <si>
    <t>F02_qty</t>
  </si>
  <si>
    <t>판매단가</t>
  </si>
  <si>
    <t>C01변동비</t>
  </si>
  <si>
    <t>기준단위CM</t>
  </si>
  <si>
    <t>부품소요량</t>
  </si>
  <si>
    <t>부품구매량</t>
  </si>
  <si>
    <t>F01_CM</t>
  </si>
  <si>
    <t>F02_CM</t>
  </si>
  <si>
    <t>물량순영향</t>
  </si>
  <si>
    <t>12개월포함</t>
  </si>
  <si>
    <t>당해잔여포함</t>
  </si>
  <si>
    <t>승인안원가증가</t>
  </si>
  <si>
    <t>통합_CM</t>
  </si>
  <si>
    <t>Target_CM</t>
  </si>
  <si>
    <t>승인안외주비</t>
  </si>
  <si>
    <t>원천유효</t>
  </si>
  <si>
    <t>2027 기준 및 2028 내부가정</t>
  </si>
  <si>
    <t>출처: INNONOW_SC01_통합가상데이터설계_v0.1.xlsx 손익계산·단위원가. 2027 값 보존. 수량은 당사 배정 대분이며 40%를 재적용하지 않습니다.</t>
  </si>
  <si>
    <t>T01_qty</t>
  </si>
  <si>
    <t>재료비</t>
  </si>
  <si>
    <t>기존외주비</t>
  </si>
  <si>
    <t>변동가공비</t>
  </si>
  <si>
    <t>실적수량</t>
  </si>
  <si>
    <t>기간성격</t>
  </si>
  <si>
    <t>source_ref</t>
  </si>
  <si>
    <t>확실성</t>
  </si>
  <si>
    <t>2027-01|A-a</t>
  </si>
  <si>
    <t>A-a</t>
  </si>
  <si>
    <t>확정실적 포함</t>
  </si>
  <si>
    <t>SC01 v0.1 / F01·F02·C01</t>
  </si>
  <si>
    <t>내부전망 또는 실적</t>
  </si>
  <si>
    <t>2027-01|A-b</t>
  </si>
  <si>
    <t>A-b</t>
  </si>
  <si>
    <t>2027-01|A-c</t>
  </si>
  <si>
    <t>A-c</t>
  </si>
  <si>
    <t>2027-01|A-d</t>
  </si>
  <si>
    <t>A-d</t>
  </si>
  <si>
    <t>2027-01|A-e</t>
  </si>
  <si>
    <t>A-e</t>
  </si>
  <si>
    <t>2027-02|A-a</t>
  </si>
  <si>
    <t>2027-02|A-b</t>
  </si>
  <si>
    <t>2027-02|A-c</t>
  </si>
  <si>
    <t>2027-02|A-d</t>
  </si>
  <si>
    <t>2027-02|A-e</t>
  </si>
  <si>
    <t>2027-03|A-a</t>
  </si>
  <si>
    <t>2027-03|A-b</t>
  </si>
  <si>
    <t>2027-03|A-c</t>
  </si>
  <si>
    <t>2027-03|A-d</t>
  </si>
  <si>
    <t>2027-03|A-e</t>
  </si>
  <si>
    <t>2027-04|A-a</t>
  </si>
  <si>
    <t>2027-04|A-b</t>
  </si>
  <si>
    <t>2027-04|A-c</t>
  </si>
  <si>
    <t>2027-04|A-d</t>
  </si>
  <si>
    <t>2027-04|A-e</t>
  </si>
  <si>
    <t>2027-05|A-a</t>
  </si>
  <si>
    <t>2027-05|A-b</t>
  </si>
  <si>
    <t>2027-05|A-c</t>
  </si>
  <si>
    <t>2027-05|A-d</t>
  </si>
  <si>
    <t>2027-05|A-e</t>
  </si>
  <si>
    <t>2027-06|A-a</t>
  </si>
  <si>
    <t>6/15 실적+잔여전망</t>
  </si>
  <si>
    <t>2027-06|A-b</t>
  </si>
  <si>
    <t>2027-06|A-c</t>
  </si>
  <si>
    <t>2027-06|A-d</t>
  </si>
  <si>
    <t>2027-06|A-e</t>
  </si>
  <si>
    <t>2027-07|A-a</t>
  </si>
  <si>
    <t>미래전망</t>
  </si>
  <si>
    <t>CP02 확인물량</t>
  </si>
  <si>
    <t>2027-07|A-b</t>
  </si>
  <si>
    <t>2027-07|A-c</t>
  </si>
  <si>
    <t>2027-07|A-d</t>
  </si>
  <si>
    <t>2027-07|A-e</t>
  </si>
  <si>
    <t>2027-08|A-a</t>
  </si>
  <si>
    <t>2027-08|A-b</t>
  </si>
  <si>
    <t>2027-08|A-c</t>
  </si>
  <si>
    <t>2027-08|A-d</t>
  </si>
  <si>
    <t>2027-08|A-e</t>
  </si>
  <si>
    <t>2027-09|A-a</t>
  </si>
  <si>
    <t>2027-09|A-b</t>
  </si>
  <si>
    <t>2027-09|A-c</t>
  </si>
  <si>
    <t>2027-09|A-d</t>
  </si>
  <si>
    <t>2027-09|A-e</t>
  </si>
  <si>
    <t>2027-10|A-a</t>
  </si>
  <si>
    <t>2027-10|A-b</t>
  </si>
  <si>
    <t>2027-10|A-c</t>
  </si>
  <si>
    <t>2027-10|A-d</t>
  </si>
  <si>
    <t>2027-10|A-e</t>
  </si>
  <si>
    <t>2027-11|A-a</t>
  </si>
  <si>
    <t>2027-11|A-b</t>
  </si>
  <si>
    <t>2027-11|A-c</t>
  </si>
  <si>
    <t>2027-11|A-d</t>
  </si>
  <si>
    <t>2027-11|A-e</t>
  </si>
  <si>
    <t>2027-12|A-a</t>
  </si>
  <si>
    <t>2027-12|A-b</t>
  </si>
  <si>
    <t>2027-12|A-c</t>
  </si>
  <si>
    <t>2027-12|A-d</t>
  </si>
  <si>
    <t>2027-12|A-e</t>
  </si>
  <si>
    <t>2028-01|A-a</t>
  </si>
  <si>
    <t>내부가정·미승인</t>
  </si>
  <si>
    <t>EXT28-v1 / C01 유지</t>
  </si>
  <si>
    <t>고객확정 아님</t>
  </si>
  <si>
    <t>2028-01|A-b</t>
  </si>
  <si>
    <t>2028-01|A-c</t>
  </si>
  <si>
    <t>2028-01|A-d</t>
  </si>
  <si>
    <t>2028-01|A-e</t>
  </si>
  <si>
    <t>2028-02|A-a</t>
  </si>
  <si>
    <t>2028-02|A-b</t>
  </si>
  <si>
    <t>2028-02|A-c</t>
  </si>
  <si>
    <t>2028-02|A-d</t>
  </si>
  <si>
    <t>2028-02|A-e</t>
  </si>
  <si>
    <t>2028-03|A-a</t>
  </si>
  <si>
    <t>2028-03|A-b</t>
  </si>
  <si>
    <t>2028-03|A-c</t>
  </si>
  <si>
    <t>2028-03|A-d</t>
  </si>
  <si>
    <t>2028-03|A-e</t>
  </si>
  <si>
    <t>2028-04|A-a</t>
  </si>
  <si>
    <t>2028-04|A-b</t>
  </si>
  <si>
    <t>2028-04|A-c</t>
  </si>
  <si>
    <t>2028-04|A-d</t>
  </si>
  <si>
    <t>2028-04|A-e</t>
  </si>
  <si>
    <t>2028-05|A-a</t>
  </si>
  <si>
    <t>2028-05|A-b</t>
  </si>
  <si>
    <t>2028-05|A-c</t>
  </si>
  <si>
    <t>2028-05|A-d</t>
  </si>
  <si>
    <t>2028-05|A-e</t>
  </si>
  <si>
    <t>2028-06|A-a</t>
  </si>
  <si>
    <t>2028-06|A-b</t>
  </si>
  <si>
    <t>2028-06|A-c</t>
  </si>
  <si>
    <t>2028-06|A-d</t>
  </si>
  <si>
    <t>2028-06|A-e</t>
  </si>
  <si>
    <t>2028-07|A-a</t>
  </si>
  <si>
    <t>2028-07|A-b</t>
  </si>
  <si>
    <t>2028-07|A-c</t>
  </si>
  <si>
    <t>2028-07|A-d</t>
  </si>
  <si>
    <t>2028-07|A-e</t>
  </si>
  <si>
    <t>공장 고정비</t>
  </si>
  <si>
    <t>울산 A제품 범위. 모델별 고정비 배부는 하지 않으며 공장 합계에서 한 번만 차감합니다.</t>
  </si>
  <si>
    <t>fixed_cost</t>
  </si>
  <si>
    <t>actual_fixed</t>
  </si>
  <si>
    <t>SC01 v0.1 / 고정비</t>
  </si>
  <si>
    <t>내부가정: 2027 기준 유지</t>
  </si>
  <si>
    <t>공통부품 소요량 및 외주비 구성</t>
  </si>
  <si>
    <t>P-COM01은 가상의 외주 공통부품입니다. a·b 각1개, c·d·e는 미사용. 기존 단가는 전체 외주비의 일부입니다.</t>
  </si>
  <si>
    <t>part_id</t>
  </si>
  <si>
    <t>supplier_id</t>
  </si>
  <si>
    <t>소요량</t>
  </si>
  <si>
    <t>기존부품단가</t>
  </si>
  <si>
    <t>잔여외주비</t>
  </si>
  <si>
    <t>산식 및 소속</t>
  </si>
  <si>
    <t>P-COM01</t>
  </si>
  <si>
    <t>SUP-01</t>
  </si>
  <si>
    <t>C01 외주비 = 기존부품단가×소요량 + 잔여외주비</t>
  </si>
  <si>
    <t>단가안과 분석 버전</t>
  </si>
  <si>
    <t>동일 요청의 순차 이력입니다. 요청·협상·기안·승인안을 합산하지 않습니다. 아래는 단계 실행 시 생성할 기대 데이터입니다.</t>
  </si>
  <si>
    <t>request_id</t>
  </si>
  <si>
    <t>new_price</t>
  </si>
  <si>
    <t>run_id</t>
  </si>
  <si>
    <t>생성시연</t>
  </si>
  <si>
    <t>상태</t>
  </si>
  <si>
    <t>REQ-2706-01</t>
  </si>
  <si>
    <t>RUN-REQ01</t>
  </si>
  <si>
    <t>D01</t>
  </si>
  <si>
    <t>접수·미승인</t>
  </si>
  <si>
    <t>RUN-OFFER01</t>
  </si>
  <si>
    <t>D03</t>
  </si>
  <si>
    <t>내부검토·미합의</t>
  </si>
  <si>
    <t>RUN-NEG01</t>
  </si>
  <si>
    <t>D04</t>
  </si>
  <si>
    <t>잠정합의·미승인</t>
  </si>
  <si>
    <t>RUN-PROP01</t>
  </si>
  <si>
    <t>D06</t>
  </si>
  <si>
    <t>승인대기</t>
  </si>
  <si>
    <t>RUN-APP01</t>
  </si>
  <si>
    <t>D09</t>
  </si>
  <si>
    <t>승인완료·적용예정</t>
  </si>
  <si>
    <t>시연 단계별 이벤트와 상태</t>
  </si>
  <si>
    <t>모든 날짜·사용자 역할은 가상 시연값입니다. 처음에는 D00까지만 적재하고 단계 실행 시 후속 기록을 생성합니다. 기본 경로와 X01은 동시에 실행하지 않습니다.</t>
  </si>
  <si>
    <t>demo_id</t>
  </si>
  <si>
    <t>step_id</t>
  </si>
  <si>
    <t>event_at</t>
  </si>
  <si>
    <t>actor_role</t>
  </si>
  <si>
    <t>screen_id</t>
  </si>
  <si>
    <t>action</t>
  </si>
  <si>
    <t>state_after</t>
  </si>
  <si>
    <t>due_at</t>
  </si>
  <si>
    <t>evidence_id</t>
  </si>
  <si>
    <t>완료조건·주의</t>
  </si>
  <si>
    <t>fixture_kind</t>
  </si>
  <si>
    <t>control_id</t>
  </si>
  <si>
    <t>업무단계</t>
  </si>
  <si>
    <t>D00</t>
  </si>
  <si>
    <t>S0</t>
  </si>
  <si>
    <t>2027-06-17 08:50:00 KST</t>
  </si>
  <si>
    <t>경영관리</t>
  </si>
  <si>
    <t>공통</t>
  </si>
  <si>
    <t>ISSUE-B07 확인</t>
  </si>
  <si>
    <t>SC01_REVIEW_PENDING</t>
  </si>
  <si>
    <t>NONE</t>
  </si>
  <si>
    <t>RUN-F02-001</t>
  </si>
  <si>
    <t>장면1 기본 완료·F02 미승인</t>
  </si>
  <si>
    <t>초기</t>
  </si>
  <si>
    <t>S01</t>
  </si>
  <si>
    <t>2027-06-17 09:00:00 KST</t>
  </si>
  <si>
    <t>구매담당</t>
  </si>
  <si>
    <t>U21</t>
  </si>
  <si>
    <t>REQ-2706-01 접수</t>
  </si>
  <si>
    <t>RECEIVED</t>
  </si>
  <si>
    <t>2027-06-18 18:00:00 KST</t>
  </si>
  <si>
    <t>DOC-REQ01</t>
  </si>
  <si>
    <t>요청가 확인·승인값 없음</t>
  </si>
  <si>
    <t>실행</t>
  </si>
  <si>
    <t>CT21</t>
  </si>
  <si>
    <t>인상 요청 접수</t>
  </si>
  <si>
    <t>D02</t>
  </si>
  <si>
    <t>S02</t>
  </si>
  <si>
    <t>2027-06-17 10:00:00 KST</t>
  </si>
  <si>
    <t>구매담당·팀장</t>
  </si>
  <si>
    <t>U22</t>
  </si>
  <si>
    <t>구두보고 기록</t>
  </si>
  <si>
    <t>PRE_REVIEW</t>
  </si>
  <si>
    <t>NOTE-REPORT01</t>
  </si>
  <si>
    <t>분석 착수, 별도 전자승인 없음</t>
  </si>
  <si>
    <t>CT22</t>
  </si>
  <si>
    <t>팀장 보고 및 협의</t>
  </si>
  <si>
    <t>S03</t>
  </si>
  <si>
    <t>2027-06-18 11:00:00 KST</t>
  </si>
  <si>
    <t>요청안 분석·내부 제시안</t>
  </si>
  <si>
    <t>NEGOTIATION_READY</t>
  </si>
  <si>
    <t>NOTE-ANALYSIS01</t>
  </si>
  <si>
    <t>RUN-REQ01/RUN-OFFER01</t>
  </si>
  <si>
    <t>12개월 증가액·가정 확인</t>
  </si>
  <si>
    <t>CT23·CT24</t>
  </si>
  <si>
    <t>사전 영향분석</t>
  </si>
  <si>
    <t>S04</t>
  </si>
  <si>
    <t>2027-06-21 15:00:00 KST</t>
  </si>
  <si>
    <t>U23</t>
  </si>
  <si>
    <t>1차 협상 기록</t>
  </si>
  <si>
    <t>TENTATIVE_AGREEMENT</t>
  </si>
  <si>
    <t>NOTE-NEG01</t>
  </si>
  <si>
    <t>협상가 입력·미승인</t>
  </si>
  <si>
    <t>CT25</t>
  </si>
  <si>
    <t>1차 협상</t>
  </si>
  <si>
    <t>D05</t>
  </si>
  <si>
    <t>S05</t>
  </si>
  <si>
    <t>2027-06-22 10:00:00 KST</t>
  </si>
  <si>
    <t>협상안 재분석</t>
  </si>
  <si>
    <t>PROPOSAL_READY</t>
  </si>
  <si>
    <t>2027-06-23 18:00:00 KST</t>
  </si>
  <si>
    <t>최신 버전·조건 일치 확인</t>
  </si>
  <si>
    <t>CT24·CT26</t>
  </si>
  <si>
    <t>협상안 영향 재분석</t>
  </si>
  <si>
    <t>S06</t>
  </si>
  <si>
    <t>2027-06-22 11:00:00 KST</t>
  </si>
  <si>
    <t>U24</t>
  </si>
  <si>
    <t>PROP01-v1 상신</t>
  </si>
  <si>
    <t>TEAM_APPROVAL_PENDING</t>
  </si>
  <si>
    <t>DOC-PROP01</t>
  </si>
  <si>
    <t>기안 단가2120·협상안 일치</t>
  </si>
  <si>
    <t>CT26</t>
  </si>
  <si>
    <t>가격인상 보고 기안</t>
  </si>
  <si>
    <t>D07</t>
  </si>
  <si>
    <t>S07</t>
  </si>
  <si>
    <t>2027-06-22 14:00:00 KST</t>
  </si>
  <si>
    <t>구매팀장</t>
  </si>
  <si>
    <t>U25</t>
  </si>
  <si>
    <t>APP-T01 승인</t>
  </si>
  <si>
    <t>EXEC_APPROVAL_PENDING</t>
  </si>
  <si>
    <t>APP-T01</t>
  </si>
  <si>
    <t>동일 PROP01-v1 승인</t>
  </si>
  <si>
    <t>CT27</t>
  </si>
  <si>
    <t>구매팀장 승인</t>
  </si>
  <si>
    <t>D08</t>
  </si>
  <si>
    <t>S08/S09</t>
  </si>
  <si>
    <t>2027-06-23 10:00:00 KST</t>
  </si>
  <si>
    <t>구매임원</t>
  </si>
  <si>
    <t>APP-E01 승인·대표 판정</t>
  </si>
  <si>
    <t>CEO_APPROVAL_PENDING</t>
  </si>
  <si>
    <t>2027-06-24 18:00:00 KST</t>
  </si>
  <si>
    <t>APP-E01</t>
  </si>
  <si>
    <t>최종12개월 구매증가 ≥10백만원</t>
  </si>
  <si>
    <t>CT27·CT28 / CT28</t>
  </si>
  <si>
    <t>구매임원 승인 / 대표 승인 대상 판단</t>
  </si>
  <si>
    <t>S10</t>
  </si>
  <si>
    <t>2027-06-23 14:00:00 KST</t>
  </si>
  <si>
    <t>대표</t>
  </si>
  <si>
    <t>APP-C01 승인</t>
  </si>
  <si>
    <t>APPROVED</t>
  </si>
  <si>
    <t>APP-C01</t>
  </si>
  <si>
    <t>승인 단가 확정·공식 F02 승인 아님</t>
  </si>
  <si>
    <t>CT27·CT28</t>
  </si>
  <si>
    <t>대표 승인</t>
  </si>
  <si>
    <t>D10</t>
  </si>
  <si>
    <t>S11</t>
  </si>
  <si>
    <t>2027-06-23 15:00:00 KST</t>
  </si>
  <si>
    <t>U26</t>
  </si>
  <si>
    <t>C02-APP01 원가 등록</t>
  </si>
  <si>
    <t>REGISTERED_FUTURE</t>
  </si>
  <si>
    <t>REG-C02</t>
  </si>
  <si>
    <t>7/1 적용예정·C01 보존</t>
  </si>
  <si>
    <t>CT29</t>
  </si>
  <si>
    <t>승인 조건 및 원가 등록</t>
  </si>
  <si>
    <t>D11</t>
  </si>
  <si>
    <t>S12</t>
  </si>
  <si>
    <t>2027-06-23 16:00:00 KST</t>
  </si>
  <si>
    <t>U27</t>
  </si>
  <si>
    <t>MR-2706-01 검토자료 갱신</t>
  </si>
  <si>
    <t>FINANCE_PENDING</t>
  </si>
  <si>
    <t>HANDOFF-01</t>
  </si>
  <si>
    <t>물량·원가 별도 사건 연결</t>
  </si>
  <si>
    <t>CT30</t>
  </si>
  <si>
    <t>장면 3 검토자료 연결</t>
  </si>
  <si>
    <t>D12</t>
  </si>
  <si>
    <t>S13</t>
  </si>
  <si>
    <t>2027-06-24 10:00:00 KST</t>
  </si>
  <si>
    <t>수신 확인</t>
  </si>
  <si>
    <t>HANDED_OFF</t>
  </si>
  <si>
    <t>2027-06-28 18:00:00 KST</t>
  </si>
  <si>
    <t>ACK-01</t>
  </si>
  <si>
    <t>SC02 완료·SC03 분석대기·위험 미해소</t>
  </si>
  <si>
    <t>경영관리 인수</t>
  </si>
  <si>
    <t>X01</t>
  </si>
  <si>
    <t>S14</t>
  </si>
  <si>
    <t>추가 협상지시</t>
  </si>
  <si>
    <t>NEEDS_RENEGOTIATION</t>
  </si>
  <si>
    <t>2027-06-25 18:00:00 KST</t>
  </si>
  <si>
    <t>INSTR-RENEG01</t>
  </si>
  <si>
    <t>D08 기본승인 대신 분기·C02 생성 금지</t>
  </si>
  <si>
    <t>별도분기</t>
  </si>
  <si>
    <t>CT27·CT30</t>
  </si>
  <si>
    <t>추가 협상지시 기록</t>
  </si>
  <si>
    <t>화면을 채울 가상 증빙과 협상 내용</t>
  </si>
  <si>
    <t>외부 전송·실제 공문 파일이 아닌 데모 본문 데이터입니다. 담당자 검토 후 기록하는 문안이며 Agent는 승인하지 않습니다.</t>
  </si>
  <si>
    <t>record_id</t>
  </si>
  <si>
    <t>record_type</t>
  </si>
  <si>
    <t>actor</t>
  </si>
  <si>
    <t>내용</t>
  </si>
  <si>
    <t>연결·필수항목</t>
  </si>
  <si>
    <t>요청공문</t>
  </si>
  <si>
    <t>SUP-01 가상 정밀부품</t>
  </si>
  <si>
    <t>원재료 및 가공비 상승으로 P-COM01의 공급단가를 2,000원에서 2,200원으로 조정 요청. 2027-07-01 적용 희망. VAT 별도.</t>
  </si>
  <si>
    <t>REQ-2706-01 / P-COM01 / PV-REQ01</t>
  </si>
  <si>
    <t>구두보고</t>
  </si>
  <si>
    <t>구매담당·구매팀장</t>
  </si>
  <si>
    <t>수요 감소와 원가 상승이 중첩되어 사전 손익분석 후 1차 협상 진행. 내부 제시가 2,100원으로 검토.</t>
  </si>
  <si>
    <t>보고일 6/17 10:00 / 보고자·참석자·결론</t>
  </si>
  <si>
    <t>Agent 요약 초안</t>
  </si>
  <si>
    <t>구매담당 확인</t>
  </si>
  <si>
    <t>a·b에 공통 사용. 요청안은 기존 대비 10% 인상. 2028년 물량은 내부가정으로 향후12개월 금액을 추정하며 물량 감소 사건과 함께 검토 필요.</t>
  </si>
  <si>
    <t>RUN-REQ01 / 검토자 확인 후 채택</t>
  </si>
  <si>
    <t>1차 협상 결과</t>
  </si>
  <si>
    <t>구매담당·공급사 영업담당</t>
  </si>
  <si>
    <t>6/21 협상. 내부 제시 2,100원, 공급사 최종 잠정 2,120원. 적용일 7/1 유지. 내부 승인 전 잠정안임을 확인.</t>
  </si>
  <si>
    <t>가격·일자·대상·참석자·회신근거 / 담당자가 협상기한 입력</t>
  </si>
  <si>
    <t>가격인상 기안</t>
  </si>
  <si>
    <t>공통부품 단가 2,120원으로 인상 상신. 요청 대비 인상폭을 10%에서 6%로 축소. 품목별 연 구매액 증가를 필수 첨부하고 손익 분석은 참고자료로 연결.</t>
  </si>
  <si>
    <t>PROP01-v1 / PV-PROP01 / RUN-PROP01</t>
  </si>
  <si>
    <t>팀장 승인</t>
  </si>
  <si>
    <t>ROLE-BUY-LEAD</t>
  </si>
  <si>
    <t>요청사유·협상결과·기안 일치 및 물량 가정을 검토하고 승인.</t>
  </si>
  <si>
    <t>PROP01-v1 / 6/22 14:00</t>
  </si>
  <si>
    <t>임원 승인</t>
  </si>
  <si>
    <t>ROLE-BUY-EXEC</t>
  </si>
  <si>
    <t>공급 안정과 잔여 원가 부담을 고려해 승인. 대표 승인 및 경영관리 통합검토 필요.</t>
  </si>
  <si>
    <t>PROP01-v1 / 6/23 10:00</t>
  </si>
  <si>
    <t>ROLE-CEO</t>
  </si>
  <si>
    <t>단가 인상안을 승인하고 통합 손익 영향과 후속 개선대책은 장면3에서 검토하도록 함.</t>
  </si>
  <si>
    <t>PROP01-v1 / 6/23 14:00</t>
  </si>
  <si>
    <t>대체 공급처 견적과 인상 사유 증빙을 확보하여 추가 협상. 구매담당 배정, 협의기한 6/25 18:00.</t>
  </si>
  <si>
    <t>X01 전용 / 미승인·재협상대기 / 2차 상세 후속범위</t>
  </si>
  <si>
    <t>BG-REQ02</t>
  </si>
  <si>
    <t>배경 거래</t>
  </si>
  <si>
    <t>REQ-BG02</t>
  </si>
  <si>
    <t>SUP-02 가상 소재</t>
  </si>
  <si>
    <t>A-c용 외주 단가 확인 건. 인상 요청 없음, 기존 계약 유지.</t>
  </si>
  <si>
    <t>정상 거래 / 계산범위 제외 / 추가 위험 생성 없음</t>
  </si>
  <si>
    <t>BG-REQ03</t>
  </si>
  <si>
    <t>REQ-BG03</t>
  </si>
  <si>
    <t>SUP-03 가상 가공</t>
  </si>
  <si>
    <t>A-d·A-e 정기 거래 검토 완료. 가격·수량 추가 변경 없음.</t>
  </si>
  <si>
    <t>정상 거래 / 계산범위 제외 / 요청건 합산 금지</t>
  </si>
  <si>
    <t>장면 3 인계 데이터 계약</t>
  </si>
  <si>
    <t>동일 상위 검토건에 두 사건을 유지합니다. 아래는 D12 이후 기대 레코드이며 승인 전에는 provisional=true로 별도 구분합니다.</t>
  </si>
  <si>
    <t>field</t>
  </si>
  <si>
    <t>정의 및 처리</t>
  </si>
  <si>
    <t>review_id</t>
  </si>
  <si>
    <t>MR-2706-01</t>
  </si>
  <si>
    <t>울산 A제품 수익성 통합검토건</t>
  </si>
  <si>
    <t>quantity_issue_id</t>
  </si>
  <si>
    <t>ISSUE-B07</t>
  </si>
  <si>
    <t>장면1 기존 물량 감소 이슈 보존</t>
  </si>
  <si>
    <t>price_issue_id</t>
  </si>
  <si>
    <t>ISSUE-COST01</t>
  </si>
  <si>
    <t>장면2 가격 인상 신규 이슈</t>
  </si>
  <si>
    <t>quantity_run_id</t>
  </si>
  <si>
    <t>장면1 추가 물량 감소 -700대분</t>
  </si>
  <si>
    <t>price_run_id</t>
  </si>
  <si>
    <t>선택안은 승인안 한 개만 적용</t>
  </si>
  <si>
    <t>D09 승인 후 생성. 요청·협상안 중복 합산 금지</t>
  </si>
  <si>
    <t>cost_version</t>
  </si>
  <si>
    <t>C02-APP01</t>
  </si>
  <si>
    <t>C01+공통부품 인상분. 적용일 2027-07-01</t>
  </si>
  <si>
    <t>qty_version</t>
  </si>
  <si>
    <t>F02 + EXT28-v1</t>
  </si>
  <si>
    <t>F02 검토중 유지. 2028은 내부가정</t>
  </si>
  <si>
    <t>year_volume_impact</t>
  </si>
  <si>
    <t>2027 물량 순영향·원</t>
  </si>
  <si>
    <t>year_cost_impact</t>
  </si>
  <si>
    <t>2027 승인안 추가 원가 영향·원</t>
  </si>
  <si>
    <t>year_combined_profit</t>
  </si>
  <si>
    <t>2027 통합 관리손익·원</t>
  </si>
  <si>
    <t>year_target_gap</t>
  </si>
  <si>
    <t>2027 Target 대비 부족·원</t>
  </si>
  <si>
    <t>next12_purchase_increase</t>
  </si>
  <si>
    <t>대표 승인과 금액 위험 판단 기준·원</t>
  </si>
  <si>
    <t>next12_combined_profit</t>
  </si>
  <si>
    <t>동일12개월 비교·Target 없음</t>
  </si>
  <si>
    <t>approval_status</t>
  </si>
  <si>
    <t>단가안 승인 상태</t>
  </si>
  <si>
    <t>risk_status</t>
  </si>
  <si>
    <t>단가 승인·인계완료가 위험 해소 아님</t>
  </si>
  <si>
    <t>forecast_status</t>
  </si>
  <si>
    <t>REVIEW_PENDING</t>
  </si>
  <si>
    <t>공식 Forecast·Target 자동 변경 없음</t>
  </si>
  <si>
    <t>scene_status</t>
  </si>
  <si>
    <t>SC02_HANDED_OFF / SC03_PENDING</t>
  </si>
  <si>
    <t>D12 인수 확인 이후</t>
  </si>
  <si>
    <t>accepted_by_at</t>
  </si>
  <si>
    <t>ROLE-FIN / 2027-06-24 10:00:00 KST</t>
  </si>
  <si>
    <t>실사용자 계정 매핑은 구현명세에서 확정</t>
  </si>
  <si>
    <t>source_bundle</t>
  </si>
  <si>
    <t>REQ-2706-01 / PROP01-v1 / HANDOFF-01</t>
  </si>
  <si>
    <t>요청·분석·협상·승인·등록·인수 이력 모두 참조</t>
  </si>
  <si>
    <t>분기 및 경계 검증 데이터</t>
  </si>
  <si>
    <t>X02~X05 등은 기본 시드 복제 후 단독 실행합니다. 규칙 fixture는 계산 기준 검증용이며 실제 거래·손익에 합산하지 않습니다.</t>
  </si>
  <si>
    <t>case_id</t>
  </si>
  <si>
    <t>목적</t>
  </si>
  <si>
    <t>변경 입력</t>
  </si>
  <si>
    <t>연구매증가</t>
  </si>
  <si>
    <t>기대 결과</t>
  </si>
  <si>
    <t>처리 기준</t>
  </si>
  <si>
    <t>계산 위험</t>
  </si>
  <si>
    <t>계산 승인선</t>
  </si>
  <si>
    <t>D08 결정을 추가협상으로 변경</t>
  </si>
  <si>
    <t>NEEDS_RENEGOTIATION / C02 없음</t>
  </si>
  <si>
    <t>S14 지시 사유·담당·기한 입력. 상세 2차 협상 제외</t>
  </si>
  <si>
    <t>업무 검증</t>
  </si>
  <si>
    <t>해당 없음</t>
  </si>
  <si>
    <t>X02</t>
  </si>
  <si>
    <t>대표 비대상</t>
  </si>
  <si>
    <t>기안단가 2,050원으로 별도 실행</t>
  </si>
  <si>
    <t>기안액 기준 재판정</t>
  </si>
  <si>
    <t>새 협상·기안·run 생성, 기본안 덮어쓰기 금지</t>
  </si>
  <si>
    <t>X03-A</t>
  </si>
  <si>
    <t>대표 경계 직전</t>
  </si>
  <si>
    <t>규칙 단위검증용 금액</t>
  </si>
  <si>
    <t>기본 구매수량 역산에 쓰지 않는 규칙 fixture</t>
  </si>
  <si>
    <t>X03-B</t>
  </si>
  <si>
    <t>대표 경계 포함</t>
  </si>
  <si>
    <t>대표 대상</t>
  </si>
  <si>
    <t>정확한 원 단위 비교</t>
  </si>
  <si>
    <t>X04</t>
  </si>
  <si>
    <t>적용일 변경</t>
  </si>
  <si>
    <t>설정 B6=2027-08-01</t>
  </si>
  <si>
    <t>2027-08~2028-07 재계산</t>
  </si>
  <si>
    <t>2028-07 5모델·원가·고정비 추가 제공. 재분석 전 상신 차단</t>
  </si>
  <si>
    <t>X05</t>
  </si>
  <si>
    <t>기안가 변경</t>
  </si>
  <si>
    <t>기안가=2130, 협상가=2120</t>
  </si>
  <si>
    <t>차이 사유·RUN-PROP02 필요</t>
  </si>
  <si>
    <t>이전 run·승인 재사용 금지</t>
  </si>
  <si>
    <t>X06</t>
  </si>
  <si>
    <t>협상미합의</t>
  </si>
  <si>
    <t>잠정단가 NULL</t>
  </si>
  <si>
    <t>NEGOTIATION_UNRESOLVED</t>
  </si>
  <si>
    <t>0원으로 계산하거나 자동 상신하지 않음</t>
  </si>
  <si>
    <t>X07</t>
  </si>
  <si>
    <t>보완 또는 반려</t>
  </si>
  <si>
    <t>U25 보완/반려 선택</t>
  </si>
  <si>
    <t>RETURNED 또는 REJECTED</t>
  </si>
  <si>
    <t>보완 시 신규기안버전·승인경로 재시작. 기한 재기산 구현명세</t>
  </si>
  <si>
    <t>X08-A</t>
  </si>
  <si>
    <t>비율 관심 경계</t>
  </si>
  <si>
    <t>5% 인상·금액위험 없음</t>
  </si>
  <si>
    <t>관심</t>
  </si>
  <si>
    <t>비율만 시험</t>
  </si>
  <si>
    <t>X08-B</t>
  </si>
  <si>
    <t>비율 중요 경계</t>
  </si>
  <si>
    <t>10% 인상·금액위험 없음</t>
  </si>
  <si>
    <t>중요</t>
  </si>
  <si>
    <t>X08-C</t>
  </si>
  <si>
    <t>금액 관심 경계</t>
  </si>
  <si>
    <t>연 증가액 5백만원</t>
  </si>
  <si>
    <t>금액만 시험</t>
  </si>
  <si>
    <t>X08-D</t>
  </si>
  <si>
    <t>금액 중요 경계</t>
  </si>
  <si>
    <t>연 증가액 10백만원</t>
  </si>
  <si>
    <t>X09-A</t>
  </si>
  <si>
    <t>월수량 누락</t>
  </si>
  <si>
    <t>2028-06 A-b 수량 NULL</t>
  </si>
  <si>
    <t>미산출·상신 차단</t>
  </si>
  <si>
    <t>0 대분과 구분. 필수 60행과 값 유효성 검사</t>
  </si>
  <si>
    <t>X09-B</t>
  </si>
  <si>
    <t>Agent 실패</t>
  </si>
  <si>
    <t>요약 생성 실패</t>
  </si>
  <si>
    <t>수치 계산 유지·수동 요약 가능</t>
  </si>
  <si>
    <t>Agent 완료를 승인으로 대체하지 않음</t>
  </si>
  <si>
    <t>X10</t>
  </si>
  <si>
    <t>중복 데이터</t>
  </si>
  <si>
    <t>동일 month/model 키 복제</t>
  </si>
  <si>
    <t>중복키 오류·계산 승인 차단</t>
  </si>
  <si>
    <t>SUM으로 중복행 자동 합산 금지</t>
  </si>
  <si>
    <t>v0.2 후속확정 검토의견 반영</t>
  </si>
  <si>
    <t>출처: INNONOW_SC02_화면구성_시연순서_v0.2.xlsx 후속확정. 아래 검토 의견은 원문을 보존했습니다.</t>
  </si>
  <si>
    <t>ID</t>
  </si>
  <si>
    <t>검토 의견 원문</t>
  </si>
  <si>
    <t>이번 반영 위치</t>
  </si>
  <si>
    <t>NEXT01</t>
  </si>
  <si>
    <t>확정된 위험 비율</t>
  </si>
  <si>
    <t>OK</t>
  </si>
  <si>
    <t>단가안비교 E·J / 예외 X08</t>
  </si>
  <si>
    <t>반영</t>
  </si>
  <si>
    <t>NEXT02</t>
  </si>
  <si>
    <t>확정된 위험 금액</t>
  </si>
  <si>
    <t>단가안비교 I·K·M / 공급사 요청건 집계</t>
  </si>
  <si>
    <t>NEXT03</t>
  </si>
  <si>
    <t>연도와 시점</t>
  </si>
  <si>
    <t>업무이력 2027-06-17~24 가상 일정</t>
  </si>
  <si>
    <t>NEXT04</t>
  </si>
  <si>
    <t>공통 부품 가격</t>
  </si>
  <si>
    <t>시연 목적상 협상 이후에도 12개월 구매 증가액 &gt;= 10백만원이 되도록 협상가 수치 설정</t>
  </si>
  <si>
    <t>설정 B16=2120 / 12개월 증가 1천만원 이상</t>
  </si>
  <si>
    <t>기준 확정·수치 가상 설정</t>
  </si>
  <si>
    <t>NEXT05</t>
  </si>
  <si>
    <t>12개월 데이터 확장</t>
  </si>
  <si>
    <t>28년 데이터는 내부가정으로 생성</t>
  </si>
  <si>
    <t>물량원가기준 2028-01~07 내부가정·97%</t>
  </si>
  <si>
    <t>NEXT06</t>
  </si>
  <si>
    <t>재고와 기존 외주비</t>
  </si>
  <si>
    <t>부품모델매핑 잔여외주비 / 월별계산 T</t>
  </si>
  <si>
    <t>NEXT07</t>
  </si>
  <si>
    <t>기간 표시</t>
  </si>
  <si>
    <t>단가안비교 F~I / 월초 적용</t>
  </si>
  <si>
    <t>NEXT08</t>
  </si>
  <si>
    <t>기한과 권한</t>
  </si>
  <si>
    <t>OK. 외부협상 기한은 Case마다 달라질 수 있으므로 담당자가 일정을 입력하도록 함</t>
  </si>
  <si>
    <t>설정 B19 수동입력 / 업무이력 due_at</t>
  </si>
  <si>
    <t>NEXT09</t>
  </si>
  <si>
    <t>상태별 데이터 준비</t>
  </si>
  <si>
    <t>업무이력 S01~14·CT21~30·U21~27·D00~12</t>
  </si>
  <si>
    <t>NEXT10</t>
  </si>
  <si>
    <t>장면 3 인계 계약</t>
  </si>
  <si>
    <t>장면3인계 상위검토건·두 사건·단일 선택안</t>
  </si>
  <si>
    <t>개발 적재·계산·표시 기준</t>
  </si>
  <si>
    <t>본 파일은 장면1 기준을 포함한 장면2 확장 데이터입니다. 실제 업무 실행·권한·API·오류처리 명세는 다음 구현명세에서 확정합니다.</t>
  </si>
  <si>
    <t>entity / 항목</t>
  </si>
  <si>
    <t>key / 자료형</t>
  </si>
  <si>
    <t>연결 및 처리</t>
  </si>
  <si>
    <t>화면·검증</t>
  </si>
  <si>
    <t>물량원가기준</t>
  </si>
  <si>
    <t>period DATE + model_id TEXT, 복합PK</t>
  </si>
  <si>
    <t>95행: 2027 60행 +2028 35행. F01/F02 평면 열은 적재 시 version_id 기준 정규화 가능. T01은 2027만.</t>
  </si>
  <si>
    <t>U22/U27. 초기 F02 검토중 유지</t>
  </si>
  <si>
    <t>2028 내부가정</t>
  </si>
  <si>
    <t>EXT28-v1 / 가정계수0.97</t>
  </si>
  <si>
    <t>2027 동일월 F01에 계수 적용·정수 반올림. 2027-07의 -700을 다음해에 자동 복제하지 않음. 판매가·원가·고정비 동결.</t>
  </si>
  <si>
    <t>내부가정 표시·고객공유 화면에 CP02로 표시 금지</t>
  </si>
  <si>
    <t>월고정비</t>
  </si>
  <si>
    <t>plant_id=ULS + period</t>
  </si>
  <si>
    <t>공장별 월1행. 모델 합계에서 한번 차감. 2028 실적은 NULL.</t>
  </si>
  <si>
    <t>U27 공장손익</t>
  </si>
  <si>
    <t>부품모델매핑</t>
  </si>
  <si>
    <t>part_id + model_id</t>
  </si>
  <si>
    <t>P-COM01 / SUP-01 / a,b 각1. c,d,e 명시적0. C01 외주비 내 기존2천원 포함.</t>
  </si>
  <si>
    <t>U21/U22/U26</t>
  </si>
  <si>
    <t>가격 원천</t>
  </si>
  <si>
    <t>price_version + part_id</t>
  </si>
  <si>
    <t>기존·요청·내부제시·협상·기안·승인 구분. 금액 KRW 정수·VAT 제외.</t>
  </si>
  <si>
    <t>U21~U26</t>
  </si>
  <si>
    <t>적용일</t>
  </si>
  <si>
    <t>effective_date DATE</t>
  </si>
  <si>
    <t>기본 월초 7/1. 8/1 예외까지 데이터 지원. 월중 적용/2028-08 이후는 범위 밖·추가 데이터 요구.</t>
  </si>
  <si>
    <t>불충분 기간을0으로 계산 금지</t>
  </si>
  <si>
    <t>구매증가 산식</t>
  </si>
  <si>
    <t>DECIMAL / KRW</t>
  </si>
  <si>
    <t>Σ(기안단가−기존단가)×적용기간 F02 소요량. 동일 공급사·요청건 부품 합산. 여러 품목 추가 시 상세행·매핑·집계범위 확장.</t>
  </si>
  <si>
    <t>현재 기본은 공통부품1종</t>
  </si>
  <si>
    <t>위험 규칙</t>
  </si>
  <si>
    <t>R02-v1</t>
  </si>
  <si>
    <t>품목 인상률 최고수준과 요청건 구매 증가액 수준 중 높은 등급. 5%/10%,5백만/1천만 경계 포함.</t>
  </si>
  <si>
    <t>승인권한 AUTH02-v1과 분리</t>
  </si>
  <si>
    <t>승인권한</t>
  </si>
  <si>
    <t>AUTH02-v1</t>
  </si>
  <si>
    <t>최종 기안 연 구매증가 ≥1천만원이면 대표 필요. 팀장·임원·대표 순서, 동일기안버전.</t>
  </si>
  <si>
    <t>단가 변경 시 이전 승인 무효화 후 새 버전</t>
  </si>
  <si>
    <t>손익 브리지</t>
  </si>
  <si>
    <t>F01+C01 → F02+C01 → F02+C02</t>
  </si>
  <si>
    <t>장면1=(F02−F01)×기준CM. 장면2=−F02×단가차이×소요량. 상호작용은 원가단계에 포함.</t>
  </si>
  <si>
    <t>요청/협상/승인안 동시합산 금지</t>
  </si>
  <si>
    <t>구매액과 손익</t>
  </si>
  <si>
    <t>서로 다른 지표</t>
  </si>
  <si>
    <t>무재고·무기발주·시차0이므로 본 데모에서 증가액=CM감소 절대값. 회계상 일반 등식으로 사용하지 않음.</t>
  </si>
  <si>
    <t>U22는 별도 항목·기간 표시</t>
  </si>
  <si>
    <t>기안·협상</t>
  </si>
  <si>
    <t>request_id + negotiation_seq / proposal_version</t>
  </si>
  <si>
    <t>REQ-2706-01, NEG01, PROP01-v1. due_at 담당자 수동입력. 가격/일자/조건 변경 시 새 run.</t>
  </si>
  <si>
    <t>U23 기한 필수·예외 S14</t>
  </si>
  <si>
    <t>업무 이벤트</t>
  </si>
  <si>
    <t>event_id / demo_id</t>
  </si>
  <si>
    <t>업무이력은 기대 이벤트 정의. D00 초기 적재 후 순차 생성. 미래 승인·원가·인계기록은 선노출 금지.</t>
  </si>
  <si>
    <t>새 실행은 execution_id 분리·이벤트 중복방지</t>
  </si>
  <si>
    <t>결재 상태와 위험</t>
  </si>
  <si>
    <t>approval_status / risk_status / scene_status</t>
  </si>
  <si>
    <t>APPROVED,OPEN,HANDED_OFF를 분리. 인수 이후에도 SC03 분석대기.</t>
  </si>
  <si>
    <t>U25/U27</t>
  </si>
  <si>
    <t>업무일 달력</t>
  </si>
  <si>
    <t>Asia/Seoul / 월~금09~18</t>
  </si>
  <si>
    <t>본 가상 일정은 주말 제외·공휴일 미반영. 익일검토/2영업일분석, 외부협상은 별도기한.</t>
  </si>
  <si>
    <t>실달력·보완재기산·계정 권한은 구현명세</t>
  </si>
  <si>
    <t>증빙과 Agent</t>
  </si>
  <si>
    <t>evidence_id / checked_by / checked_at</t>
  </si>
  <si>
    <t>가상 본문은 화면용. 계산은 규칙엔진; Agent는 요약·기안문 지원. 사람 검토·승인 기록 필요.</t>
  </si>
  <si>
    <t>DOC/NOTE/APP 식별자 참조</t>
  </si>
  <si>
    <t>정밀도와 NULL</t>
  </si>
  <si>
    <t>integer/decimal; NULL과0 구분</t>
  </si>
  <si>
    <t>금액은 원 단위 비교, 비율 원값으로 경계판정. 실제 미발생·미설정은 NULL; 문자열 NONE은 UI fixture 표현.</t>
  </si>
  <si>
    <t>실제 DB에서는 NONE→NULL</t>
  </si>
  <si>
    <t>분기 초기화</t>
  </si>
  <si>
    <t>case_id + execution_id</t>
  </si>
  <si>
    <t>X01은 D08 승인 대체. X02~는 기본데이터 별도복제. 기본 이력에 누적 적용 금지.</t>
  </si>
  <si>
    <t>검증 데이터가 본 손익에 합산되지 않음</t>
  </si>
  <si>
    <t>배경 표시</t>
  </si>
  <si>
    <t>a~e 및 BG-REQ02/03</t>
  </si>
  <si>
    <t>c,d,e 가격변경0으로 월/분기 손익 배경 구성. 별도 거래2건은 표시용·금액 집계 제외.</t>
  </si>
  <si>
    <t>고객계획 원본은 SC01 CP01/CP02 재사용</t>
  </si>
  <si>
    <t>선행 원본</t>
  </si>
  <si>
    <t>SC01 v0.1 / SC02 화면 v0.2</t>
  </si>
  <si>
    <t>2027 수량·원가·실적은 SC01 손익계산/단위원가/고정비의 값 보존. CP 원문·장면1 업무이력은 기존 파일이 원본.</t>
  </si>
  <si>
    <t>원본 파일 수정 없음</t>
  </si>
  <si>
    <t>계산 및 원본 정합성 검증</t>
  </si>
  <si>
    <t>기본안 기준 기대값과 수식을 비교합니다. 입력을 바꾸면 기본안 검증은 달라질 수 있습니다. 검증표는 계산 결과를 읽으며 계산의 입력으로 쓰지 않습니다.</t>
  </si>
  <si>
    <t>검증항목</t>
  </si>
  <si>
    <t>기대값</t>
  </si>
  <si>
    <t>계산값</t>
  </si>
  <si>
    <t>차이</t>
  </si>
  <si>
    <t>결과</t>
  </si>
  <si>
    <t>V01</t>
  </si>
  <si>
    <t>2027 F01 관리손익</t>
  </si>
  <si>
    <t>V02</t>
  </si>
  <si>
    <t>2027 F02 관리손익</t>
  </si>
  <si>
    <t>V03</t>
  </si>
  <si>
    <t>장면1 물량 순영향</t>
  </si>
  <si>
    <t>V04</t>
  </si>
  <si>
    <t>2027 Target 관리손익</t>
  </si>
  <si>
    <t>V05</t>
  </si>
  <si>
    <t>12개월 유효 모델월</t>
  </si>
  <si>
    <t>V06</t>
  </si>
  <si>
    <t>12개월 행수</t>
  </si>
  <si>
    <t>V07</t>
  </si>
  <si>
    <t>손익 브리지 오차</t>
  </si>
  <si>
    <t>V08</t>
  </si>
  <si>
    <t>c~e 승인원가 영향</t>
  </si>
  <si>
    <t>V09</t>
  </si>
  <si>
    <t>기존부품 외주비 초과</t>
  </si>
  <si>
    <t>V10</t>
  </si>
  <si>
    <t>협상 후 대표 승인 대상</t>
  </si>
  <si>
    <t>V11</t>
  </si>
  <si>
    <t>요청 대비 부담 감소</t>
  </si>
  <si>
    <t>V12</t>
  </si>
  <si>
    <t>협상 후 원가 부담 잔존</t>
  </si>
  <si>
    <t>V13</t>
  </si>
  <si>
    <t>기안과 협상 단가 차이</t>
  </si>
  <si>
    <t>V14</t>
  </si>
  <si>
    <t>2027 증가와 손익영향 연결</t>
  </si>
  <si>
    <t>V15</t>
  </si>
  <si>
    <t>향후12개월 증가와 손익 연결</t>
  </si>
  <si>
    <t>V16</t>
  </si>
  <si>
    <t>2027 실적수량 보존</t>
  </si>
  <si>
    <t>V17</t>
  </si>
  <si>
    <t>전체 원천 행 유효</t>
  </si>
  <si>
    <t>INNONOW SC03요약  v0.3</t>
  </si>
  <si>
    <t>장면3 확장 · 가상 업무연도 2027 · KST · 원 단위 · 빈 금액 셀은 NULL(미산정)</t>
  </si>
  <si>
    <t>근거·읽는 순서</t>
  </si>
  <si>
    <t>SC01~SC03 v0.3</t>
  </si>
  <si>
    <t>2026-10-21</t>
  </si>
  <si>
    <t>기존 원천·수식 유지. 통합손익 하단 Q3 모델표는 통합모델손익으로 분리. SC03 시트는 기본 시연 종료 시점의 가상 레코드. 이벤트로 이전 시점 재생.</t>
  </si>
  <si>
    <t>대상</t>
  </si>
  <si>
    <t>ULS / A-a~A-e</t>
  </si>
  <si>
    <t>가상 고객</t>
  </si>
  <si>
    <t>전사1조원 회사의 일부 공장·제품 분석. 신규 현업 설명은 합성 시연자료이며 실제 회사 사실 아님.</t>
  </si>
  <si>
    <t>2027 통합 관리손익</t>
  </si>
  <si>
    <t>기존 통합손익 K21 연결</t>
  </si>
  <si>
    <t>2027 목표 부족</t>
  </si>
  <si>
    <t>Target 유지. 기존부족과 신규사건 분리</t>
  </si>
  <si>
    <t>기존 목표 부족</t>
  </si>
  <si>
    <t>세부 원인 아직 미확인. AT34 분석 대상</t>
  </si>
  <si>
    <t>신규 사건 영향</t>
  </si>
  <si>
    <t>물량과 승인단가의 통합영향</t>
  </si>
  <si>
    <t>탐색 후보</t>
  </si>
  <si>
    <t>건</t>
  </si>
  <si>
    <t>SC03후보: 6개 정성적 대응 후보</t>
  </si>
  <si>
    <t>상세 분석 대상으로 채택</t>
  </si>
  <si>
    <t>4개 후보를 3개 대응 분석과제에 연결. 기존 부족 원인분석 AT34는 별도</t>
  </si>
  <si>
    <t>이번 분석에서 제외</t>
  </si>
  <si>
    <t>전면 외주화·해외 신규 차종 확대. 사유 기록, 재검토 가능</t>
  </si>
  <si>
    <t>배정 과제</t>
  </si>
  <si>
    <t>AT31~34. 후보 채택은 실행안 승인 아님</t>
  </si>
  <si>
    <t>인수 완료 과제</t>
  </si>
  <si>
    <t>기본 시연 종료시 4/4</t>
  </si>
  <si>
    <t>인수율</t>
  </si>
  <si>
    <t>비율</t>
  </si>
  <si>
    <t>인수 완료 / 배정 과제. 0건이면 N/A</t>
  </si>
  <si>
    <t>Risk / Forecast</t>
  </si>
  <si>
    <t>OPEN / REVIEW_PENDING</t>
  </si>
  <si>
    <t>장면 완료와 분리</t>
  </si>
  <si>
    <t>기본 장면 상태</t>
  </si>
  <si>
    <t>SC03_COMPLETED</t>
  </si>
  <si>
    <t>6/30 11:30 KST</t>
  </si>
  <si>
    <t>검토결론·잔여사항 처리·과제인수·7/12 월간회의 계획 확보</t>
  </si>
  <si>
    <t>조건부 수용의 의미</t>
  </si>
  <si>
    <t>통합 영향 검토 수용, 상세 분석 범위 특정</t>
  </si>
  <si>
    <t>REV31</t>
  </si>
  <si>
    <t>AT31 회피가능 고정비와 AT34 기존 부족의 근거를 후속 확인. 현재 손익계산 오류는 없음.</t>
  </si>
  <si>
    <t>추가 의견 반영</t>
  </si>
  <si>
    <t>NEXT32·NEXT33</t>
  </si>
  <si>
    <t>후보별 설명→포함/제외 판단→분석 대상·질문 특정. SC03후보·SC03회의 참조.</t>
  </si>
  <si>
    <t>후속</t>
  </si>
  <si>
    <t>통합 데이터 검토 후 구현 명세</t>
  </si>
  <si>
    <t>예정</t>
  </si>
  <si>
    <t>추가 대안 비용·절감액은 미산정(NULL). 장면4에서 상세 비교·결정.</t>
  </si>
  <si>
    <t>INNONOW SC03기준  v0.3</t>
  </si>
  <si>
    <t>type</t>
  </si>
  <si>
    <t>effective_at</t>
  </si>
  <si>
    <t>설명</t>
  </si>
  <si>
    <t>BASE31</t>
  </si>
  <si>
    <t>장면3인계</t>
  </si>
  <si>
    <t>F01 대비 물량변동 후 승인단가 적용</t>
  </si>
  <si>
    <t>BASE32</t>
  </si>
  <si>
    <t>PV-APP01 / RUN-APP01</t>
  </si>
  <si>
    <t>C01 고정 기준. 요청·협상안 중복 합산 금지</t>
  </si>
  <si>
    <t>BASE33</t>
  </si>
  <si>
    <t>fixed_version</t>
  </si>
  <si>
    <t>FC01 / FC28-v1</t>
  </si>
  <si>
    <t>공장합계에만 고정비 차감</t>
  </si>
  <si>
    <t>RUN-SC03-01</t>
  </si>
  <si>
    <t>analysis_run</t>
  </si>
  <si>
    <t>RUN-F02-001 / RUN-APP01</t>
  </si>
  <si>
    <t>기존 통합 계산 재사용. 새6월 실적 입력 없음</t>
  </si>
  <si>
    <t>REP31-v0</t>
  </si>
  <si>
    <t>report_version</t>
  </si>
  <si>
    <t>DRAFT</t>
  </si>
  <si>
    <t>부서 확인용 초안</t>
  </si>
  <si>
    <t>REP31-v1</t>
  </si>
  <si>
    <t>FROZEN</t>
  </si>
  <si>
    <t>임원 확인·확정. 수치 재계산 없음, 부서 확인과 쟁점 처리 추가</t>
  </si>
  <si>
    <t>MIN31-v1</t>
  </si>
  <si>
    <t>minutes_version</t>
  </si>
  <si>
    <t>CONFIRMED</t>
  </si>
  <si>
    <t>MT31 / REV31</t>
  </si>
  <si>
    <t>경영관리 임원 확인. 분석 지시 및 제외 사유 포함</t>
  </si>
  <si>
    <t>USR-FIN</t>
  </si>
  <si>
    <t>경영관리 담당</t>
  </si>
  <si>
    <t>ROLE-FIN</t>
  </si>
  <si>
    <t>가상 계정. 분석·취합·회의록 작성·종료</t>
  </si>
  <si>
    <t>USR-CFO</t>
  </si>
  <si>
    <t>경영관리 임원</t>
  </si>
  <si>
    <t>ROLE-CFO</t>
  </si>
  <si>
    <t>수시회의 주재·결론·배정 확인</t>
  </si>
  <si>
    <t>USR-PROD</t>
  </si>
  <si>
    <t>생산 책임자</t>
  </si>
  <si>
    <t>ROLE-PROD</t>
  </si>
  <si>
    <t>AT31 인수; 생산 사실 확인</t>
  </si>
  <si>
    <t>USR-BUY</t>
  </si>
  <si>
    <t>구매 책임자</t>
  </si>
  <si>
    <t>ROLE-BUY</t>
  </si>
  <si>
    <t>AT32 인수; 구매 사실 확인</t>
  </si>
  <si>
    <t>USR-SALES</t>
  </si>
  <si>
    <t>영업 책임자</t>
  </si>
  <si>
    <t>ROLE-SALES</t>
  </si>
  <si>
    <t>AT33 인수; 영업 사실 확인</t>
  </si>
  <si>
    <t>USR-FINLEAD</t>
  </si>
  <si>
    <t>경영관리 책임자</t>
  </si>
  <si>
    <t>ROLE-FINLEAD</t>
  </si>
  <si>
    <t>AT34 인수; 기존 부족 분석</t>
  </si>
  <si>
    <t>USR-QA</t>
  </si>
  <si>
    <t>품질 책임자</t>
  </si>
  <si>
    <t>ROLE-QA</t>
  </si>
  <si>
    <t>후속 과제 협조. MT31 참석자로 가정하지 않음</t>
  </si>
  <si>
    <t>USR-CEO</t>
  </si>
  <si>
    <t>대표이사</t>
  </si>
  <si>
    <t>장면4 MT41 주재. 장면3 결론 승인권자 아님</t>
  </si>
  <si>
    <t>INNONOW SC03사실확인  v0.3</t>
  </si>
  <si>
    <t>fact_id</t>
  </si>
  <si>
    <t>dept</t>
  </si>
  <si>
    <t>category</t>
  </si>
  <si>
    <t>statement</t>
  </si>
  <si>
    <t>evidence_ref</t>
  </si>
  <si>
    <t>reviewer</t>
  </si>
  <si>
    <t>confirmed_at</t>
  </si>
  <si>
    <t>state</t>
  </si>
  <si>
    <t>followup_ref</t>
  </si>
  <si>
    <t>F31</t>
  </si>
  <si>
    <t>영업</t>
  </si>
  <si>
    <t>FACT</t>
  </si>
  <si>
    <t>b모델 7월 전망 9,500→8,800. 고객계획 변경에 따른 추가 700개 감소.</t>
  </si>
  <si>
    <t>ISSUE-B07 / RUN-F02-001</t>
  </si>
  <si>
    <t>F32</t>
  </si>
  <si>
    <t>ASSUMPTION</t>
  </si>
  <si>
    <t>2028 물량은 2027 동일월 F01×97%. 고객 확정 생산계획 아님.</t>
  </si>
  <si>
    <t>EXT28-v1 / 설정</t>
  </si>
  <si>
    <t>CONFIRMED_AS_ASSUMPTION</t>
  </si>
  <si>
    <t>F33</t>
  </si>
  <si>
    <t>구매</t>
  </si>
  <si>
    <t>공통부품 승인단가 2,120원, 7/1 적용, a·b 각1개.</t>
  </si>
  <si>
    <t>PV-APP01 / P-COM01 / RUN-APP01</t>
  </si>
  <si>
    <t>F34</t>
  </si>
  <si>
    <t>기발주·재고 및 구매·생산·납품 시차 없음. 구매 증가와 CM 감소 대응은 이 가정에 한정.</t>
  </si>
  <si>
    <t>기존 데이터계약</t>
  </si>
  <si>
    <t>F35</t>
  </si>
  <si>
    <t>생산</t>
  </si>
  <si>
    <t>일부 부품공정 공유, 최종 조립은 모델별 구분. a 수익성 우위는 단가만으로 단정할 수 없음.</t>
  </si>
  <si>
    <t>SC03 경영이야기 / 가상 프로세스 기준</t>
  </si>
  <si>
    <t>F36</t>
  </si>
  <si>
    <t>UNCONFIRMED</t>
  </si>
  <si>
    <t>부분 외주화 시 회피 가능한 인력·설비 비용과 잔존비용의 상세 구분은 미확인.</t>
  </si>
  <si>
    <t>가상 생산 검토 메모 SYN-PROD31</t>
  </si>
  <si>
    <t>FOLLOWUP_REQUIRED</t>
  </si>
  <si>
    <t>Q31 / AT31</t>
  </si>
  <si>
    <t>F37</t>
  </si>
  <si>
    <t>기존 목표 부족 153,939,000원의 세부 원인 분해 근거 추가 확인 필요.</t>
  </si>
  <si>
    <t>통합손익 M21−G21</t>
  </si>
  <si>
    <t>Q32 / AT34</t>
  </si>
  <si>
    <t>INNONOW SC03쟁점  v0.3</t>
  </si>
  <si>
    <t>question_id</t>
  </si>
  <si>
    <t>fact_ref</t>
  </si>
  <si>
    <t>question</t>
  </si>
  <si>
    <t>blocking</t>
  </si>
  <si>
    <t>owner</t>
  </si>
  <si>
    <t>decision_by</t>
  </si>
  <si>
    <t>decided_at</t>
  </si>
  <si>
    <t>treatment</t>
  </si>
  <si>
    <t>Q31</t>
  </si>
  <si>
    <t>실제 회피 가능한 고정비와 잔존비용은 무엇인가?</t>
  </si>
  <si>
    <t>현 통합손익은 고정비 불변으로 계산되어 영향 없음. AT31에서 부분 공정 조정의 경제성을 확인.</t>
  </si>
  <si>
    <t>OPEN_FOLLOWUP</t>
  </si>
  <si>
    <t>Q32</t>
  </si>
  <si>
    <t>기존 부족의 원인을 신규 사건과 중복 없이 어떻게 설명할 것인가?</t>
  </si>
  <si>
    <t>부족 금액은 검증됨. 원인 미확인을 명시하고 AT34로 분석 지시.</t>
  </si>
  <si>
    <t>INNONOW SC03회의  v0.3</t>
  </si>
  <si>
    <t>meeting_id</t>
  </si>
  <si>
    <t>actor_id</t>
  </si>
  <si>
    <t>subject</t>
  </si>
  <si>
    <t>content</t>
  </si>
  <si>
    <t>related_ref</t>
  </si>
  <si>
    <t>MT31</t>
  </si>
  <si>
    <t>MEETING</t>
  </si>
  <si>
    <t>수시 경영검토회의</t>
  </si>
  <si>
    <t>울산 A제품 통합 손익영향 검토 및 상세 분석대상 특정. 종료 예정11:00.</t>
  </si>
  <si>
    <t>MR-2706-01 / REP31-v1</t>
  </si>
  <si>
    <t>HELD</t>
  </si>
  <si>
    <t>ATT31-1</t>
  </si>
  <si>
    <t>ATTENDANCE</t>
  </si>
  <si>
    <t>참석</t>
  </si>
  <si>
    <t>가상 참석 기록</t>
  </si>
  <si>
    <t>PRESENT</t>
  </si>
  <si>
    <t>ATT31-2</t>
  </si>
  <si>
    <t>ATT31-3</t>
  </si>
  <si>
    <t>ATT31-4</t>
  </si>
  <si>
    <t>ATT31-5</t>
  </si>
  <si>
    <t>ATT31-6</t>
  </si>
  <si>
    <t>QA31</t>
  </si>
  <si>
    <t>QUESTION</t>
  </si>
  <si>
    <t>사건 영향과 전체 부족 구분</t>
  </si>
  <si>
    <t>두 사건을 해소하면 목표 달성이 가능한가?</t>
  </si>
  <si>
    <t>ANSWERED</t>
  </si>
  <si>
    <t>QA32</t>
  </si>
  <si>
    <t>ANSWER</t>
  </si>
  <si>
    <t>기존 부족 별도</t>
  </si>
  <si>
    <t>신규 악화 23,364,320원 외 기존 부족 153,939,000원이 남습니다. 원인 분해는 추가 분석하겠습니다.</t>
  </si>
  <si>
    <t>QA31 / Q32</t>
  </si>
  <si>
    <t>RECORDED</t>
  </si>
  <si>
    <t>QA33</t>
  </si>
  <si>
    <t>EXPLANATION</t>
  </si>
  <si>
    <t>외주 범위 구분</t>
  </si>
  <si>
    <t>부분 공정 조정은 검토 가능. 최종 조립 전면 외주화는 단기간 전환·품질 검증 조건이 준비되지 않았다는 가상 설명.</t>
  </si>
  <si>
    <t>C31 / C35 / SYN-PROD31</t>
  </si>
  <si>
    <t>QA34</t>
  </si>
  <si>
    <t>물량 확보 범위</t>
  </si>
  <si>
    <t>기존 고객·기존 승인모델의 추가 배분 가능성부터 확인. 해외 신규 차종은 인증·수주 일정이 미확인이라는 가상 설명.</t>
  </si>
  <si>
    <t>C34 / C36 / SYN-SALES31</t>
  </si>
  <si>
    <t>REVIEW_DECISION</t>
  </si>
  <si>
    <t>조건부 수용 및 분석 범위 특정</t>
  </si>
  <si>
    <t>통합영향을 수용한다. C31~34는 상세 분석하고 C35·36은 이번 월간회의 상세 분석에서 제외한다. Q31·32는 7/6까지 AT31·34로 확인한다. 실행안 선택은 7/12 대표 주재회의로 남긴다.</t>
  </si>
  <si>
    <t>Q31 / Q32 / AT31~34</t>
  </si>
  <si>
    <t>CONDITIONAL_ACCEPT</t>
  </si>
  <si>
    <t>MINUTES_CONFIRM</t>
  </si>
  <si>
    <t>회의록 확인</t>
  </si>
  <si>
    <t>분석 대상·제외 사유·책임·기한·잔여 질문과 7/12 보고 계획을 확인.</t>
  </si>
  <si>
    <t>REV31 / REP31-v1</t>
  </si>
  <si>
    <t>MT41</t>
  </si>
  <si>
    <t>MEETING_PLAN</t>
  </si>
  <si>
    <t>월간 경영회의</t>
  </si>
  <si>
    <t>7/6 분석 제출, 7/8 경영관리 취합 후 상세 대안을 비교·결정한다. 현재는 계획만 등록.</t>
  </si>
  <si>
    <t>HANDOFF31</t>
  </si>
  <si>
    <t>PLANNED</t>
  </si>
  <si>
    <t>INNONOW SC03후보  v0.3</t>
  </si>
  <si>
    <t>candidate_id</t>
  </si>
  <si>
    <t>candidate</t>
  </si>
  <si>
    <t>expected_mechanism</t>
  </si>
  <si>
    <t>constraints</t>
  </si>
  <si>
    <t>decision</t>
  </si>
  <si>
    <t>decision_reason</t>
  </si>
  <si>
    <t>task_id</t>
  </si>
  <si>
    <t>decided_by</t>
  </si>
  <si>
    <t>effect_2027</t>
  </si>
  <si>
    <t>effect_12m</t>
  </si>
  <si>
    <t>C31</t>
  </si>
  <si>
    <t>부분 공정의 생산·외주 구성 조정</t>
  </si>
  <si>
    <t>고정비 회피 가능성과 외주 추가비를 비교</t>
  </si>
  <si>
    <t>잔존비용·전환비용·품질·납기 확인 필요</t>
  </si>
  <si>
    <t>INCLUDE</t>
  </si>
  <si>
    <t>부분 공정 대안의 경제성을 검증할 수 있으므로 상세 분석</t>
  </si>
  <si>
    <t>AT31</t>
  </si>
  <si>
    <t>C32</t>
  </si>
  <si>
    <t>구매조건 개선·긴급구매 축소</t>
  </si>
  <si>
    <t>조달 단가·긴급비용 부담 완화 가능성</t>
  </si>
  <si>
    <t>기존 계약조건·발주 패턴 자료 확인 필요</t>
  </si>
  <si>
    <t>실제 조정 가능한 구매조건과 긴급구매 원인부터 확인</t>
  </si>
  <si>
    <t>AT32</t>
  </si>
  <si>
    <t>C33</t>
  </si>
  <si>
    <t>기존 승인 대체 공급처 활용 가능성</t>
  </si>
  <si>
    <t>공급 안정성과 원가 대안 확인</t>
  </si>
  <si>
    <t>승인 범위·가용 능력·품질검증·전환비 확인 필요</t>
  </si>
  <si>
    <t>기존 승인 범위 안의 후보부터 검증; 확보된 공급처로 단정하지 않음</t>
  </si>
  <si>
    <t>C34</t>
  </si>
  <si>
    <t>기존 고객·기존 승인모델 물량 재배분</t>
  </si>
  <si>
    <t>유휴 여력 활용과 공헌이익 기여 가능성</t>
  </si>
  <si>
    <t>고객 배분 의사·생산능력·납기·추가 변동비 확인 필요</t>
  </si>
  <si>
    <t>신규 수주 확정 없이 실현 가능성과 적용 시점 검증</t>
  </si>
  <si>
    <t>AT33</t>
  </si>
  <si>
    <t>C35</t>
  </si>
  <si>
    <t>최종 조립 전면 외주화</t>
  </si>
  <si>
    <t>대규모 고정비 변동비화 가능성 탐색</t>
  </si>
  <si>
    <t>단기 전환·품질 검증조건 미준비라는 가상 설명</t>
  </si>
  <si>
    <t>EXCLUDE_THIS_REVIEW</t>
  </si>
  <si>
    <t>7/12 보고를 위한 검증 가능한 범위를 벗어나 제외. 전환조건 확보 후 재검토</t>
  </si>
  <si>
    <t>C36</t>
  </si>
  <si>
    <t>해외 신규 차종 신규 수주 확대</t>
  </si>
  <si>
    <t>국내 감소를 해외 매출로 보완할 가능성</t>
  </si>
  <si>
    <t>인증·수주 일정 미확인이라는 가상 설명</t>
  </si>
  <si>
    <t>이번 단기 대응 분석에서는 제외. 중장기 영업전략 검토 후보로 보존</t>
  </si>
  <si>
    <t>INNONOW SC03과제  v0.3</t>
  </si>
  <si>
    <t>candidate_refs</t>
  </si>
  <si>
    <t>title</t>
  </si>
  <si>
    <t>owner_id</t>
  </si>
  <si>
    <t>collaborators</t>
  </si>
  <si>
    <t>analysis_question</t>
  </si>
  <si>
    <t>deliverable</t>
  </si>
  <si>
    <t>dependency</t>
  </si>
  <si>
    <t>assigned_at</t>
  </si>
  <si>
    <t>accepted_at</t>
  </si>
  <si>
    <t>basis_ref</t>
  </si>
  <si>
    <t>생산·외주 구성 분석</t>
  </si>
  <si>
    <t>USR-BUY;USR-FIN;USR-QA</t>
  </si>
  <si>
    <t>부분 공정별 회피가능·잔존 고정비, 추가외주·전환비·품질·납기·실행시점은?</t>
  </si>
  <si>
    <t>원가구조·제약·실행시점 비교자료</t>
  </si>
  <si>
    <t>ACCEPTED</t>
  </si>
  <si>
    <t>REP31-v1 / BASE31~33</t>
  </si>
  <si>
    <t>C32;C33</t>
  </si>
  <si>
    <t>구매조건·대체공급처 분석</t>
  </si>
  <si>
    <t>USR-PROD;USR-QA;USR-FIN</t>
  </si>
  <si>
    <t>구매조건·긴급구매 축소와 기존 승인 대체공급처의 가능성·비용·제약은?</t>
  </si>
  <si>
    <t>구매 후보별 조건·검증자료·적용시점</t>
  </si>
  <si>
    <t>AT31과 외주비 효과 중복 조정</t>
  </si>
  <si>
    <t>물량·제품 구성 분석</t>
  </si>
  <si>
    <t>USR-PROD;USR-FIN</t>
  </si>
  <si>
    <t>기존 고객·승인모델 추가 배분 가능량·시점·제약·공헌이익은?</t>
  </si>
  <si>
    <t>물량 근거·가능시점·CM 산정조건</t>
  </si>
  <si>
    <t>생산 여력 확인 필요</t>
  </si>
  <si>
    <t>AT34</t>
  </si>
  <si>
    <t>기존 목표 부족 원인 분석</t>
  </si>
  <si>
    <t>USR-SALES;USR-BUY;USR-PROD</t>
  </si>
  <si>
    <t>기존 부족의 원인 근거와 미확인을 신규 사건과 중복 없이 설명할 수 있는가?</t>
  </si>
  <si>
    <t>기존 부족 원인표·근거·추가 질문</t>
  </si>
  <si>
    <t>INNONOW SC03이벤트  v0.3</t>
  </si>
  <si>
    <t>event_id</t>
  </si>
  <si>
    <t>scenario_id</t>
  </si>
  <si>
    <t>event_at_KST</t>
  </si>
  <si>
    <t>object_ref</t>
  </si>
  <si>
    <t>EV31-01</t>
  </si>
  <si>
    <t>BASE</t>
  </si>
  <si>
    <t>U31</t>
  </si>
  <si>
    <t>S31</t>
  </si>
  <si>
    <t>검토 착수</t>
  </si>
  <si>
    <t>ANALYSIS_IN_PROGRESS</t>
  </si>
  <si>
    <t>D31</t>
  </si>
  <si>
    <t>EV31-02</t>
  </si>
  <si>
    <t>U32</t>
  </si>
  <si>
    <t>S32~33</t>
  </si>
  <si>
    <t>통합분석 저장</t>
  </si>
  <si>
    <t>CALCULATED</t>
  </si>
  <si>
    <t>RUN-F02-001;RUN-APP01</t>
  </si>
  <si>
    <t>D32</t>
  </si>
  <si>
    <t>EV31-03</t>
  </si>
  <si>
    <t>U33</t>
  </si>
  <si>
    <t>S34~36</t>
  </si>
  <si>
    <t>부서 확인 요청</t>
  </si>
  <si>
    <t>CONFIRMATION_PENDING</t>
  </si>
  <si>
    <t>D34</t>
  </si>
  <si>
    <t>EV31-04</t>
  </si>
  <si>
    <t>부서 회신</t>
  </si>
  <si>
    <t>F31;F32</t>
  </si>
  <si>
    <t>RESPONDED</t>
  </si>
  <si>
    <t>D35</t>
  </si>
  <si>
    <t>EV31-05</t>
  </si>
  <si>
    <t>F33;F34</t>
  </si>
  <si>
    <t>EV31-06</t>
  </si>
  <si>
    <t>F35;F36</t>
  </si>
  <si>
    <t>EV31-07</t>
  </si>
  <si>
    <t>S37</t>
  </si>
  <si>
    <t>기존 부족 쟁점 등록</t>
  </si>
  <si>
    <t>D36</t>
  </si>
  <si>
    <t>EV31-08</t>
  </si>
  <si>
    <t>비차단 쟁점 처리 확정</t>
  </si>
  <si>
    <t>Q31;Q32</t>
  </si>
  <si>
    <t>AT31;AT34</t>
  </si>
  <si>
    <t>EV31-09</t>
  </si>
  <si>
    <t>U34</t>
  </si>
  <si>
    <t>S38</t>
  </si>
  <si>
    <t>자료 확인·확정</t>
  </si>
  <si>
    <t>EV31-10</t>
  </si>
  <si>
    <t>내부 자료 배포</t>
  </si>
  <si>
    <t>MEETING_READY</t>
  </si>
  <si>
    <t>EV31-11</t>
  </si>
  <si>
    <t>U35</t>
  </si>
  <si>
    <t>S39</t>
  </si>
  <si>
    <t>통합영향 보고</t>
  </si>
  <si>
    <t>IN_REVIEW</t>
  </si>
  <si>
    <t>D37</t>
  </si>
  <si>
    <t>EV31-12</t>
  </si>
  <si>
    <t>S40~41</t>
  </si>
  <si>
    <t>후보 포함·제외 및 분석 범위 특정</t>
  </si>
  <si>
    <t>C31;C32;C33;C34;C35;C36</t>
  </si>
  <si>
    <t>D38</t>
  </si>
  <si>
    <t>EV31-13</t>
  </si>
  <si>
    <t>U36</t>
  </si>
  <si>
    <t>S42</t>
  </si>
  <si>
    <t>D39</t>
  </si>
  <si>
    <t>EV31-14</t>
  </si>
  <si>
    <t>S41~42</t>
  </si>
  <si>
    <t>배정·통보</t>
  </si>
  <si>
    <t>ASSIGNED</t>
  </si>
  <si>
    <t>EV31-15</t>
  </si>
  <si>
    <t>EV31-16</t>
  </si>
  <si>
    <t>EV31-17</t>
  </si>
  <si>
    <t>EV31-18</t>
  </si>
  <si>
    <t>S43</t>
  </si>
  <si>
    <t>과제 인수</t>
  </si>
  <si>
    <t>D40</t>
  </si>
  <si>
    <t>EV31-19</t>
  </si>
  <si>
    <t>EV31-20</t>
  </si>
  <si>
    <t>EV31-21</t>
  </si>
  <si>
    <t>EV31-22</t>
  </si>
  <si>
    <t>U37</t>
  </si>
  <si>
    <t>S44</t>
  </si>
  <si>
    <t>장면 종료</t>
  </si>
  <si>
    <t>D41</t>
  </si>
  <si>
    <t>INNONOW SC03인계  v0.3</t>
  </si>
  <si>
    <t>handoff_id</t>
  </si>
  <si>
    <t>2027-06-30 11:30 기준</t>
  </si>
  <si>
    <t>기존 검토건 유지</t>
  </si>
  <si>
    <t>고정 보고본. 최신 전망과 자동 치환 금지</t>
  </si>
  <si>
    <t>조건부 수용·포함/제외 사유 및 분석 지시</t>
  </si>
  <si>
    <t>accepted_tasks</t>
  </si>
  <si>
    <t>AT31;AT32;AT33;AT34</t>
  </si>
  <si>
    <t>SC03과제</t>
  </si>
  <si>
    <t>전건 인수, 아직 상세분석 미제출</t>
  </si>
  <si>
    <t>open_questions</t>
  </si>
  <si>
    <t>SC03쟁점</t>
  </si>
  <si>
    <t>7/6 18시까지 후속 확인</t>
  </si>
  <si>
    <t>excluded_candidates</t>
  </si>
  <si>
    <t>C35;C36</t>
  </si>
  <si>
    <t>SC03후보</t>
  </si>
  <si>
    <t>이번 상세 분석 제외. 중장기 재검토 가능</t>
  </si>
  <si>
    <t>next_meeting</t>
  </si>
  <si>
    <t>MT41 / 2027-07-12 10:00 KST</t>
  </si>
  <si>
    <t>SC03회의</t>
  </si>
  <si>
    <t>대표 주재 월간회의</t>
  </si>
  <si>
    <t>analysis_due</t>
  </si>
  <si>
    <t>제출기한</t>
  </si>
  <si>
    <t>consolidation_due</t>
  </si>
  <si>
    <t>경영관리 취합기한</t>
  </si>
  <si>
    <t>회의 검토/과제 인수로 해소되지 않음</t>
  </si>
  <si>
    <t>공식 전망 승인 별도</t>
  </si>
  <si>
    <t>target_status</t>
  </si>
  <si>
    <t>UNCHANGED</t>
  </si>
  <si>
    <t>기존 Target</t>
  </si>
  <si>
    <t>자동 변경 금지</t>
  </si>
  <si>
    <t>comparison_rule</t>
  </si>
  <si>
    <t>잔여2027 / 향후12개월 구분</t>
  </si>
  <si>
    <t>BASE31~33</t>
  </si>
  <si>
    <t>일회성/반복·시작일·중복효과·가정·제약 명시</t>
  </si>
  <si>
    <t>as_of</t>
  </si>
  <si>
    <t>미래 제출·효과검증 완료 데이터 없음</t>
  </si>
  <si>
    <t>INNONOW SC03예외  v0.3</t>
  </si>
  <si>
    <t>checkpoint</t>
  </si>
  <si>
    <t>override_value</t>
  </si>
  <si>
    <t>action_sequence</t>
  </si>
  <si>
    <t>expected_state</t>
  </si>
  <si>
    <t>보존·검수</t>
  </si>
  <si>
    <t>E31</t>
  </si>
  <si>
    <t>EV31-03 이후</t>
  </si>
  <si>
    <t>DISPUTED</t>
  </si>
  <si>
    <t>구매 적용조건 이견→차단→보완→새 보고버전·재확인</t>
  </si>
  <si>
    <t>BLOCKED → CONFIRMED</t>
  </si>
  <si>
    <t>BASE 복제. 실제 승인값 2120은 유지; 자료의 잘못된 적용월을 정정</t>
  </si>
  <si>
    <t>E32</t>
  </si>
  <si>
    <t>EV31-17 이후</t>
  </si>
  <si>
    <t>자료 의존관계 누락</t>
  </si>
  <si>
    <t>6/29 16시 반려→17시 Q31·구매 협조 보완→6/30 9시 재인수</t>
  </si>
  <si>
    <t>RETURNED → ASSIGNED → ACCEPTED</t>
  </si>
  <si>
    <t>분기 이벤트 ID E32-01~03; BASE의 인수 이력 덮어쓰기 금지</t>
  </si>
  <si>
    <t>E33</t>
  </si>
  <si>
    <t>EV31-02 이전</t>
  </si>
  <si>
    <t>fixed_cost_multiplier</t>
  </si>
  <si>
    <t>고정비 중복 입력 복제 계산→검증 실패→정정</t>
  </si>
  <si>
    <t>CALCULATION_BLOCKED</t>
  </si>
  <si>
    <t>정합성검증 실패 결과 기록. 조건부 수용으로 우회 불가</t>
  </si>
  <si>
    <t>E34</t>
  </si>
  <si>
    <t>EV31-10 이후</t>
  </si>
  <si>
    <t>new_report_version</t>
  </si>
  <si>
    <t>REP31-v2-E34</t>
  </si>
  <si>
    <t>새 전망 입력요청→별도 계산→변경 설명→임원 재확인</t>
  </si>
  <si>
    <t>REVISION_PENDING</t>
  </si>
  <si>
    <t>기존 v1 유지. 신규 재무값은 기본 데이터에 포함하지 않음</t>
  </si>
  <si>
    <t>E35</t>
  </si>
  <si>
    <t>accept_actor</t>
  </si>
  <si>
    <t>타부서 인수 시도→거부</t>
  </si>
  <si>
    <t>FORBIDDEN</t>
  </si>
  <si>
    <t>AT31 상태 변화 없음</t>
  </si>
  <si>
    <t>E35-M</t>
  </si>
  <si>
    <t>EV31-13 이후</t>
  </si>
  <si>
    <t>필수 책임자 NULL로 배정 확정 시도</t>
  </si>
  <si>
    <t>VALIDATION_FAILED</t>
  </si>
  <si>
    <t>미배정이며 완료율 분모에는 확정 배정만 사용</t>
  </si>
  <si>
    <t>E36</t>
  </si>
  <si>
    <t>EV31-11 이후</t>
  </si>
  <si>
    <t>AG31</t>
  </si>
  <si>
    <t>generation_status</t>
  </si>
  <si>
    <t>FAILED</t>
  </si>
  <si>
    <t>Agent 실패→수동 기록</t>
  </si>
  <si>
    <t>MANUAL_ENTRY_AVAILABLE</t>
  </si>
  <si>
    <t>원 계산값 유지; 실패를 0원으로 처리 금지</t>
  </si>
  <si>
    <t>E37</t>
  </si>
  <si>
    <t>EV31-22 이후</t>
  </si>
  <si>
    <t>미제출 상태에서 기한경과 조회</t>
  </si>
  <si>
    <t>OVERDUE</t>
  </si>
  <si>
    <t>장면3 완료 유지, 과제지연 알림만 생성. 후속 준비 분기</t>
  </si>
  <si>
    <t>INNONOW SC03데이터계약  v0.3</t>
  </si>
  <si>
    <t>entity_or_field</t>
  </si>
  <si>
    <t>key_type</t>
  </si>
  <si>
    <t>relation_or_rule</t>
  </si>
  <si>
    <t>화면·시연</t>
  </si>
  <si>
    <t>근거·출처</t>
  </si>
  <si>
    <t>SC03기준</t>
  </si>
  <si>
    <t>record_id TEXT PK</t>
  </si>
  <si>
    <t>분석 RUN은 기존 물량·단가 RUN 두 개 참조. 보고는 RUN, 회의는 보고 버전 참조.</t>
  </si>
  <si>
    <t>U31·32·34</t>
  </si>
  <si>
    <t>기존 통합데이터 v0.2</t>
  </si>
  <si>
    <t>SC03사실확인</t>
  </si>
  <si>
    <t>fact_id TEXT PK</t>
  </si>
  <si>
    <t>category FACT/ASSUMPTION/UNCONFIRMED. 담당자·시각·증빙·후속질문 추적. 동일 실행에 연결.</t>
  </si>
  <si>
    <t>U33 / D35</t>
  </si>
  <si>
    <t>새 합성 레코드</t>
  </si>
  <si>
    <t>question_id TEXT PK</t>
  </si>
  <si>
    <t>blocking BOOLEAN; owner FK actor, due_at TIMESTAMP. 열린 비차단 쟁점은 종료 후에도 유지.</t>
  </si>
  <si>
    <t>U33·35·37</t>
  </si>
  <si>
    <t>업무설계 v0.2</t>
  </si>
  <si>
    <t>record_id PK / meeting_id FK</t>
  </si>
  <si>
    <t>회의·참석·질의·답변·결론·회의록·후속회의 계획을 record_type으로 구분.</t>
  </si>
  <si>
    <t>U34·35</t>
  </si>
  <si>
    <t>화면구성 v0.2 NEXT33</t>
  </si>
  <si>
    <t>candidate_id TEXT PK</t>
  </si>
  <si>
    <t>INCLUDE는 상세분석 대상. 실행 승인 아님. 제외 후보 task_id NULL. 채택 4후보→AT31~33, AT34는 원인분석.</t>
  </si>
  <si>
    <t>U35·36</t>
  </si>
  <si>
    <t>NEXT32: 일부 후보 제외 반영</t>
  </si>
  <si>
    <t>task_id TEXT PK</t>
  </si>
  <si>
    <t>후보 N:M. 현재 세미콜론 refs는 적재 시 관계 테이블로 분리. AT34 후보 없음은 정상. owner 단일 FK.</t>
  </si>
  <si>
    <t>U36·37</t>
  </si>
  <si>
    <t>기존4개 과제 유지, 분석 범위 특정</t>
  </si>
  <si>
    <t>effect_2027 / effect_12m</t>
  </si>
  <si>
    <t>DECIMAL NULL</t>
  </si>
  <si>
    <t>빈 셀은 미산정. 0원 확정과 구분. 미설정 Target도 NULL 유지.</t>
  </si>
  <si>
    <t>상세 비교·효과 산정은 장면4 준비</t>
  </si>
  <si>
    <t>SC03이벤트</t>
  </si>
  <si>
    <t>scenario_id + event_id PK</t>
  </si>
  <si>
    <t>BASE는 기본 흐름. event_at 순서·ID로 재생, 해당 시각 이후 인수/결론 노출 금지. 과제/후보/회의 시트는 종료시점 완성 레코드.</t>
  </si>
  <si>
    <t>D30~41</t>
  </si>
  <si>
    <t>시연 상태 복원 기준</t>
  </si>
  <si>
    <t>SC03예외</t>
  </si>
  <si>
    <t>scenario_id TEXT PK</t>
  </si>
  <si>
    <t>BASE 체크포인트 복제 후 override 적용. 신규 시나리오별 이벤트 분리. E34 신규 수치는 후속 구현 fixture로 생성.</t>
  </si>
  <si>
    <t>E31~37</t>
  </si>
  <si>
    <t>오류·반려·권한 검증 입력</t>
  </si>
  <si>
    <t>시각·달력</t>
  </si>
  <si>
    <t>KST / CAL-DEMO01</t>
  </si>
  <si>
    <t>Excel 날짜는 KST 벽시계 값. API 적재 시 +09:00. 평일09~18, 주말 제외, 휴일없음·점심공제없음의 가상9시간 영업일.</t>
  </si>
  <si>
    <t>기한·소요시간</t>
  </si>
  <si>
    <t>기존 가상 영업일 원칙 유지</t>
  </si>
  <si>
    <t>소요시간</t>
  </si>
  <si>
    <t>완료−착수</t>
  </si>
  <si>
    <t>장면3 착수6/24 10:05~6/30 11:30. 실제 경과 및 영업시간 별도. 비교기준 없으므로 개선율 NULL.</t>
  </si>
  <si>
    <t>M40</t>
  </si>
  <si>
    <t>SC03영업시간 계산</t>
  </si>
  <si>
    <t>권한</t>
  </si>
  <si>
    <t>actor role mapping</t>
  </si>
  <si>
    <t>USR-*는 가상계정. 시스템 계산·Agent 초안과 사람의 결론·확인·인수 분리. 실계정 매핑은 구현명세.</t>
  </si>
  <si>
    <t>U31~37</t>
  </si>
  <si>
    <t>가상 신원만 포함</t>
  </si>
  <si>
    <t>Agent 기록</t>
  </si>
  <si>
    <t>AG31 / DRAFT</t>
  </si>
  <si>
    <t>6/29 10:40 후보·질의 요약초안 생성, USR-FIN 검토 후 MIN31-v1에 반영. 자동 결론/인수 없음. 실패 E36은 수동작성.</t>
  </si>
  <si>
    <t>합성 시연 동작; 실제 Agent 호출이력 아님</t>
  </si>
  <si>
    <t>출처</t>
  </si>
  <si>
    <t>화면구성_시연순서 v0.2 / 업무설계표 v0.2 / SC01_SC02 통합가상데이터 v0.2</t>
  </si>
  <si>
    <t>전체</t>
  </si>
  <si>
    <t>검토의견은 NEXT31~40 전체 동의, NEXT32·33 보완 반영</t>
  </si>
  <si>
    <t>제외 후보의 제약</t>
  </si>
  <si>
    <t>SYN-PROD31 / SYN-SALES31</t>
  </si>
  <si>
    <t>회의 QA33·QA34의 합성 설명을 근거로 한 시연용 판단. 실제 공급사·고객 확인자료로 오인하지 않음.</t>
  </si>
  <si>
    <t>C35·C36</t>
  </si>
  <si>
    <t>추가 가상 설정, 검토 가능한 초안</t>
  </si>
  <si>
    <t>INNONOW SC03영업시간  v0.3</t>
  </si>
  <si>
    <t>date_KST</t>
  </si>
  <si>
    <t>workday</t>
  </si>
  <si>
    <t>open_at</t>
  </si>
  <si>
    <t>close_at</t>
  </si>
  <si>
    <t>scene_start</t>
  </si>
  <si>
    <t>scene_end</t>
  </si>
  <si>
    <t>elapsed_business_hours</t>
  </si>
  <si>
    <t>INNONOW SC03검증  v0.3</t>
  </si>
  <si>
    <t>check_id</t>
  </si>
  <si>
    <t>expected</t>
  </si>
  <si>
    <t>actual</t>
  </si>
  <si>
    <t>result</t>
  </si>
  <si>
    <t>V31</t>
  </si>
  <si>
    <t>기존2027 통합손익</t>
  </si>
  <si>
    <t>V32</t>
  </si>
  <si>
    <t>기존 목표부족</t>
  </si>
  <si>
    <t>V33</t>
  </si>
  <si>
    <t>후보수</t>
  </si>
  <si>
    <t>V34</t>
  </si>
  <si>
    <t>상세분석 포함후보</t>
  </si>
  <si>
    <t>V35</t>
  </si>
  <si>
    <t>이번분석 제외후보</t>
  </si>
  <si>
    <t>V36</t>
  </si>
  <si>
    <t>배정과제</t>
  </si>
  <si>
    <t>V37</t>
  </si>
  <si>
    <t>V38</t>
  </si>
  <si>
    <t>잔여 질문수</t>
  </si>
  <si>
    <t>V39</t>
  </si>
  <si>
    <t>기존부족 + 신규악화 − 전체부족</t>
  </si>
  <si>
    <t>V40</t>
  </si>
  <si>
    <t>영업시간</t>
  </si>
  <si>
    <t>V41</t>
  </si>
  <si>
    <t>경과시간</t>
  </si>
  <si>
    <t>INNONOW 통합모델손익  v0.3</t>
  </si>
  <si>
    <t>2027 Q3 모델</t>
  </si>
  <si>
    <t>F01 공헌이익</t>
  </si>
  <si>
    <t>물량영향</t>
  </si>
  <si>
    <t>원가영향</t>
  </si>
  <si>
    <t>통합 공헌이익</t>
  </si>
  <si>
    <t>고정비 처리</t>
  </si>
  <si>
    <t>공장 합계에서만 차감</t>
  </si>
  <si>
    <t>INNONOW 통합 가상 데이터 확장 v0.2</t>
  </si>
  <si>
    <t>장면 1·2 연결 / 기존사업 A제품·울산공장 / 전 항목 가상 데이터 / 기본안은 2027-07-01 적용</t>
  </si>
  <si>
    <t>핵심 항목</t>
  </si>
  <si>
    <t>값·결과</t>
  </si>
  <si>
    <t>검토</t>
  </si>
  <si>
    <t>공통부품 기존 → 요청 → 협상</t>
  </si>
  <si>
    <t>2,000 → 2,200 → 2,120원</t>
  </si>
  <si>
    <t>이번 가상값 제안. 기존단가 대비 요청10%, 협상6%. a·b 각1개 사용.</t>
  </si>
  <si>
    <t>당해연도 잔여 구매 증가</t>
  </si>
  <si>
    <t>협상안 / 2027-07~12 / 원</t>
  </si>
  <si>
    <t>향후12개월 구매 증가</t>
  </si>
  <si>
    <t>협상안 / 2027-07~2028-06 / 원</t>
  </si>
  <si>
    <t>협상</t>
  </si>
  <si>
    <t>요청 대비 12개월 부담 감소</t>
  </si>
  <si>
    <t>원. 가격 인상 부담은 남아 있으며 위험 해소로 보지 않음.</t>
  </si>
  <si>
    <t>판단</t>
  </si>
  <si>
    <t>종합위험 / 대표 승인</t>
  </si>
  <si>
    <t>비율 위험은 관심, 구매 증가액 위험은 중요. 결재 기준은 별도 적용.</t>
  </si>
  <si>
    <t>손익</t>
  </si>
  <si>
    <t>2027 물량 감소 순영향</t>
  </si>
  <si>
    <t>장면1 F01→F02 차이 / 원</t>
  </si>
  <si>
    <t>2027 단가 인상 추가 영향</t>
  </si>
  <si>
    <t>장면2 F02 수량 × 승인단가 인상 / 원</t>
  </si>
  <si>
    <t>고정비 차감 후 공장 범위 / 원</t>
  </si>
  <si>
    <t>2027 Target 대비 부족</t>
  </si>
  <si>
    <t>Target은 변경하지 않음 / 원</t>
  </si>
  <si>
    <t>가정</t>
  </si>
  <si>
    <t>동일월 F01의 97%</t>
  </si>
  <si>
    <t>2028-01~07 제공. 판매단가·원가·월고정비는 유지. 실제 고객계획 아님.</t>
  </si>
  <si>
    <t>시연</t>
  </si>
  <si>
    <t>단계별 적재</t>
  </si>
  <si>
    <t>D00 초기, 이후 실행 시 생성</t>
  </si>
  <si>
    <t>향후 승인·협상 기록은 기대 fixture이며 시작 화면에 미리 노출하지 않음.</t>
  </si>
  <si>
    <t>외부 협상기한</t>
  </si>
  <si>
    <t>담당자가 건별 입력</t>
  </si>
  <si>
    <t>가상 기본 기한 2027-06-21 18:00. 내부 SLA와 구분.</t>
  </si>
  <si>
    <t>개발</t>
  </si>
  <si>
    <t>인계 범위</t>
  </si>
  <si>
    <t>단가·물량·원가·손익·증빙·상태·예외</t>
  </si>
  <si>
    <t>U21~27, S01~14, CT21~30, D00~12 연결. 권한/API 상세는 다음 구현명세.</t>
  </si>
  <si>
    <t>확인</t>
  </si>
  <si>
    <t>검토 권장 위치</t>
  </si>
  <si>
    <t>설정 / 단가안비교 / 통합손익</t>
  </si>
  <si>
    <t>가상 가격·2028 감소가정·기본 업무일정의 자연스러움을 우선 검토.</t>
  </si>
  <si>
    <t>한계</t>
  </si>
  <si>
    <t>구매 증가와 CM 감소의 동일성</t>
  </si>
  <si>
    <t>시차0·재고0 단순화</t>
  </si>
  <si>
    <t>일반 회계 등식이 아님. 두 지표는 별도 보관. 향후12개월 Target은 미설정.</t>
  </si>
  <si>
    <t>INNONOW SC04비교  v0.4</t>
  </si>
  <si>
    <t>원 단위. 보고본 REP41-v1 → 회의 판단본 DEC41-v2. 기준 관리손익에 더하는 순증분이며 실제 실적이 아닙니다.</t>
  </si>
  <si>
    <t>대안ID</t>
  </si>
  <si>
    <t>대응안</t>
  </si>
  <si>
    <t>보고효과</t>
  </si>
  <si>
    <t>판단효과</t>
  </si>
  <si>
    <t>회의조정</t>
  </si>
  <si>
    <t>정상연효과</t>
  </si>
  <si>
    <t>우선순위</t>
  </si>
  <si>
    <t>대표결정</t>
  </si>
  <si>
    <t>책임임원</t>
  </si>
  <si>
    <t>시점·리스크·조건</t>
  </si>
  <si>
    <t>ALT41</t>
  </si>
  <si>
    <t>부분 공정·외주 조정</t>
  </si>
  <si>
    <t>EX-PROD</t>
  </si>
  <si>
    <t>8월 월3,000대분 적용. 7/7 시범품질·공급능력 검토 완료 가정. 전환·협력사 리스크는 후속 추적.</t>
  </si>
  <si>
    <t>ALT42</t>
  </si>
  <si>
    <t>구매조건·긴급구매 개선</t>
  </si>
  <si>
    <t>CONDITIONAL</t>
  </si>
  <si>
    <t>EX-BUY</t>
  </si>
  <si>
    <t>8월에서 9월로 효과 시작 조정. 생산·구매 협조 조건 CON41 완료 전 실행 착수 제한.</t>
  </si>
  <si>
    <t>ALT43</t>
  </si>
  <si>
    <t>기존 승인 대체 공급업체</t>
  </si>
  <si>
    <t>10월 적용. 기존 승인 품목 범위·월 6,000개 공급능력·물류 검토 완료 가정.</t>
  </si>
  <si>
    <t>TOTAL</t>
  </si>
  <si>
    <t>3개 실행안</t>
  </si>
  <si>
    <t>2개 승인·1개 조건부</t>
  </si>
  <si>
    <t>정상연효과는 일회성 비용 제외. 예산과 개선효과를 혼용하지 않음.</t>
  </si>
  <si>
    <t>EXCL44</t>
  </si>
  <si>
    <t>고객·모델 물량 배분</t>
  </si>
  <si>
    <t>EXCLUDED</t>
  </si>
  <si>
    <t>EX-SALES</t>
  </si>
  <si>
    <t>AT33 검토 결과: 고객 생산계획 배정 변경 근거 부족. 실행과제 미생성.</t>
  </si>
  <si>
    <t>INNONOW SC04월손익  v0.4</t>
  </si>
  <si>
    <t>공장 관리손익. 본사비·금융비·세금 제외. Target·기준 전망 유지. 조건부 제외전망은 ALT42 순효과 전체를 제외하는 비교이며 별도 승인안이 아닙니다.</t>
  </si>
  <si>
    <t>Target</t>
  </si>
  <si>
    <t>SC03기준손익</t>
  </si>
  <si>
    <t>보고순효과</t>
  </si>
  <si>
    <t>판단순효과</t>
  </si>
  <si>
    <t>보고후전망</t>
  </si>
  <si>
    <t>판단후전망</t>
  </si>
  <si>
    <t>잔여부족</t>
  </si>
  <si>
    <t>조건부제외전망</t>
  </si>
  <si>
    <t>조건부제외부족</t>
  </si>
  <si>
    <t>2027 잔여7~12월</t>
  </si>
  <si>
    <t>INNONOW SC04가정  v0.4</t>
  </si>
  <si>
    <t>2026-10-23 검토 반영: ALT41 대상량·회피단가, ALT42 긴급비용 가상 가정 수정. 원 단위·VAT 제외. 정상연효과는 12개월 참고값.</t>
  </si>
  <si>
    <t>대안명</t>
  </si>
  <si>
    <t>분석과제</t>
  </si>
  <si>
    <t>모델</t>
  </si>
  <si>
    <t>비용대상</t>
  </si>
  <si>
    <t>보고 시작</t>
  </si>
  <si>
    <t>판단 시작</t>
  </si>
  <si>
    <t>월 대상량</t>
  </si>
  <si>
    <t>회피단가</t>
  </si>
  <si>
    <t>추가단가</t>
  </si>
  <si>
    <t>물류단가</t>
  </si>
  <si>
    <t>긴급 전</t>
  </si>
  <si>
    <t>긴급 후</t>
  </si>
  <si>
    <t>건당비용</t>
  </si>
  <si>
    <t>월지원비</t>
  </si>
  <si>
    <t>일회성비</t>
  </si>
  <si>
    <t>일회성월</t>
  </si>
  <si>
    <t>전용예산</t>
  </si>
  <si>
    <t>정상월효과</t>
  </si>
  <si>
    <t>초안중복할인단가</t>
  </si>
  <si>
    <t>PR-A01</t>
  </si>
  <si>
    <t>URG-B01</t>
  </si>
  <si>
    <t>P-MAT02</t>
  </si>
  <si>
    <t>INNONOW SC04월효과  v0.4</t>
  </si>
  <si>
    <t>보고본과 회의 판단본은 같은 계산 구조의 버전별 이력. 합산할 때 반드시 버전 필터. ALT42 단가할인 초안은 ALT43에 포함되어 전액 중복 제거.</t>
  </si>
  <si>
    <t>row_id</t>
  </si>
  <si>
    <t>판단버전</t>
  </si>
  <si>
    <t>적용시작</t>
  </si>
  <si>
    <t>적용여부</t>
  </si>
  <si>
    <t>대상량</t>
  </si>
  <si>
    <t>회피액</t>
  </si>
  <si>
    <t>추가거래비</t>
  </si>
  <si>
    <t>추가물류비</t>
  </si>
  <si>
    <t>운영지원비</t>
  </si>
  <si>
    <t>초안할인</t>
  </si>
  <si>
    <t>중복제거</t>
  </si>
  <si>
    <t>최종순효과</t>
  </si>
  <si>
    <t>고정비절감</t>
  </si>
  <si>
    <t>효과상태</t>
  </si>
  <si>
    <t>근거ID</t>
  </si>
  <si>
    <t>REP41-v1|ALT41|2027-07</t>
  </si>
  <si>
    <t>REP41-v1</t>
  </si>
  <si>
    <t>보고 예상</t>
  </si>
  <si>
    <t>EVDC41</t>
  </si>
  <si>
    <t>REP41-v1|ALT41|2027-08</t>
  </si>
  <si>
    <t>REP41-v1|ALT41|2027-09</t>
  </si>
  <si>
    <t>REP41-v1|ALT41|2027-10</t>
  </si>
  <si>
    <t>REP41-v1|ALT41|2027-11</t>
  </si>
  <si>
    <t>REP41-v1|ALT41|2027-12</t>
  </si>
  <si>
    <t>REP41-v1|ALT42|2027-07</t>
  </si>
  <si>
    <t>EVDC42</t>
  </si>
  <si>
    <t>REP41-v1|ALT42|2027-08</t>
  </si>
  <si>
    <t>REP41-v1|ALT42|2027-09</t>
  </si>
  <si>
    <t>REP41-v1|ALT42|2027-10</t>
  </si>
  <si>
    <t>REP41-v1|ALT42|2027-11</t>
  </si>
  <si>
    <t>REP41-v1|ALT42|2027-12</t>
  </si>
  <si>
    <t>REP41-v1|ALT43|2027-07</t>
  </si>
  <si>
    <t>EVDC43</t>
  </si>
  <si>
    <t>REP41-v1|ALT43|2027-08</t>
  </si>
  <si>
    <t>REP41-v1|ALT43|2027-09</t>
  </si>
  <si>
    <t>REP41-v1|ALT43|2027-10</t>
  </si>
  <si>
    <t>REP41-v1|ALT43|2027-11</t>
  </si>
  <si>
    <t>REP41-v1|ALT43|2027-12</t>
  </si>
  <si>
    <t>DEC41-v2|ALT41|2027-07</t>
  </si>
  <si>
    <t>DEC41-v2</t>
  </si>
  <si>
    <t>실행승인 예상</t>
  </si>
  <si>
    <t>DEC41-v2|ALT41|2027-08</t>
  </si>
  <si>
    <t>DEC41-v2|ALT41|2027-09</t>
  </si>
  <si>
    <t>DEC41-v2|ALT41|2027-10</t>
  </si>
  <si>
    <t>DEC41-v2|ALT41|2027-11</t>
  </si>
  <si>
    <t>DEC41-v2|ALT41|2027-12</t>
  </si>
  <si>
    <t>DEC41-v2|ALT42|2027-07</t>
  </si>
  <si>
    <t>조건부 예상</t>
  </si>
  <si>
    <t>DEC41-v2|ALT42|2027-08</t>
  </si>
  <si>
    <t>DEC41-v2|ALT42|2027-09</t>
  </si>
  <si>
    <t>DEC41-v2|ALT42|2027-10</t>
  </si>
  <si>
    <t>DEC41-v2|ALT42|2027-11</t>
  </si>
  <si>
    <t>DEC41-v2|ALT42|2027-12</t>
  </si>
  <si>
    <t>DEC41-v2|ALT43|2027-07</t>
  </si>
  <si>
    <t>DEC41-v2|ALT43|2027-08</t>
  </si>
  <si>
    <t>DEC41-v2|ALT43|2027-09</t>
  </si>
  <si>
    <t>DEC41-v2|ALT43|2027-10</t>
  </si>
  <si>
    <t>DEC41-v2|ALT43|2027-11</t>
  </si>
  <si>
    <t>DEC41-v2|ALT43|2027-12</t>
  </si>
  <si>
    <t>INNONOW SC04근거  v0.4</t>
  </si>
  <si>
    <t>신규 근거는 모두 가상 시연 자료. 승인·검토기록은 실제 수행 사실이 아닌 기본 시연 기대 레코드입니다.</t>
  </si>
  <si>
    <t>가상 근거·내역</t>
  </si>
  <si>
    <t>참조</t>
  </si>
  <si>
    <t>해석·제약</t>
  </si>
  <si>
    <t>ALT41 / PR-A01</t>
  </si>
  <si>
    <t>A-a 부분 공정. 변동가공비 20,000원 중 회피 가능한 15,000원/대분. 월 3,000대분을 외주 8,000원+물류 1,000원으로 대체.</t>
  </si>
  <si>
    <t>SC04가정 6행</t>
  </si>
  <si>
    <t>기존 변동가공비에서 차감 후 외주·물류 추가. 기존 고정비 불변. 내부 임금 고정분을 회피비에 포함하지 않음.</t>
  </si>
  <si>
    <t>ALT42 / URG-B01</t>
  </si>
  <si>
    <t>A-b 변동가공비 내 긴급 운송·발주 할증: 월 12건×120만원. 목표 4건, 월 협조 운영비 20만원. 월 순효과 940만원.</t>
  </si>
  <si>
    <t>SC04가정 7행</t>
  </si>
  <si>
    <t>기준 월 변동가공비보다 작은 내역. 추가 손실을 기준 손익에 다시 더하지 않음.</t>
  </si>
  <si>
    <t>ALT43 / P-MAT02</t>
  </si>
  <si>
    <t>A-b 재료비 55,000원 중 구매 부품 5,000원/개. 기존 승인 SUP-M02를 활용해 4,500원, 추가물류 100원. 월 6,000개.</t>
  </si>
  <si>
    <t>SC04가정 8행</t>
  </si>
  <si>
    <t>P-COM01과 다른 품목. 장면2 승인단가 2,120원을 변경하지 않음.</t>
  </si>
  <si>
    <t>EVDC44</t>
  </si>
  <si>
    <t>중복 효과</t>
  </si>
  <si>
    <t>ALT42 구매조건 초안의 P-MAT02 100원/개 할인은 ALT43의 500원 가격차에 포함. 10~12월 월6,000개 구간을 ALT42에서 제거.</t>
  </si>
  <si>
    <t>SC04월효과 M:N</t>
  </si>
  <si>
    <t>중복액 월60만원, 3개월180만원. 보고본·판단본 모두 제거 완료. 초기 중복 초안은 분기 재현용.</t>
  </si>
  <si>
    <t>EVDC45</t>
  </si>
  <si>
    <t>잔존 고정비</t>
  </si>
  <si>
    <t>월 공장 고정비 370백만원 유지. 기존 감가상각비 120백만원, 기타 고정비 250백만원으로 설명용 세분 가정.</t>
  </si>
  <si>
    <t>월고정비 / FC01</t>
  </si>
  <si>
    <t>회피 고정비 0. 기존 설비 투자·감가상각비는 대안 절감·추가지출에 포함하지 않음. 신규 설비투자 없음.</t>
  </si>
  <si>
    <t>EVDC46</t>
  </si>
  <si>
    <t>품질·공급능력</t>
  </si>
  <si>
    <t>7/7 가상 검토: PR-A01 시범품질·월3,000대분 능력 확인. SUP-M02 P-MAT02 월6,000개 확인. A-a 8~12월 최소 전망3,496대 이내.</t>
  </si>
  <si>
    <t>ALT41 / ALT43</t>
  </si>
  <si>
    <t>실제 회사 인증·검사 사실 아님. 예비 검토 완료와 후속 실제 전환·모니터링을 구분.</t>
  </si>
  <si>
    <t>EVDC47</t>
  </si>
  <si>
    <t>생산·구매 협조</t>
  </si>
  <si>
    <t>가상 6월 긴급조달 사례 12건 중 생산계획 변경공유 지연 6건, 공급사 일정 조정 4건, 돌발품질 2건. 공동 공유·협의로 8건 감축 가정.</t>
  </si>
  <si>
    <t>CON41 / QA412</t>
  </si>
  <si>
    <t>과거 예시 원장. 미래 월12건 가정의 설명 근거일 뿐 6월 실적 재작성 아님. 감축 달성은 미확정.</t>
  </si>
  <si>
    <t>EVDC48</t>
  </si>
  <si>
    <t>AT33 검토</t>
  </si>
  <si>
    <t>7/6 영업 확인: 현재 고객 생산배정 범위에서 추가 물량 조정 요청을 뒷받침할 근거 없음.</t>
  </si>
  <si>
    <t>RES43 / C34</t>
  </si>
  <si>
    <t>이번 실행안 제외. 시장 가능성을 영구 부정하지 않음.</t>
  </si>
  <si>
    <t>EVDC49</t>
  </si>
  <si>
    <t>T01과 F01 모델별 수량 차이×C01 단위CM으로 원인을 설명. 가격·원가·고정비 차이를 새로 만들지 않음.</t>
  </si>
  <si>
    <t>SC04분석결과 하단</t>
  </si>
  <si>
    <t>제품별 배정량·구성 차이의 산술 설명. 시장 수요 원인까지 확정하지 않음.</t>
  </si>
  <si>
    <t>INNONOW SC04분석결과  v0.4</t>
  </si>
  <si>
    <t>원 SC03 기록은 6/30 시점으로 보존. 이 시트는 7월 후속 분석 결과이며 결과·쟁점 상태는 해당 이벤트 이후 유효.</t>
  </si>
  <si>
    <t>결과ID</t>
  </si>
  <si>
    <t>원 분석과제</t>
  </si>
  <si>
    <t>보고대상</t>
  </si>
  <si>
    <t>작성자</t>
  </si>
  <si>
    <t>확인자</t>
  </si>
  <si>
    <t>제출시각_KST</t>
  </si>
  <si>
    <t>결론</t>
  </si>
  <si>
    <t>근거</t>
  </si>
  <si>
    <t>쟁점처리</t>
  </si>
  <si>
    <t>RES41</t>
  </si>
  <si>
    <t>회피 고정비 없음. 변동가공비 대체에 의한 순효과 검토.</t>
  </si>
  <si>
    <t>EVDC41;EVDC45;EVDC46</t>
  </si>
  <si>
    <t>Q31 근거 확인 완료. 위험 해소를 의미하지 않음.</t>
  </si>
  <si>
    <t>RES42</t>
  </si>
  <si>
    <t>ALT42;ALT43</t>
  </si>
  <si>
    <t>구매조건 중복 할인 제거. 긴급구매 및 승인 대체 공급업체를 별도 대안으로 분석.</t>
  </si>
  <si>
    <t>EVDC42;EVDC43;EVDC44</t>
  </si>
  <si>
    <t>7/7 보완, 7/8 통합본. 생産</t>
  </si>
  <si>
    <t>RES43</t>
  </si>
  <si>
    <t>현재 근거 부족으로 우선 실행안 제외.</t>
  </si>
  <si>
    <t>분석과제 검토 종결, 실행과제 미생성</t>
  </si>
  <si>
    <t>RES44</t>
  </si>
  <si>
    <t>기존 부족분</t>
  </si>
  <si>
    <t>T01 대비 F01 수량·구성 차이로 기존 부족 설명.</t>
  </si>
  <si>
    <t>Q32 산술 근거 확인 완료. 추가 과제 발굴 지시 DIR41로 연결.</t>
  </si>
  <si>
    <t>T01 연간량</t>
  </si>
  <si>
    <t>F01 연간량</t>
  </si>
  <si>
    <t>C01 단위CM</t>
  </si>
  <si>
    <t>기존 부족 기여</t>
  </si>
  <si>
    <t>T01·F01·C01. 수량·구성의 산술 기여</t>
  </si>
  <si>
    <t>합계</t>
  </si>
  <si>
    <t>INNONOW SC04예산과제  v0.4</t>
  </si>
  <si>
    <t>예산 한도는 전환·검증·교육 등 일회성 실행 준비비용 범위. 반복 거래·운영비는 기존 운영예산·품의로 별도 통제. 초기 실제 집행·약정은 0, 예상효과와 구분.</t>
  </si>
  <si>
    <t>과제ID</t>
  </si>
  <si>
    <t>실무담당</t>
  </si>
  <si>
    <t>승인한도</t>
  </si>
  <si>
    <t>미약정예정</t>
  </si>
  <si>
    <t>기약정미집행</t>
  </si>
  <si>
    <t>집행완료</t>
  </si>
  <si>
    <t>한도여력</t>
  </si>
  <si>
    <t>계획제출_KST</t>
  </si>
  <si>
    <t>과제완료_KST</t>
  </si>
  <si>
    <t>승인결정</t>
  </si>
  <si>
    <t>인수상태</t>
  </si>
  <si>
    <t>인수시각_KST</t>
  </si>
  <si>
    <t>승인버전</t>
  </si>
  <si>
    <t>배정버전</t>
  </si>
  <si>
    <t>ACT41</t>
  </si>
  <si>
    <t>APR41-v1</t>
  </si>
  <si>
    <t>ACT42</t>
  </si>
  <si>
    <t>ACT43</t>
  </si>
  <si>
    <t>총괄</t>
  </si>
  <si>
    <t>INNONOW SC04조건지시  v0.4</t>
  </si>
  <si>
    <t>품질·납기 조건은 전문 부서 검토 후 담당 임원, 예산 조건은 경영관리 예산 임원 확인. 기본 CON41은 생산·구매 협조 조건.</t>
  </si>
  <si>
    <t>기록ID</t>
  </si>
  <si>
    <t>유형</t>
  </si>
  <si>
    <t>관련과제</t>
  </si>
  <si>
    <t>책임</t>
  </si>
  <si>
    <t>협조</t>
  </si>
  <si>
    <t>충족확인자</t>
  </si>
  <si>
    <t>기한_KST</t>
  </si>
  <si>
    <t>예상효과</t>
  </si>
  <si>
    <t>실행제한</t>
  </si>
  <si>
    <t>선행조건</t>
  </si>
  <si>
    <t>생산계획 변경정보 공유·구매 대응 협의 기준 마련 및 양 부서 확인</t>
  </si>
  <si>
    <t>조건 충족 전 긴급구매 개선안 실행 착수 제한. 계획 수립·인수 가능.</t>
  </si>
  <si>
    <t>SUP41</t>
  </si>
  <si>
    <t>지원지시</t>
  </si>
  <si>
    <t>생산 임원이 변경정보 제공 책임과 담당 창구를 지정하고 구매와 공동 기준 합의</t>
  </si>
  <si>
    <t>USR-PROD;USR-BUY</t>
  </si>
  <si>
    <t>CON41 충족 근거로 연결. 세부 일정은 장면5.</t>
  </si>
  <si>
    <t>DIR41</t>
  </si>
  <si>
    <t>추가발굴</t>
  </si>
  <si>
    <t>잔여 목표 부족분 추가 개선과제 발굴. 과제별 근거·효과·기한을 후속 경영검토에 보고</t>
  </si>
  <si>
    <t>EX-PROD;EX-BUY;EX-SALES</t>
  </si>
  <si>
    <t>미산정 효과를 현재 개선액에 포함하지 않음.</t>
  </si>
  <si>
    <t>INNONOW SC04회의  v0.4</t>
  </si>
  <si>
    <t>가상 회의 문안. 보고→질의→재계산→결정→승인서 확정. 승인서의 금액은 기본 fixture이며 가정 변경 시 새 버전으로 재작성.</t>
  </si>
  <si>
    <t>시각_KST</t>
  </si>
  <si>
    <t>발언·결정자</t>
  </si>
  <si>
    <t>관련대상</t>
  </si>
  <si>
    <t>본문</t>
  </si>
  <si>
    <t>근거·버전</t>
  </si>
  <si>
    <t>월간회의</t>
  </si>
  <si>
    <t>수익성 개선 대응안 검토 및 실행 승인</t>
  </si>
  <si>
    <t>QA411</t>
  </si>
  <si>
    <t>대표질문</t>
  </si>
  <si>
    <t>긴급구매를 줄이면 납기는 지킬 수 있습니까? 구매부서만 노력하면 되는 일입니까?</t>
  </si>
  <si>
    <t>QA412</t>
  </si>
  <si>
    <t>구매답변</t>
  </si>
  <si>
    <t>생산 변경정보가 늦으면 긴급발주가 불가피합니다. 생산과 공유·협의 기준이 필요합니다.</t>
  </si>
  <si>
    <t>QA413</t>
  </si>
  <si>
    <t>생산답변</t>
  </si>
  <si>
    <t>고객 변경 자체를 없애기는 어렵습니다. 변경정보 공유와 구매 대응 협의 기준을 함께 마련하겠습니다.</t>
  </si>
  <si>
    <t>CON41;SUP41</t>
  </si>
  <si>
    <t>QA414</t>
  </si>
  <si>
    <t>지원·수정지시</t>
  </si>
  <si>
    <t>생산·구매 공동 기준을 8/20까지 마련하고, 적용 준비기간을 반영해 효과 시작을 9월로 검토하십시오.</t>
  </si>
  <si>
    <t>CON41;DEC41-v2</t>
  </si>
  <si>
    <t>CONF41</t>
  </si>
  <si>
    <t>재계산확인</t>
  </si>
  <si>
    <t>담당 임원과 적용 시점을 확인. 원 보고본을 보존하고 수정 판단본의 효과·부족분으로 승인 요청.</t>
  </si>
  <si>
    <t>ALT42;SC04비교</t>
  </si>
  <si>
    <t>REV41</t>
  </si>
  <si>
    <t>회의결정</t>
  </si>
  <si>
    <t>ALT41;ALT42;ALT43</t>
  </si>
  <si>
    <t>부분 공정·대체공급업체 안 승인, 긴급구매 안 조건부 승인. 추가 과제 발굴 지시.</t>
  </si>
  <si>
    <t>DEC41-v2;DIR41</t>
  </si>
  <si>
    <t>승인서확정</t>
  </si>
  <si>
    <t>ACT41;ACT42;ACT43</t>
  </si>
  <si>
    <t>전체 책임은 경영관리 임원, 개별 책임은 담당 임원. 총괄 18백만원/과제8·6·4백만원 한도. 두 기한과 CON41·SUP41·DIR41 승인.</t>
  </si>
  <si>
    <t>DEC41-v2;MIN41-v1</t>
  </si>
  <si>
    <t>POL41</t>
  </si>
  <si>
    <t>위임조항</t>
  </si>
  <si>
    <t>한도 내 품의는 담당 현업 임원·예산 임원. 과제 간 전용은 무보고 불허, 총괄한도 내 변경 보고 후 전체 책임 임원 승인. 총괄한도 초과는 대표 별도 승인.</t>
  </si>
  <si>
    <t>SC04예산과제</t>
  </si>
  <si>
    <t>MIN41-v1</t>
  </si>
  <si>
    <t>회의록확정</t>
  </si>
  <si>
    <t>질의·답변, 효과시점 조정, 예산·책임·조건·기한, 추가 발굴 및 인계 기준 확인.</t>
  </si>
  <si>
    <t>QA411~414;REV41;APR41-v1</t>
  </si>
  <si>
    <t>INNONOW SC04이벤트  v0.4</t>
  </si>
  <si>
    <t>초기 2027/7/1 08:59에는 장면3 인계만 적재. 결과·결정·과제인수는 이벤트 시각 이후 표시. 기본값은 종료시점 기대 상태.</t>
  </si>
  <si>
    <t>scenario</t>
  </si>
  <si>
    <t>screen</t>
  </si>
  <si>
    <t>EV41-01</t>
  </si>
  <si>
    <t>U401</t>
  </si>
  <si>
    <t>착수</t>
  </si>
  <si>
    <t>PREPARING</t>
  </si>
  <si>
    <t>D401</t>
  </si>
  <si>
    <t>EV41-02</t>
  </si>
  <si>
    <t>분석결과 제출·확인</t>
  </si>
  <si>
    <t>SUBMITTED</t>
  </si>
  <si>
    <t>D402</t>
  </si>
  <si>
    <t>EV41-03</t>
  </si>
  <si>
    <t>EV41-04</t>
  </si>
  <si>
    <t>EV41-05</t>
  </si>
  <si>
    <t>EV41-06</t>
  </si>
  <si>
    <t>U402</t>
  </si>
  <si>
    <t>비용·중복 보완 및 검증</t>
  </si>
  <si>
    <t>EVDC41~46</t>
  </si>
  <si>
    <t>VERIFIED</t>
  </si>
  <si>
    <t>D403~404</t>
  </si>
  <si>
    <t>EV41-07</t>
  </si>
  <si>
    <t>U403</t>
  </si>
  <si>
    <t>공동 추천 확인</t>
  </si>
  <si>
    <t>ALT41~43</t>
  </si>
  <si>
    <t>RECOMMENDED</t>
  </si>
  <si>
    <t>D405</t>
  </si>
  <si>
    <t>EV41-08</t>
  </si>
  <si>
    <t>U404</t>
  </si>
  <si>
    <t>보고본 확정·배포</t>
  </si>
  <si>
    <t>D406</t>
  </si>
  <si>
    <t>EV41-09</t>
  </si>
  <si>
    <t>월간회의 보고</t>
  </si>
  <si>
    <t>EV41-10</t>
  </si>
  <si>
    <t>U405</t>
  </si>
  <si>
    <t>질의·답변·지원지시</t>
  </si>
  <si>
    <t>D407</t>
  </si>
  <si>
    <t>EV41-11</t>
  </si>
  <si>
    <t>D408</t>
  </si>
  <si>
    <t>EV41-12</t>
  </si>
  <si>
    <t>EV41-13</t>
  </si>
  <si>
    <t>D409</t>
  </si>
  <si>
    <t>EV41-14</t>
  </si>
  <si>
    <t>판단본 재계산 확인</t>
  </si>
  <si>
    <t>EV41-15</t>
  </si>
  <si>
    <t>U406</t>
  </si>
  <si>
    <t>과제별 회의결정</t>
  </si>
  <si>
    <t>DECIDED</t>
  </si>
  <si>
    <t>D410</t>
  </si>
  <si>
    <t>EV41-16</t>
  </si>
  <si>
    <t>승인서·회의록 확정</t>
  </si>
  <si>
    <t>APR41-v1;MIN41-v1</t>
  </si>
  <si>
    <t>D410~411</t>
  </si>
  <si>
    <t>EV41-17</t>
  </si>
  <si>
    <t>U407</t>
  </si>
  <si>
    <t>과제·조건·지시 등록</t>
  </si>
  <si>
    <t>ACT41~43;CON41;SUP41;DIR41</t>
  </si>
  <si>
    <t>AWAITING_ACCEPTANCE</t>
  </si>
  <si>
    <t>D412</t>
  </si>
  <si>
    <t>EV41-18</t>
  </si>
  <si>
    <t>책임 인수</t>
  </si>
  <si>
    <t>EV41-19</t>
  </si>
  <si>
    <t>EV41-20</t>
  </si>
  <si>
    <t>ACT42;CON41</t>
  </si>
  <si>
    <t>EV41-21</t>
  </si>
  <si>
    <t>EV41-22</t>
  </si>
  <si>
    <t>TOTAL;DIR41</t>
  </si>
  <si>
    <t>EV41-23</t>
  </si>
  <si>
    <t>U408</t>
  </si>
  <si>
    <t>장면5 인계·장면4 완료</t>
  </si>
  <si>
    <t>SC04_COMPLETED</t>
  </si>
  <si>
    <t>D413</t>
  </si>
  <si>
    <t>INNONOW SC04인계  v0.4</t>
  </si>
  <si>
    <t>이 인계는 대표 승인과 과제 인수까지의 결과입니다. 장면5 상세 계획과 실제 효과 검증은 후속 수행합니다.</t>
  </si>
  <si>
    <t>처리</t>
  </si>
  <si>
    <t>장면5 상세 실행계획 수립 입력</t>
  </si>
  <si>
    <t>approval</t>
  </si>
  <si>
    <t>MT41 / MIN41-v1</t>
  </si>
  <si>
    <t>대표 포괄 승인</t>
  </si>
  <si>
    <t>basis_report</t>
  </si>
  <si>
    <t>REP41-v1 대비 재계산</t>
  </si>
  <si>
    <t>원 보고와 회의 판단본 보존</t>
  </si>
  <si>
    <t>actions</t>
  </si>
  <si>
    <t>전체 및 개별 인수 완료</t>
  </si>
  <si>
    <t>open_condition</t>
  </si>
  <si>
    <t>SC04조건지시</t>
  </si>
  <si>
    <t>OPEN 유지. 계획수립 가능, 해당 실행 착수 제한</t>
  </si>
  <si>
    <t>support</t>
  </si>
  <si>
    <t>책임·기한·인수 연결</t>
  </si>
  <si>
    <t>additional_work</t>
  </si>
  <si>
    <t>8/9 10시 후속 검토. 예상효과 NULL</t>
  </si>
  <si>
    <t>plan_due</t>
  </si>
  <si>
    <t>2027-07-16 18:00 KST</t>
  </si>
  <si>
    <t>승인서</t>
  </si>
  <si>
    <t>과제별 완료기한과 별도</t>
  </si>
  <si>
    <t>장면5 계획 대기</t>
  </si>
  <si>
    <t>장면3 상태 유지</t>
  </si>
  <si>
    <t>실행과 실제 효과 확인 전 해소 처리 금지</t>
  </si>
  <si>
    <t>공식 Forecast 승인 별도</t>
  </si>
  <si>
    <t>대응안 반영 전망은 의사결정용</t>
  </si>
  <si>
    <t>2027-07-13 10:00 KST</t>
  </si>
  <si>
    <t>이후 계획·집행·조건완료 기록 없음</t>
  </si>
  <si>
    <t>INNONOW SC04예외  v0.4</t>
  </si>
  <si>
    <t>모든 분기는 BASE 복제에서 단독 재현. 금액 NULL은 미산정·비해당으로 보존. 예외 결과를 기본 손익에 합산하지 않습니다.</t>
  </si>
  <si>
    <t>기준시점</t>
  </si>
  <si>
    <t>예상결과</t>
  </si>
  <si>
    <t>수치 기대값</t>
  </si>
  <si>
    <t>기본안 보존</t>
  </si>
  <si>
    <t>E401</t>
  </si>
  <si>
    <t>U402 검증 전</t>
  </si>
  <si>
    <t>ALT41 기존 감가상각비 120백만원/월을 회피로 추가</t>
  </si>
  <si>
    <t>회피 불가 비용으로 검증 차단. 제거·확인 후 복귀.</t>
  </si>
  <si>
    <t>별도 초안. 기준 고정비 삭제 금지</t>
  </si>
  <si>
    <t>E402</t>
  </si>
  <si>
    <t>ALT42 중복제거 N열의 10~12월 값을 0으로 가정</t>
  </si>
  <si>
    <t>3개월 중복 180만원 검출. 보고 확정 차단.</t>
  </si>
  <si>
    <t>기본 N=M 유지</t>
  </si>
  <si>
    <t>E403</t>
  </si>
  <si>
    <t>EVDC46의 SUP-M02 능력 확인을 미확인으로 변경</t>
  </si>
  <si>
    <t>ALT43 보류·실행과제 미생성. 승인 범위 효과는 ALT41+ALT42.</t>
  </si>
  <si>
    <t>DEC41-v2 기본을 덮어쓰지 않음</t>
  </si>
  <si>
    <t>E404</t>
  </si>
  <si>
    <t>ACT42 계획제출기한 또는 총괄 한도 NULL</t>
  </si>
  <si>
    <t>필수값 누락으로 승인서 확정 불가.</t>
  </si>
  <si>
    <t>NULL을 0 또는 임의 날짜로 대체 금지</t>
  </si>
  <si>
    <t>E405</t>
  </si>
  <si>
    <t>EV41-21 직전</t>
  </si>
  <si>
    <t>ACT43 미인수 또는 타인 인수 시도</t>
  </si>
  <si>
    <t>기본 실행과제 2/3 인수. 장면4 종료 제한.</t>
  </si>
  <si>
    <t>전체 책임자 인수도 별도 확인</t>
  </si>
  <si>
    <t>E406</t>
  </si>
  <si>
    <t>CON41 OPEN 상태 유지</t>
  </si>
  <si>
    <t>과제 인수·장면4 완료 가능. ACT42 실행 착수 제한.</t>
  </si>
  <si>
    <t>기본 시나리오의 정상 조건 상태</t>
  </si>
  <si>
    <t>E407-A</t>
  </si>
  <si>
    <t>정책 조회</t>
  </si>
  <si>
    <t>ACT41 배분 1백만원을 ACT42로 전용 제안</t>
  </si>
  <si>
    <t>변경보고·경영관리 임원 승인 필요. 총괄18백만원 유지.</t>
  </si>
  <si>
    <t>규칙 설명용, 실제 전용 이벤트 없음</t>
  </si>
  <si>
    <t>E407-B</t>
  </si>
  <si>
    <t>총괄 필요액 19백만원</t>
  </si>
  <si>
    <t>대표 별도 보고·승인 필요.</t>
  </si>
  <si>
    <t>기본 승인한도18백만원 유지</t>
  </si>
  <si>
    <t>E408</t>
  </si>
  <si>
    <t>초안 생성</t>
  </si>
  <si>
    <t>Agent 장애</t>
  </si>
  <si>
    <t>원자료·계산 유지, 수동 작성 후 사람 검토.</t>
  </si>
  <si>
    <t>승인·인수 권한 불변</t>
  </si>
  <si>
    <t>INNONOW SC04계약  v0.4</t>
  </si>
  <si>
    <t>데이터 계약은 개발 인계를 위한 업무 기준입니다. API·권한·오류·상세 저장 명세는 다음 구현명세에서 확정합니다.</t>
  </si>
  <si>
    <t>정의·키</t>
  </si>
  <si>
    <t>적재·계산 기준</t>
  </si>
  <si>
    <t>화면·근거</t>
  </si>
  <si>
    <t>SC01~SC03 v0.3 + SC04 화면 v0.2</t>
  </si>
  <si>
    <t>원 30개 시트 중 검토요약은 v0.4로 갱신, 기존 검토요약은 검토요약_v02에 보존. 기타 원천·계산은 동일 의미 유지.</t>
  </si>
  <si>
    <t>검토요약 / 모든 원 시트</t>
  </si>
  <si>
    <t>화폐·기간</t>
  </si>
  <si>
    <t>KRW / 가상 2027 / VAT 제외</t>
  </si>
  <si>
    <t>Target 및 기준 Forecast 유지. 2027 연간·Q3·Q4·7~12월을 구분. 정상 연간 효과는 정액12개월 참고, 기존 향후12개월 전망을 갱신하지 않음.</t>
  </si>
  <si>
    <t>U402~404</t>
  </si>
  <si>
    <t>시간</t>
  </si>
  <si>
    <t>신규 Excel 일시 = KST 벽시계</t>
  </si>
  <si>
    <t>신규 일시를 UTC로 해석해 9시간 이동하지 않음. 기존 파일 ISO의 Z 표현은 기존 계약의 KST 표시 규칙 준수. API에서는 +09:00 명시.</t>
  </si>
  <si>
    <t>SC04이벤트</t>
  </si>
  <si>
    <t>비용 포함</t>
  </si>
  <si>
    <t>ALT41 a가공 / ALT42 b가공 / ALT43 b재료</t>
  </si>
  <si>
    <t>원 단위원가의 하위 내역으로 새로 설명한 가상 비용. 기준 손익에 다시 더하지 않음. 증분만 반영.</t>
  </si>
  <si>
    <t>SC04근거</t>
  </si>
  <si>
    <t>버전 합산</t>
  </si>
  <si>
    <t>REP41-v1 / DEC41-v2</t>
  </si>
  <si>
    <t>SC04월효과 row_id 고유. 버전별 조회 필수. 두 버전의 효과를 합산하지 않음.</t>
  </si>
  <si>
    <t>U404~405</t>
  </si>
  <si>
    <t>공헌이익·고정비</t>
  </si>
  <si>
    <t>대안 증분의 모델 배부</t>
  </si>
  <si>
    <t>ALT41 A-a, ALT42·43 A-b. c~e 영향0. 일회성비 포함 대안 관리손익 증분으로 표시하며 원 모델 공헌이익과 혼용하지 않음. 고정비는 공장합계에서 기존대로1회.</t>
  </si>
  <si>
    <t>U403~404</t>
  </si>
  <si>
    <t>행위자</t>
  </si>
  <si>
    <t>EX-PROD 생산 임원 / EX-BUY 구매 임원 / EX-SALES 영업 임원</t>
  </si>
  <si>
    <t>원 USR-PROD·BUY·SALES는 실무·분석 책임 역할 유지. 신규 임원은 결과 확인·실행책임 인수. USR-CFO가 전체 책임 및 예산 임원 겸임 가정.</t>
  </si>
  <si>
    <t>U401~408</t>
  </si>
  <si>
    <t>관계</t>
  </si>
  <si>
    <t>AT31→ALT41→ACT41 / AT32→ALT42·43→ACT42·43</t>
  </si>
  <si>
    <t>AT33은 검토 후 제외, AT34는 원인분석과 DIR41. 다중 참조는 구현 시 연결 테이블로 분리.</t>
  </si>
  <si>
    <t>SC04분석결과</t>
  </si>
  <si>
    <t>예산</t>
  </si>
  <si>
    <t>총괄18백만원 / 배분8·6·4백만원</t>
  </si>
  <si>
    <t>일회성 준비비용만 대상. 약정미집행·집행완료·미약정예정은 서로 중복 없는 구간. 여력=한도−세 구간 합계. 반복비용은 기존 운영예산에서 통제.</t>
  </si>
  <si>
    <t>U406~408</t>
  </si>
  <si>
    <t>전용·초과</t>
  </si>
  <si>
    <t>무보고 전용 불허</t>
  </si>
  <si>
    <t>총괄한도 내 전용은 변경보고 후 전체 책임 임원 승인. 범위를 넘는 총괄 한도 초과는 대표 별도 승인. 전용 승인 후 실행 품의도 정상 절차 준수.</t>
  </si>
  <si>
    <t>종료 조건</t>
  </si>
  <si>
    <t>최신 승인·전체인수·개별인수·추가지시</t>
  </si>
  <si>
    <t>승인서, 조건 책임·확인자·기한, 지원·발굴 지시 인수, 장면5 인계자료 필요. CON41 이행 완료와 상세 계획 완성은 장면4 종료요건 아님.</t>
  </si>
  <si>
    <t>현재 상태·이력</t>
  </si>
  <si>
    <t>기본 레코드는 7/13 10시 종료시점</t>
  </si>
  <si>
    <t>초기에는 미래 결과·보고·승인·인수 숨김. 이벤트 이후 생성. 보고 전후금액·승인 당시 가정은 불변 스냅샷으로 구현. 워크북 입력 수정은 새 설계안으로 간주.</t>
  </si>
  <si>
    <t>D401~D413</t>
  </si>
  <si>
    <t>지표 공백</t>
  </si>
  <si>
    <t>추가발굴 예상효과 NULL</t>
  </si>
  <si>
    <t>미산정과 0을 구분. 개선 달성률·절감 업무시간은 기준 없으므로 산정하지 않음.</t>
  </si>
  <si>
    <t>DIR41 / 요약</t>
  </si>
  <si>
    <t>가상 근거 출처</t>
  </si>
  <si>
    <t>사용자 승인 화면 v0.2, 기존 데이터 v0.3</t>
  </si>
  <si>
    <t>2026-10-23 사용자 요청으로 ALT41 대상량·회피단가 및 ALT42 건당비용 수정. 신규 값은 가상 설계이며 실제 기업 수치가 아님.</t>
  </si>
  <si>
    <t>INNONOW SC04검증  v0.4</t>
  </si>
  <si>
    <t>기본 가상안의 기대값 검증. 입력 변경 시 기대값과의 차이는 새 설계안 검토 대상으로 표시. 검증 결과는 계산 입력으로 사용하지 않음.</t>
  </si>
  <si>
    <t>검증ID</t>
  </si>
  <si>
    <t>CK401</t>
  </si>
  <si>
    <t>기준연간손익</t>
  </si>
  <si>
    <t>CK402</t>
  </si>
  <si>
    <t>기존부족 원인합계</t>
  </si>
  <si>
    <t>CK403</t>
  </si>
  <si>
    <t>CK404</t>
  </si>
  <si>
    <t>CK405</t>
  </si>
  <si>
    <t>시점조정</t>
  </si>
  <si>
    <t>CK406</t>
  </si>
  <si>
    <t>CK407</t>
  </si>
  <si>
    <t>CK408</t>
  </si>
  <si>
    <t>정상연간반복효과</t>
  </si>
  <si>
    <t>CK409</t>
  </si>
  <si>
    <t>배분-총괄</t>
  </si>
  <si>
    <t>CK410</t>
  </si>
  <si>
    <t>예산여력</t>
  </si>
  <si>
    <t>CK411</t>
  </si>
  <si>
    <t>판단 중복제거</t>
  </si>
  <si>
    <t>CK412</t>
  </si>
  <si>
    <t>CK413</t>
  </si>
  <si>
    <t>인수완료</t>
  </si>
  <si>
    <t>CK414</t>
  </si>
  <si>
    <t>원 a~e 모델 보존</t>
  </si>
  <si>
    <t>CK415</t>
  </si>
  <si>
    <t>INNONOW SC05요약 v0.5</t>
  </si>
  <si>
    <t>SC01~SC05 v0.5. 기존 45개 Sheet는 보존. SC05요약부터 읽으십시오. 가상 업무연도 2027, 금액 원, VAT 제외.</t>
  </si>
  <si>
    <t>SC01~SC05 v0.5</t>
  </si>
  <si>
    <t>2026-10-24</t>
  </si>
  <si>
    <t>기존45개 Sheet 보존, SC05 확장 Sheet 추가. SC05요약·초기지표·월손익을 먼저 검토</t>
  </si>
  <si>
    <t>가상 마감 기준</t>
  </si>
  <si>
    <t>DATE</t>
  </si>
  <si>
    <t>9월 실적 마감 후10/6 월간 Rolling 승인</t>
  </si>
  <si>
    <t>9월 긴급구매</t>
  </si>
  <si>
    <t>기존 전망4건보다1건 많아 초기 실적은 다소 미달</t>
  </si>
  <si>
    <t>9월 긴급 추가비</t>
  </si>
  <si>
    <t>운송·할증 비용. 60건 중5건</t>
  </si>
  <si>
    <t>9월 추정 순개선</t>
  </si>
  <si>
    <t>기준14.4백만원−실제6백만원−지원0.2백만원</t>
  </si>
  <si>
    <t>장면4 승인 예상효과</t>
  </si>
  <si>
    <t>원/당해연도</t>
  </si>
  <si>
    <t>127.8백만원 비교 기준 보존</t>
  </si>
  <si>
    <t>마감기간 과제순효과</t>
  </si>
  <si>
    <t>원/1~9월</t>
  </si>
  <si>
    <t>37.2백만원. 일회성 비용·9월 지원비 포함</t>
  </si>
  <si>
    <t>잔여기간 예상효과</t>
  </si>
  <si>
    <t>원/10~12월</t>
  </si>
  <si>
    <t>91.8백만원. ACT42 긴급건4·3·3 임원 확인 가정</t>
  </si>
  <si>
    <t>갱신 연간 과제효과</t>
  </si>
  <si>
    <t>원/연간</t>
  </si>
  <si>
    <t>129백만원. 실적과 미실현 전망을 구분</t>
  </si>
  <si>
    <t>갱신 공식 관리손익</t>
  </si>
  <si>
    <t>10/6 대표 승인 후 공식본 FC51로 게시</t>
  </si>
  <si>
    <t>변경하지 않는 Target</t>
  </si>
  <si>
    <t>울산 A제품 공장 관리손익 기준</t>
  </si>
  <si>
    <t>48.30332백만원. Risk OPEN 유지</t>
  </si>
  <si>
    <t>일회성 예산 잔여</t>
  </si>
  <si>
    <t>총18백만원 중7백만원 집행. 별도 운영비와 구분</t>
  </si>
  <si>
    <t>Agent 기여</t>
  </si>
  <si>
    <t>제안·수정·판단 분리</t>
  </si>
  <si>
    <t>참고 의견 반영</t>
  </si>
  <si>
    <t>SC05Agent 8건. 누가 무엇을 제안·수정·확인했는지 표시</t>
  </si>
  <si>
    <t>U503 처리</t>
  </si>
  <si>
    <t>조건·품의·착수 통합</t>
  </si>
  <si>
    <t>CON41·SUP41·REQ51·OP51·START51 연결. 별도 화면 분할 없음</t>
  </si>
  <si>
    <t>검토 포인트</t>
  </si>
  <si>
    <t>초기 실적·Q4 가정·공식 전환</t>
  </si>
  <si>
    <t>가상 제안</t>
  </si>
  <si>
    <t>9월5건, Q4 4·3·3건, FC50 중간 공식본 및 FC51 갱신 흐름 검토</t>
  </si>
  <si>
    <t>INNONOW SC05설정 v0.5</t>
  </si>
  <si>
    <t>사용자 확정 원칙을 바탕으로 구체 수치·일정을 제안. 노란 셀은 신규 가상 입력. 날짜 값의 화면 표시는 아래 자료형을 따른다.</t>
  </si>
  <si>
    <t>단위·자료형</t>
  </si>
  <si>
    <t>정의·가상 가정</t>
  </si>
  <si>
    <t>actual_cutoff</t>
  </si>
  <si>
    <t>9월까지 가상 마감 실적. 10~12월 잔여 전망</t>
  </si>
  <si>
    <t>rolling_date</t>
  </si>
  <si>
    <t>대표 공식 Forecast 승인일</t>
  </si>
  <si>
    <t>DATETIME_KST</t>
  </si>
  <si>
    <t>기본안 종료 기대 상태. 초기 적재는 7/13 10시</t>
  </si>
  <si>
    <t>share_minutes</t>
  </si>
  <si>
    <t>분</t>
  </si>
  <si>
    <t>고객 변경 접수 후 생산 공유 허용시간</t>
  </si>
  <si>
    <t>confirm_minutes</t>
  </si>
  <si>
    <t>생산 공유 후 구매 확인 허용시간</t>
  </si>
  <si>
    <t>clock_basis</t>
  </si>
  <si>
    <t>달력 경과분</t>
  </si>
  <si>
    <t>규칙</t>
  </si>
  <si>
    <t>샘플은 모두 평일 업무시간 내. 야간은 당직 대행 즉시 접수하는 가상 규칙</t>
  </si>
  <si>
    <t>urgent_base_count</t>
  </si>
  <si>
    <t>건/월</t>
  </si>
  <si>
    <t>장면4 기준의 물량 정규화 비교 가정. 과거 실제 건수로 표기 금지</t>
  </si>
  <si>
    <t>urgent_unit_cost</t>
  </si>
  <si>
    <t>원/건</t>
  </si>
  <si>
    <t>긴급 운송 90만원 + 할증 30만원. 기존 변동비 내 포함</t>
  </si>
  <si>
    <t>monthly_support</t>
  </si>
  <si>
    <t>원/월</t>
  </si>
  <si>
    <t>운영 적용 9월 이후. 일회성 예산과 별도 운영비</t>
  </si>
  <si>
    <t>oct_urgent_forecast</t>
  </si>
  <si>
    <t>10월 전망. 기존 4건 유지</t>
  </si>
  <si>
    <t>nov_urgent_forecast</t>
  </si>
  <si>
    <t>11월 개선 전망. 협조·대행 정착을 가정하며 미달 위험 유지</t>
  </si>
  <si>
    <t>dec_urgent_forecast</t>
  </si>
  <si>
    <t>12월 개선 전망. 월별 확인 필요</t>
  </si>
  <si>
    <t>procurement_unit</t>
  </si>
  <si>
    <t>주문 ID 단위</t>
  </si>
  <si>
    <t>집계</t>
  </si>
  <si>
    <t>분할 납품은 같은 주문 ID로 합산. 취소 건 제외</t>
  </si>
  <si>
    <t>profit_scope</t>
  </si>
  <si>
    <t>울산 A제품 공장 관리손익</t>
  </si>
  <si>
    <t>범위</t>
  </si>
  <si>
    <t>5개 모델 합산 공헌이익−공장 고정비. 전사·본사·금융·세금 제외</t>
  </si>
  <si>
    <t>prior_official</t>
  </si>
  <si>
    <t>FC50</t>
  </si>
  <si>
    <t>버전</t>
  </si>
  <si>
    <t>9/6 승인된 가상 중간 월간 전망. SC04 검토안을 공식본으로 소급 전환하지 않음</t>
  </si>
  <si>
    <t>current_run</t>
  </si>
  <si>
    <t>RUN51</t>
  </si>
  <si>
    <t>산정본</t>
  </si>
  <si>
    <t>9월 마감+잔여 10~12월 전망. FC51-D→FC51 승인</t>
  </si>
  <si>
    <t>target_policy</t>
  </si>
  <si>
    <t>기존 Target 유지</t>
  </si>
  <si>
    <t>risk_policy</t>
  </si>
  <si>
    <t>잔여 목표 부족·미실현 전망 위험 관리</t>
  </si>
  <si>
    <t>agent_policy</t>
  </si>
  <si>
    <t>제안과 사람 판단 분리</t>
  </si>
  <si>
    <t>SC05Agent에서 제안·수정·근거·확인자를 추적</t>
  </si>
  <si>
    <t>urgent_approval_limit</t>
  </si>
  <si>
    <t>추가비 원/건</t>
  </si>
  <si>
    <t>가상 기존 구매 전결: 추가비 200만원 이하 구매 임원. 초과는 상위 전결 검토. 본 시연은 120만원</t>
  </si>
  <si>
    <t>INNONOW SC05계획 v0.5</t>
  </si>
  <si>
    <t>계획의 확정·경영관리 확인·실제 착수는 별도. 각 버전은 해당 확정/확인 이벤트 이후 유효.</t>
  </si>
  <si>
    <t>plan_id</t>
  </si>
  <si>
    <t>version</t>
  </si>
  <si>
    <t>작성_KST</t>
  </si>
  <si>
    <t>확정자</t>
  </si>
  <si>
    <t>확정_KST</t>
  </si>
  <si>
    <t>확인_KST</t>
  </si>
  <si>
    <t>변경사유</t>
  </si>
  <si>
    <t>승인예산</t>
  </si>
  <si>
    <t>효과개시</t>
  </si>
  <si>
    <t>과제기한</t>
  </si>
  <si>
    <t>상태·범위</t>
  </si>
  <si>
    <t>PL51-v1</t>
  </si>
  <si>
    <t>최초 공동 기준·수시 공유 기본 방향</t>
  </si>
  <si>
    <t>CONFIRMED / 운영 적용 착수는 별도</t>
  </si>
  <si>
    <t>PL51-v2</t>
  </si>
  <si>
    <t>대행·수시 확인 절차 추가, 교육 8/18→8/19. 예산·개시·최종기한 유지</t>
  </si>
  <si>
    <t>CONFIRMED / 대표 재승인 없음</t>
  </si>
  <si>
    <t>PL52-v1</t>
  </si>
  <si>
    <t>공정 전환·검증·정규 운영 인계</t>
  </si>
  <si>
    <t>배경 요약. 8/31 운영 인계 완료, 효과 추적 지속</t>
  </si>
  <si>
    <t>PL53-v1</t>
  </si>
  <si>
    <t>기승인 업체 공급능력·품질 검증 및 10월 적용</t>
  </si>
  <si>
    <t>배경 요약. 10/1 적용, 10/29 안정화 확인 예정</t>
  </si>
  <si>
    <t>INNONOW SC05활동 v0.5</t>
  </si>
  <si>
    <t>v1과 v2는 이력. 같은 활동을 두 번 실행하거나 비용을 두 번 집계하지 않는다. v2에서 새로 변경한 부분은 SC05Agent AG52 및 이벤트로 연결.</t>
  </si>
  <si>
    <t>activity_key</t>
  </si>
  <si>
    <t>activity_id</t>
  </si>
  <si>
    <t>활동</t>
  </si>
  <si>
    <t>담당</t>
  </si>
  <si>
    <t>완료계획일</t>
  </si>
  <si>
    <t>선행활동</t>
  </si>
  <si>
    <t>완료기준·변경내용</t>
  </si>
  <si>
    <t>PL51-v1|01</t>
  </si>
  <si>
    <t>01</t>
  </si>
  <si>
    <t>공동 기준 작성</t>
  </si>
  <si>
    <t>정례 공유와 수시 공유의 기본 역할</t>
  </si>
  <si>
    <t>DOC51</t>
  </si>
  <si>
    <t>PL51-v1|02</t>
  </si>
  <si>
    <t>02</t>
  </si>
  <si>
    <t>생산 협조·창구 지정</t>
  </si>
  <si>
    <t>변경정보 공유 창구 지정</t>
  </si>
  <si>
    <t>DOC52</t>
  </si>
  <si>
    <t>PL51-v1|03</t>
  </si>
  <si>
    <t>03</t>
  </si>
  <si>
    <t>교육·운영 준비</t>
  </si>
  <si>
    <t>기본 업무 흐름 교육</t>
  </si>
  <si>
    <t>DOC53-P</t>
  </si>
  <si>
    <t>PL51-v1|04</t>
  </si>
  <si>
    <t>04</t>
  </si>
  <si>
    <t>조건 확인</t>
  </si>
  <si>
    <t>공동 기준·양 부서 확인</t>
  </si>
  <si>
    <t>PL51-v1|05</t>
  </si>
  <si>
    <t>05</t>
  </si>
  <si>
    <t>운영 적용</t>
  </si>
  <si>
    <t>필수 품의 승인 후 적용</t>
  </si>
  <si>
    <t>START51</t>
  </si>
  <si>
    <t>PL51-v1|06</t>
  </si>
  <si>
    <t>06</t>
  </si>
  <si>
    <t>초기 결과·운영 인계</t>
  </si>
  <si>
    <t>실행 건 확인 및 10월 이후 성과 추적 인계</t>
  </si>
  <si>
    <t>DOC59</t>
  </si>
  <si>
    <t>PL51-v2|01</t>
  </si>
  <si>
    <t>공동 기준 보완</t>
  </si>
  <si>
    <t>수시 접수 60분 공유·120분 확인, 부재 대행 명시</t>
  </si>
  <si>
    <t>PL51-v2|02</t>
  </si>
  <si>
    <t>대행·알림 경로 검증</t>
  </si>
  <si>
    <t>USR-BUY 부재 시 USR-BUY2, 초과 시 EX-BUY 알림</t>
  </si>
  <si>
    <t>PL51-v2|03</t>
  </si>
  <si>
    <t>보완 기준 교육</t>
  </si>
  <si>
    <t>대행·야간 접수 포함 내부 교육. 외부 검증비200만원은 승인 후 집행</t>
  </si>
  <si>
    <t>PL51-v2|04</t>
  </si>
  <si>
    <t>PL51-v2|05</t>
  </si>
  <si>
    <t>PL51-v2|06</t>
  </si>
  <si>
    <t>9/30 정규 운영 인계, 비용·연간 효과는 별도 검증</t>
  </si>
  <si>
    <t>INNONOW SC05조건품의 v0.5</t>
  </si>
  <si>
    <t>모든 레코드는 가상 시연 기대값. 단계 이전에는 미래 승인·조건 완료를 적재하지 않는다. 구매 예외 전결은 SC05설정 및 구매표본에 별도 기록.</t>
  </si>
  <si>
    <t>금액</t>
  </si>
  <si>
    <t>작성·이행자</t>
  </si>
  <si>
    <t>상신·이행_KST</t>
  </si>
  <si>
    <t>1차확인자</t>
  </si>
  <si>
    <t>1차확인_KST</t>
  </si>
  <si>
    <t>최종확인자</t>
  </si>
  <si>
    <t>최종확인_KST</t>
  </si>
  <si>
    <t>근거·원승인</t>
  </si>
  <si>
    <t>조건</t>
  </si>
  <si>
    <t>공동 기준</t>
  </si>
  <si>
    <t>SATISFIED</t>
  </si>
  <si>
    <t>DOC51;DOC52;DOC53-P / APR41-v1</t>
  </si>
  <si>
    <t>지원 지시</t>
  </si>
  <si>
    <t>생산 지원</t>
  </si>
  <si>
    <t>DOC52 / APR41-v1</t>
  </si>
  <si>
    <t>REQ51</t>
  </si>
  <si>
    <t>실행 품의</t>
  </si>
  <si>
    <t>일회성 준비 예산</t>
  </si>
  <si>
    <t>DOC53-P / APR41-v1</t>
  </si>
  <si>
    <t>REQ52</t>
  </si>
  <si>
    <t>배경 실행 품의</t>
  </si>
  <si>
    <t>일회성 전환 예산</t>
  </si>
  <si>
    <t>DOC54-P / APR41-v1</t>
  </si>
  <si>
    <t>REQ53</t>
  </si>
  <si>
    <t>일회성 검증 예산</t>
  </si>
  <si>
    <t>DOC55-P / APR41-v1</t>
  </si>
  <si>
    <t>OP51</t>
  </si>
  <si>
    <t>운영비 품의</t>
  </si>
  <si>
    <t>9~12월 운영지원, 별도 운영예산</t>
  </si>
  <si>
    <t>월20만원×4개월. 600만원 일회성 한도에 혼합 금지</t>
  </si>
  <si>
    <t>INNONOW SC05예산원장 v0.5</t>
  </si>
  <si>
    <t>SETTLE에서 약정 감소와 집행 증가를 함께 기록한다. 승인예산·약정·현금 집행·손익비용을 구분. 이 가상 사례는 집행일과 비용 인식일을 같게 설정.</t>
  </si>
  <si>
    <t>txn_id</t>
  </si>
  <si>
    <t>budget_scope</t>
  </si>
  <si>
    <t>request_ref</t>
  </si>
  <si>
    <t>발생_KST</t>
  </si>
  <si>
    <t>약정증감</t>
  </si>
  <si>
    <t>집행증감</t>
  </si>
  <si>
    <t>손익비용</t>
  </si>
  <si>
    <t>TX51</t>
  </si>
  <si>
    <t>ONEOFF</t>
  </si>
  <si>
    <t>COMMIT</t>
  </si>
  <si>
    <t>DOC54-P</t>
  </si>
  <si>
    <t>TX52</t>
  </si>
  <si>
    <t>SETTLE</t>
  </si>
  <si>
    <t>DOC54-S</t>
  </si>
  <si>
    <t>TX53</t>
  </si>
  <si>
    <t>TX54</t>
  </si>
  <si>
    <t>DOC53</t>
  </si>
  <si>
    <t>TX55</t>
  </si>
  <si>
    <t>DOC55-P</t>
  </si>
  <si>
    <t>TX56</t>
  </si>
  <si>
    <t>DOC55</t>
  </si>
  <si>
    <t>TX57</t>
  </si>
  <si>
    <t>OPERATING</t>
  </si>
  <si>
    <t>TX58</t>
  </si>
  <si>
    <t>DOC58</t>
  </si>
  <si>
    <t>INNONOW SC05예산 v0.5</t>
  </si>
  <si>
    <t>SC05설정 as_of까지의 일회성 예산 상태. 미약정 예정액을 차감한 SC04 한도여력과 정의가 다름. 운영지원 OP51은 별도 운영예산.</t>
  </si>
  <si>
    <t>과제</t>
  </si>
  <si>
    <t>일회성 승인한도</t>
  </si>
  <si>
    <t>미집행약정</t>
  </si>
  <si>
    <t>집행누계</t>
  </si>
  <si>
    <t>사용가능액</t>
  </si>
  <si>
    <t>INNONOW SC05고객계획 v0.5</t>
  </si>
  <si>
    <t>고객 계획의 당사 배정 대분. CP51·CP52는 각각 기존 기본안 대비 다른 납품 요청 창의 비교 사례이며 합산 금지. 월 물량은 유지하므로 월손익 물량효과는 0. 40% 재적용 금지.</t>
  </si>
  <si>
    <t>계획공유ID</t>
  </si>
  <si>
    <t>접수일</t>
  </si>
  <si>
    <t>9월월합계</t>
  </si>
  <si>
    <t>전1구간</t>
  </si>
  <si>
    <t>전2구간</t>
  </si>
  <si>
    <t>전3구간</t>
  </si>
  <si>
    <t>전4구간</t>
  </si>
  <si>
    <t>후1구간</t>
  </si>
  <si>
    <t>후2구간</t>
  </si>
  <si>
    <t>후3구간</t>
  </si>
  <si>
    <t>후4구간</t>
  </si>
  <si>
    <t>월합계차이</t>
  </si>
  <si>
    <t>변경내용</t>
  </si>
  <si>
    <t>CP51|A-a</t>
  </si>
  <si>
    <t>CP51</t>
  </si>
  <si>
    <t>변동 없음</t>
  </si>
  <si>
    <t>DOC56</t>
  </si>
  <si>
    <t>CP51|A-b</t>
  </si>
  <si>
    <t>납품 시점 앞당김</t>
  </si>
  <si>
    <t>CP51|A-c</t>
  </si>
  <si>
    <t>CP51|A-d</t>
  </si>
  <si>
    <t>CP51|A-e</t>
  </si>
  <si>
    <t>CP52|A-a</t>
  </si>
  <si>
    <t>CP52</t>
  </si>
  <si>
    <t>DOC56B</t>
  </si>
  <si>
    <t>CP52|A-b</t>
  </si>
  <si>
    <t>CP52|A-c</t>
  </si>
  <si>
    <t>CP52|A-d</t>
  </si>
  <si>
    <t>CP52|A-e</t>
  </si>
  <si>
    <t>INNONOW SC05변경공유 v0.5</t>
  </si>
  <si>
    <t>M503·504 관측표본은 변경공유 6건. 구매 주문 60건과 분모가 다름. CP 참조는 수신 계획의 대응자료이며 고객계획 물량변동을 중복 생성하지 않는다.</t>
  </si>
  <si>
    <t>change_id</t>
  </si>
  <si>
    <t>plan_ref</t>
  </si>
  <si>
    <t>접수_KST</t>
  </si>
  <si>
    <t>공유_KST</t>
  </si>
  <si>
    <t>구매확인_KST</t>
  </si>
  <si>
    <t>공유자</t>
  </si>
  <si>
    <t>대행여부</t>
  </si>
  <si>
    <t>대응</t>
  </si>
  <si>
    <t>대표주문</t>
  </si>
  <si>
    <t>협의·판단</t>
  </si>
  <si>
    <t>공유분</t>
  </si>
  <si>
    <t>확인분</t>
  </si>
  <si>
    <t>확인상태</t>
  </si>
  <si>
    <t>CH51</t>
  </si>
  <si>
    <t>NORMAL</t>
  </si>
  <si>
    <t>PO51-001</t>
  </si>
  <si>
    <t>200대분 납품시점 앞당김. 재고80·기발주120 사용 가능</t>
  </si>
  <si>
    <t>CH52</t>
  </si>
  <si>
    <t>URGENT</t>
  </si>
  <si>
    <t>PO51-010</t>
  </si>
  <si>
    <t>120대분 앞당김. 가용0·기발주 지연. 정상조달 9/15, 필요9/13</t>
  </si>
  <si>
    <t>CH53</t>
  </si>
  <si>
    <t>USR-BUY2</t>
  </si>
  <si>
    <t>PO51-020</t>
  </si>
  <si>
    <t>구매 주담당 부재. 지정 대행자가 확인</t>
  </si>
  <si>
    <t>CH54</t>
  </si>
  <si>
    <t>PO51-030</t>
  </si>
  <si>
    <t>구매 확인 120분 초과. 11:31 EX-BUY 알림 후 처리</t>
  </si>
  <si>
    <t>DOC57</t>
  </si>
  <si>
    <t>CH55</t>
  </si>
  <si>
    <t>PO51-040</t>
  </si>
  <si>
    <t>배경 정상 대응. 추가 고객 물량 사건 아님</t>
  </si>
  <si>
    <t>CH56</t>
  </si>
  <si>
    <t>PO51-050</t>
  </si>
  <si>
    <t>배경 예외. 정해진 전결에 따라 처리</t>
  </si>
  <si>
    <t>INNONOW SC05구매표본 v0.5</t>
  </si>
  <si>
    <t>9월 A-b 구매 60건, 수량 9,785개. 대표 6건 외 배경 주문 포함. 추가비는 기존 원가 중 URG-B01 비교대상이다. 금액을 정상 부품매입액에 다시 가산하는 원가 모델이 아니다.</t>
  </si>
  <si>
    <t>order_id</t>
  </si>
  <si>
    <t>change_ref</t>
  </si>
  <si>
    <t>수량</t>
  </si>
  <si>
    <t>긴급여부</t>
  </si>
  <si>
    <t>긴급운송비</t>
  </si>
  <si>
    <t>할증</t>
  </si>
  <si>
    <t>추가비합계</t>
  </si>
  <si>
    <t>발주_KST</t>
  </si>
  <si>
    <t>처리기록_KST</t>
  </si>
  <si>
    <t>긴급승인자</t>
  </si>
  <si>
    <t>긴급승인_KST</t>
  </si>
  <si>
    <t>납기이상</t>
  </si>
  <si>
    <t>품질이상</t>
  </si>
  <si>
    <t>판단·사유</t>
  </si>
  <si>
    <t>정상 조달</t>
  </si>
  <si>
    <t>PO51-002</t>
  </si>
  <si>
    <t>PO51-003</t>
  </si>
  <si>
    <t>PO51-004</t>
  </si>
  <si>
    <t>PO51-005</t>
  </si>
  <si>
    <t>PO51-006</t>
  </si>
  <si>
    <t>PO51-007</t>
  </si>
  <si>
    <t>PO51-008</t>
  </si>
  <si>
    <t>PO51-009</t>
  </si>
  <si>
    <t>납품시점 제약·가용재고 부족 / URG-B01</t>
  </si>
  <si>
    <t>PO51-011</t>
  </si>
  <si>
    <t>PO51-012</t>
  </si>
  <si>
    <t>PO51-013</t>
  </si>
  <si>
    <t>PO51-014</t>
  </si>
  <si>
    <t>PO51-015</t>
  </si>
  <si>
    <t>PO51-016</t>
  </si>
  <si>
    <t>PO51-017</t>
  </si>
  <si>
    <t>PO51-018</t>
  </si>
  <si>
    <t>PO51-019</t>
  </si>
  <si>
    <t>PO51-021</t>
  </si>
  <si>
    <t>PO51-022</t>
  </si>
  <si>
    <t>PO51-023</t>
  </si>
  <si>
    <t>PO51-024</t>
  </si>
  <si>
    <t>PO51-025</t>
  </si>
  <si>
    <t>PO51-026</t>
  </si>
  <si>
    <t>PO51-027</t>
  </si>
  <si>
    <t>PO51-028</t>
  </si>
  <si>
    <t>PO51-029</t>
  </si>
  <si>
    <t>PO51-031</t>
  </si>
  <si>
    <t>PO51-032</t>
  </si>
  <si>
    <t>PO51-033</t>
  </si>
  <si>
    <t>PO51-034</t>
  </si>
  <si>
    <t>PO51-035</t>
  </si>
  <si>
    <t>PO51-036</t>
  </si>
  <si>
    <t>PO51-037</t>
  </si>
  <si>
    <t>PO51-038</t>
  </si>
  <si>
    <t>PO51-039</t>
  </si>
  <si>
    <t>PO51-041</t>
  </si>
  <si>
    <t>PO51-042</t>
  </si>
  <si>
    <t>PO51-043</t>
  </si>
  <si>
    <t>PO51-044</t>
  </si>
  <si>
    <t>PO51-045</t>
  </si>
  <si>
    <t>PO51-046</t>
  </si>
  <si>
    <t>PO51-047</t>
  </si>
  <si>
    <t>PO51-048</t>
  </si>
  <si>
    <t>PO51-049</t>
  </si>
  <si>
    <t>PO51-051</t>
  </si>
  <si>
    <t>PO51-052</t>
  </si>
  <si>
    <t>PO51-053</t>
  </si>
  <si>
    <t>PO51-054</t>
  </si>
  <si>
    <t>PO51-055</t>
  </si>
  <si>
    <t>PO51-056</t>
  </si>
  <si>
    <t>PO51-057</t>
  </si>
  <si>
    <t>PO51-058</t>
  </si>
  <si>
    <t>PO51-059</t>
  </si>
  <si>
    <t>PO51-060</t>
  </si>
  <si>
    <t>INNONOW SC05초기지표 v0.5</t>
  </si>
  <si>
    <t>초기 결과는 가상 관측값. M507은 비교기준 가정에 의존한다. 실제 구매비용·납기·품질 확인과 연간 기대효과 달성을 구분.</t>
  </si>
  <si>
    <t>지표ID</t>
  </si>
  <si>
    <t>지표</t>
  </si>
  <si>
    <t>단위</t>
  </si>
  <si>
    <t>산정·비교 기준</t>
  </si>
  <si>
    <t>M505a</t>
  </si>
  <si>
    <t>구매 건수</t>
  </si>
  <si>
    <t>9월 A-b, 주문 ID 기준</t>
  </si>
  <si>
    <t>M505b</t>
  </si>
  <si>
    <t>긴급구매 건수</t>
  </si>
  <si>
    <t>긴급여부 1 합계</t>
  </si>
  <si>
    <t>M505c</t>
  </si>
  <si>
    <t>긴급구매 발생률</t>
  </si>
  <si>
    <t>동일 60건 분모</t>
  </si>
  <si>
    <t>M506</t>
  </si>
  <si>
    <t>긴급 관련 실제 추가비</t>
  </si>
  <si>
    <t>운송·할증만, 정상매입원가 제외</t>
  </si>
  <si>
    <t>M507b</t>
  </si>
  <si>
    <t>동일물량 비교 기준 비용</t>
  </si>
  <si>
    <t>9월과 동일 물량에 정규화한 장면4 가정. 과거 실적 아님</t>
  </si>
  <si>
    <t>M507s</t>
  </si>
  <si>
    <t>9월 운영 지원비</t>
  </si>
  <si>
    <t>별도 월지원비, 실제 가상 비용 증빙</t>
  </si>
  <si>
    <t>M507</t>
  </si>
  <si>
    <t>9월 추정 순개선액</t>
  </si>
  <si>
    <t>비교 기준 비용−실제 추가비−지원비. 인과효과 확정치가 아님</t>
  </si>
  <si>
    <t>M508a</t>
  </si>
  <si>
    <t>납기 이상</t>
  </si>
  <si>
    <t>전체 60건 확인 후 0건</t>
  </si>
  <si>
    <t>M508b</t>
  </si>
  <si>
    <t>품질 이상</t>
  </si>
  <si>
    <t>M503</t>
  </si>
  <si>
    <t>평균 공유 시간</t>
  </si>
  <si>
    <t>변경 6건, 달력 경과분</t>
  </si>
  <si>
    <t>M504</t>
  </si>
  <si>
    <t>평균 구매 확인 시간</t>
  </si>
  <si>
    <t>확인 완료 변경 6건</t>
  </si>
  <si>
    <t>M504d</t>
  </si>
  <si>
    <t>확인 지연 건수</t>
  </si>
  <si>
    <t>120분 초과</t>
  </si>
  <si>
    <t>M505q</t>
  </si>
  <si>
    <t>대상 구매수량</t>
  </si>
  <si>
    <t>개</t>
  </si>
  <si>
    <t>월별계산 E47과 대사</t>
  </si>
  <si>
    <t>M507o</t>
  </si>
  <si>
    <t>8월 일회성 비용</t>
  </si>
  <si>
    <t>9월 순개선액에서 재차 차감하지 않음</t>
  </si>
  <si>
    <t>INNONOW SC05월효과 v0.5</t>
  </si>
  <si>
    <t>ACT41: 회피 변동가공비만 반영. ACT42: 장면4 기준 긴급비용과 실제/예상 비용의 차이. ACT43: 대체단가·물류비 차이. 고정비 절감 0, 품목할인 중복 0.</t>
  </si>
  <si>
    <t>effect_id</t>
  </si>
  <si>
    <t>적용수량</t>
  </si>
  <si>
    <t>기준긴급건</t>
  </si>
  <si>
    <t>실제·전망긴급건</t>
  </si>
  <si>
    <t>순효과</t>
  </si>
  <si>
    <t>효과해석</t>
  </si>
  <si>
    <t>EF51|ACT41|7</t>
  </si>
  <si>
    <t>ACTUAL</t>
  </si>
  <si>
    <t>가상 마감. 회피비용 비교모형 포함</t>
  </si>
  <si>
    <t>DOC54</t>
  </si>
  <si>
    <t>EF51|ACT42|7</t>
  </si>
  <si>
    <t>DOC58;OP51</t>
  </si>
  <si>
    <t>EF51|ACT43|7</t>
  </si>
  <si>
    <t>EF51|ACT41|8</t>
  </si>
  <si>
    <t>EF51|ACT42|8</t>
  </si>
  <si>
    <t>EF51|ACT43|8</t>
  </si>
  <si>
    <t>EF51|ACT41|9</t>
  </si>
  <si>
    <t>EF51|ACT42|9</t>
  </si>
  <si>
    <t>EF51|ACT43|9</t>
  </si>
  <si>
    <t>EF51|ACT41|10</t>
  </si>
  <si>
    <t>FORECAST</t>
  </si>
  <si>
    <t>담당 임원 확인 가정. 미실현</t>
  </si>
  <si>
    <t>EF51|ACT42|10</t>
  </si>
  <si>
    <t>EF51|ACT43|10</t>
  </si>
  <si>
    <t>EF51|ACT41|11</t>
  </si>
  <si>
    <t>EF51|ACT42|11</t>
  </si>
  <si>
    <t>EF51|ACT43|11</t>
  </si>
  <si>
    <t>EF51|ACT41|12</t>
  </si>
  <si>
    <t>EF51|ACT42|12</t>
  </si>
  <si>
    <t>EF51|ACT43|12</t>
  </si>
  <si>
    <t>INNONOW SC05모델손익 v0.5</t>
  </si>
  <si>
    <t>7~9월 마감 기초값은 신규 가상 실적 입력이며 기존 전망에서 복제한 시나리오 가정이다. 과제효과는 실제 추가비·월효과를 통해 반영. 모델별 고정비 배부 없이 공장합계에서 한 번 차감.</t>
  </si>
  <si>
    <t>성격</t>
  </si>
  <si>
    <t>물량</t>
  </si>
  <si>
    <t>과제전공헌이익</t>
  </si>
  <si>
    <t>Target공헌이익</t>
  </si>
  <si>
    <t>과제순효과</t>
  </si>
  <si>
    <t>갱신공헌이익</t>
  </si>
  <si>
    <t>매출</t>
  </si>
  <si>
    <t>가상실적·가정설명</t>
  </si>
  <si>
    <t>원천</t>
  </si>
  <si>
    <t>RUN51|2027-1|A-a</t>
  </si>
  <si>
    <t>원 확정실적 보존</t>
  </si>
  <si>
    <t>월별계산!E6:S6</t>
  </si>
  <si>
    <t>RUN51|2027-1|A-b</t>
  </si>
  <si>
    <t>월별계산!E7:S7</t>
  </si>
  <si>
    <t>RUN51|2027-1|A-c</t>
  </si>
  <si>
    <t>월별계산!E8:S8</t>
  </si>
  <si>
    <t>RUN51|2027-1|A-d</t>
  </si>
  <si>
    <t>월별계산!E9:S9</t>
  </si>
  <si>
    <t>RUN51|2027-1|A-e</t>
  </si>
  <si>
    <t>월별계산!E10:S10</t>
  </si>
  <si>
    <t>RUN51|2027-2|A-a</t>
  </si>
  <si>
    <t>월별계산!E11:S11</t>
  </si>
  <si>
    <t>RUN51|2027-2|A-b</t>
  </si>
  <si>
    <t>월별계산!E12:S12</t>
  </si>
  <si>
    <t>RUN51|2027-2|A-c</t>
  </si>
  <si>
    <t>월별계산!E13:S13</t>
  </si>
  <si>
    <t>RUN51|2027-2|A-d</t>
  </si>
  <si>
    <t>월별계산!E14:S14</t>
  </si>
  <si>
    <t>RUN51|2027-2|A-e</t>
  </si>
  <si>
    <t>월별계산!E15:S15</t>
  </si>
  <si>
    <t>RUN51|2027-3|A-a</t>
  </si>
  <si>
    <t>월별계산!E16:S16</t>
  </si>
  <si>
    <t>RUN51|2027-3|A-b</t>
  </si>
  <si>
    <t>월별계산!E17:S17</t>
  </si>
  <si>
    <t>RUN51|2027-3|A-c</t>
  </si>
  <si>
    <t>월별계산!E18:S18</t>
  </si>
  <si>
    <t>RUN51|2027-3|A-d</t>
  </si>
  <si>
    <t>월별계산!E19:S19</t>
  </si>
  <si>
    <t>RUN51|2027-3|A-e</t>
  </si>
  <si>
    <t>월별계산!E20:S20</t>
  </si>
  <si>
    <t>RUN51|2027-4|A-a</t>
  </si>
  <si>
    <t>월별계산!E21:S21</t>
  </si>
  <si>
    <t>RUN51|2027-4|A-b</t>
  </si>
  <si>
    <t>월별계산!E22:S22</t>
  </si>
  <si>
    <t>RUN51|2027-4|A-c</t>
  </si>
  <si>
    <t>월별계산!E23:S23</t>
  </si>
  <si>
    <t>RUN51|2027-4|A-d</t>
  </si>
  <si>
    <t>월별계산!E24:S24</t>
  </si>
  <si>
    <t>RUN51|2027-4|A-e</t>
  </si>
  <si>
    <t>월별계산!E25:S25</t>
  </si>
  <si>
    <t>RUN51|2027-5|A-a</t>
  </si>
  <si>
    <t>월별계산!E26:S26</t>
  </si>
  <si>
    <t>RUN51|2027-5|A-b</t>
  </si>
  <si>
    <t>월별계산!E27:S27</t>
  </si>
  <si>
    <t>RUN51|2027-5|A-c</t>
  </si>
  <si>
    <t>월별계산!E28:S28</t>
  </si>
  <si>
    <t>RUN51|2027-5|A-d</t>
  </si>
  <si>
    <t>월별계산!E29:S29</t>
  </si>
  <si>
    <t>RUN51|2027-5|A-e</t>
  </si>
  <si>
    <t>월별계산!E30:S30</t>
  </si>
  <si>
    <t>RUN51|2027-6|A-a</t>
  </si>
  <si>
    <t>월별계산!E31:S31</t>
  </si>
  <si>
    <t>RUN51|2027-6|A-b</t>
  </si>
  <si>
    <t>월별계산!E32:S32</t>
  </si>
  <si>
    <t>RUN51|2027-6|A-c</t>
  </si>
  <si>
    <t>월별계산!E33:S33</t>
  </si>
  <si>
    <t>RUN51|2027-6|A-d</t>
  </si>
  <si>
    <t>월별계산!E34:S34</t>
  </si>
  <si>
    <t>RUN51|2027-6|A-e</t>
  </si>
  <si>
    <t>월별계산!E35:S35</t>
  </si>
  <si>
    <t>RUN51|2027-7|A-a</t>
  </si>
  <si>
    <t>SC05 가상 마감 기초값. 원 전망과 비과제 요인 동일 가정</t>
  </si>
  <si>
    <t>월별계산!E36:S36</t>
  </si>
  <si>
    <t>RUN51|2027-7|A-b</t>
  </si>
  <si>
    <t>월별계산!E37:S37</t>
  </si>
  <si>
    <t>RUN51|2027-7|A-c</t>
  </si>
  <si>
    <t>월별계산!E38:S38</t>
  </si>
  <si>
    <t>RUN51|2027-7|A-d</t>
  </si>
  <si>
    <t>월별계산!E39:S39</t>
  </si>
  <si>
    <t>RUN51|2027-7|A-e</t>
  </si>
  <si>
    <t>월별계산!E40:S40</t>
  </si>
  <si>
    <t>RUN51|2027-8|A-a</t>
  </si>
  <si>
    <t>월별계산!E41:S41</t>
  </si>
  <si>
    <t>RUN51|2027-8|A-b</t>
  </si>
  <si>
    <t>월별계산!E42:S42</t>
  </si>
  <si>
    <t>RUN51|2027-8|A-c</t>
  </si>
  <si>
    <t>월별계산!E43:S43</t>
  </si>
  <si>
    <t>RUN51|2027-8|A-d</t>
  </si>
  <si>
    <t>월별계산!E44:S44</t>
  </si>
  <si>
    <t>RUN51|2027-8|A-e</t>
  </si>
  <si>
    <t>월별계산!E45:S45</t>
  </si>
  <si>
    <t>RUN51|2027-9|A-a</t>
  </si>
  <si>
    <t>월별계산!E46:S46</t>
  </si>
  <si>
    <t>RUN51|2027-9|A-b</t>
  </si>
  <si>
    <t>월별계산!E47:S47</t>
  </si>
  <si>
    <t>RUN51|2027-9|A-c</t>
  </si>
  <si>
    <t>월별계산!E48:S48</t>
  </si>
  <si>
    <t>RUN51|2027-9|A-d</t>
  </si>
  <si>
    <t>월별계산!E49:S49</t>
  </si>
  <si>
    <t>RUN51|2027-9|A-e</t>
  </si>
  <si>
    <t>월별계산!E50:S50</t>
  </si>
  <si>
    <t>RUN51|2027-10|A-a</t>
  </si>
  <si>
    <t>기존 물량·단가·원가 가정 유지</t>
  </si>
  <si>
    <t>월별계산!E51:S51</t>
  </si>
  <si>
    <t>RUN51|2027-10|A-b</t>
  </si>
  <si>
    <t>월별계산!E52:S52</t>
  </si>
  <si>
    <t>RUN51|2027-10|A-c</t>
  </si>
  <si>
    <t>월별계산!E53:S53</t>
  </si>
  <si>
    <t>RUN51|2027-10|A-d</t>
  </si>
  <si>
    <t>월별계산!E54:S54</t>
  </si>
  <si>
    <t>RUN51|2027-10|A-e</t>
  </si>
  <si>
    <t>월별계산!E55:S55</t>
  </si>
  <si>
    <t>RUN51|2027-11|A-a</t>
  </si>
  <si>
    <t>월별계산!E56:S56</t>
  </si>
  <si>
    <t>RUN51|2027-11|A-b</t>
  </si>
  <si>
    <t>월별계산!E57:S57</t>
  </si>
  <si>
    <t>RUN51|2027-11|A-c</t>
  </si>
  <si>
    <t>월별계산!E58:S58</t>
  </si>
  <si>
    <t>RUN51|2027-11|A-d</t>
  </si>
  <si>
    <t>월별계산!E59:S59</t>
  </si>
  <si>
    <t>RUN51|2027-11|A-e</t>
  </si>
  <si>
    <t>월별계산!E60:S60</t>
  </si>
  <si>
    <t>RUN51|2027-12|A-a</t>
  </si>
  <si>
    <t>월별계산!E61:S61</t>
  </si>
  <si>
    <t>RUN51|2027-12|A-b</t>
  </si>
  <si>
    <t>월별계산!E62:S62</t>
  </si>
  <si>
    <t>RUN51|2027-12|A-c</t>
  </si>
  <si>
    <t>월별계산!E63:S63</t>
  </si>
  <si>
    <t>RUN51|2027-12|A-d</t>
  </si>
  <si>
    <t>월별계산!E64:S64</t>
  </si>
  <si>
    <t>RUN51|2027-12|A-e</t>
  </si>
  <si>
    <t>월별계산!E65:S65</t>
  </si>
  <si>
    <t>INNONOW SC05월손익 v0.5</t>
  </si>
  <si>
    <t>RUN51의 단일 계산 결과. 1~9월 마감+10~12월 전망. 조건 충족/승인 이벤트와 관계없이 이 표는 종료 기대값이며 공식 게시 여부는 SC05전망버전으로 판정.</t>
  </si>
  <si>
    <t>과제전관리손익</t>
  </si>
  <si>
    <t>갱신관리손익</t>
  </si>
  <si>
    <t>장면4판단전망</t>
  </si>
  <si>
    <t>목표부족</t>
  </si>
  <si>
    <t>2027 마감1~9월</t>
  </si>
  <si>
    <t>2027 전망10~12월</t>
  </si>
  <si>
    <t>INNONOW SC05이전공식 v0.5</t>
  </si>
  <si>
    <t>불변 승인 이력. 입력 변경에 따라 과거 공식본을 자동 수정하지 않는다. SC04 시점에는 공식본이 아니며 9/6 이후에만 FC50으로 표시.</t>
  </si>
  <si>
    <t>version_id</t>
  </si>
  <si>
    <t>관리손익</t>
  </si>
  <si>
    <t>기록설명</t>
  </si>
  <si>
    <t>승인ID</t>
  </si>
  <si>
    <t>2027-09-06 공식 승인 가상 스냅샷. 원 장면4 검토안과 수치 동일, 별도 승인</t>
  </si>
  <si>
    <t>APR50</t>
  </si>
  <si>
    <t>INNONOW SC05전망버전 v0.5</t>
  </si>
  <si>
    <t>버전 행을 합산하지 않는다. SC05월손익은 RUN51을 한 번만 계산하며 FC51-D/FC51은 동일 산정본의 승인 단계 메타데이터. 승인 후 입력 변경은 새 RUN·버전으로 보존.</t>
  </si>
  <si>
    <t>부서확인_KST</t>
  </si>
  <si>
    <t>대표승인_KST</t>
  </si>
  <si>
    <t>실적경계</t>
  </si>
  <si>
    <t>연간손익</t>
  </si>
  <si>
    <t>SC04 검토안</t>
  </si>
  <si>
    <t>SC04월손익</t>
  </si>
  <si>
    <t>REVIEW_ONLY</t>
  </si>
  <si>
    <t>APR41-v1은 과제 포괄 승인, 공식전망 승인 아님</t>
  </si>
  <si>
    <t>종전 공식본</t>
  </si>
  <si>
    <t>HISTORY50</t>
  </si>
  <si>
    <t>APR50 / 가상 중간 Rolling 승인 근거 DOC60</t>
  </si>
  <si>
    <t>FC51-D</t>
  </si>
  <si>
    <t>이번 검토안</t>
  </si>
  <si>
    <t>REVIEWED</t>
  </si>
  <si>
    <t>부서 확인 후 10/5 17시 경영관리 제출</t>
  </si>
  <si>
    <t>FC51</t>
  </si>
  <si>
    <t>새 공식본</t>
  </si>
  <si>
    <t>APR51 / 동일 RUN51 승인본, 이력은 이벤트 시점 이후 유효</t>
  </si>
  <si>
    <t>INNONOW SC05변경대사 v0.5</t>
  </si>
  <si>
    <t>종전 공식본 대비 변화만 더한다. 장면4 승인효과 전액을 이미 반영된 공식본에 재가산하지 않는다.</t>
  </si>
  <si>
    <t>원인</t>
  </si>
  <si>
    <t>전망변화</t>
  </si>
  <si>
    <t>설명·산식 근거</t>
  </si>
  <si>
    <t>종전 공식 FC50</t>
  </si>
  <si>
    <t>9/6 승인 가상 월간 전망의 불변 합계</t>
  </si>
  <si>
    <t>9월 긴급구매 실제 5건 vs 전망4건</t>
  </si>
  <si>
    <t>9월 비용 확인으로 120만원 악화</t>
  </si>
  <si>
    <t>10월 긴급구매 전망4건 유지</t>
  </si>
  <si>
    <t>변화 없음</t>
  </si>
  <si>
    <t>11~12월 긴급구매 전망3건</t>
  </si>
  <si>
    <t>수시 공유·대행 정착 가정. 2개월 합계240만원 개선, 아직 미실현</t>
  </si>
  <si>
    <t>그 외 기간·비과제 요인</t>
  </si>
  <si>
    <t>물량·단가·기타원가 변화는 이번 가상안에서 0</t>
  </si>
  <si>
    <t>변경후 전망</t>
  </si>
  <si>
    <t>종전 공식 + 상호 배타적인 변화 원인</t>
  </si>
  <si>
    <t>RUN51 대사차이</t>
  </si>
  <si>
    <t>0이어야 함</t>
  </si>
  <si>
    <t>INNONOW SC05운영계획 v0.5</t>
  </si>
  <si>
    <t>U506의 세 과제 요약. ACT41·43 상세 운영 시연은 생략하되 근거와 확인자를 제공한다.</t>
  </si>
  <si>
    <t>경영관리확인_KST</t>
  </si>
  <si>
    <t>잔여계획</t>
  </si>
  <si>
    <t>효과가정</t>
  </si>
  <si>
    <t>진행상태</t>
  </si>
  <si>
    <t>OPL51</t>
  </si>
  <si>
    <t>10월4건, 11·12월3건으로 긴급구매 관리. 매주 미확인·대행 처리 점검</t>
  </si>
  <si>
    <t>11~12월3건은 9월5건 실적에서 자동 추정하지 않음. 담당 임원의 개선 가정</t>
  </si>
  <si>
    <t>9/30 정규 운영 인계 완료. 운영·효과 추적 지속</t>
  </si>
  <si>
    <t>DOC58;DOC59;AG56</t>
  </si>
  <si>
    <t>OPL52</t>
  </si>
  <si>
    <t>10~12월 매월3,000대분 외주조정 유지</t>
  </si>
  <si>
    <t>실제 회피 변동비15,000−외주8,000−물류1,000. 고정비370백만원/월 유지</t>
  </si>
  <si>
    <t>8/31 공정 전환 인계 완료, 품질·납기 모니터링 지속</t>
  </si>
  <si>
    <t>OPL53</t>
  </si>
  <si>
    <t>10~12월 매월6,000개 대체업체 공급</t>
  </si>
  <si>
    <t>기존5,000−대체4,500−물류100. 해당 품목 절감은 ACT43만 반영</t>
  </si>
  <si>
    <t>9/28 검증 완료·10/1 적용. 10/29 안정화 확인 예정</t>
  </si>
  <si>
    <t>INNONOW SC05근거 v0.5</t>
  </si>
  <si>
    <t>실제 외부 문서가 아닌 시연 본문. 시간상 뒤에 추가된 확인 결과는 이전 시점 화면에 노출하지 않는다. 개별 원천 건·승인 시각은 이벤트/구매표본을 우선한다.</t>
  </si>
  <si>
    <t>가상 증빙 본문</t>
  </si>
  <si>
    <t>공동 운영 기준</t>
  </si>
  <si>
    <t>PL51-v2;CON41</t>
  </si>
  <si>
    <t>생산은 접수 후60분 이내 공유, 구매는 공유 후120분 이내 내용 확인. 부재 시 USR-BUY2가 대행. 지연 시 EX-BUY·EX-PROD 통보. 야간 접수는 지정 당직 대행자가 처리.</t>
  </si>
  <si>
    <t>생산 협조·대행 배정</t>
  </si>
  <si>
    <t>SUP41;PL51-v2</t>
  </si>
  <si>
    <t>생산 변경 창구 USR-PROD 지정. 구매 대행 USR-BUY2(가상 구매 담당) 지정. 정례회의 이후 변경도 동일 창구로 공유.</t>
  </si>
  <si>
    <t>준비비 정산</t>
  </si>
  <si>
    <t>REQ51;TX54</t>
  </si>
  <si>
    <t>8/19 내부 기준 교육은 추가지출 없음. 8/20 품의 승인 후8/23 외부 운영검증 수행. 검증비200만원을8/31 집행·비용 인식. 일회성 한도600만원 내.</t>
  </si>
  <si>
    <t>부분 공정 적용 확인</t>
  </si>
  <si>
    <t>ACT41;REQ52</t>
  </si>
  <si>
    <t>7월 전환비400만원, 8·9월 각각3,000대분 적용. 8/31 운영 인계 완료. 품질·납기 이상 없음. 고정비 회피는 0. 10~12월 동일 조건 전망.</t>
  </si>
  <si>
    <t>대체 공급업체 적용 확인</t>
  </si>
  <si>
    <t>ACT43;REQ53</t>
  </si>
  <si>
    <t>9월 검증비100만원. 기존 승인 범위 내 품목·공급능력·품질 확인. 10월부터 월6,000개 적용, 추가물류100원. 10/29 안정화 확인 예정.</t>
  </si>
  <si>
    <t>고객 계획·정상 대응</t>
  </si>
  <si>
    <t>CP51;CH51</t>
  </si>
  <si>
    <t>CP51 고객계획: 9월 월합계 변동 없이 구간별 납품시점 변경. CH51 영향200대분은 재고80·기발주120으로 대응하는 담당자 검토를11시에 확정. 대표 주문PO51-001과 영향량은 서로 다른 집계 단위.</t>
  </si>
  <si>
    <t>긴급 예외</t>
  </si>
  <si>
    <t>CH52;PO51-010</t>
  </si>
  <si>
    <t>CH52 필요9/13, 정상조달9/15. 긴급운송90만원·할증30만원을 요청.13시 구매 임원 승인 후 발주.</t>
  </si>
  <si>
    <t>9월 초기 실행 확인</t>
  </si>
  <si>
    <t>SC05구매표본;OP51</t>
  </si>
  <si>
    <t>60건 중 긴급5건, 추가비600만원, 지원비20만원. 비교 기준14.4백만원 대비 추정 순개선8.2백만원. 납기·품질 60건 확인 결과 이상0. 공유·확인 관측은6건.</t>
  </si>
  <si>
    <t>정규 운영 인계</t>
  </si>
  <si>
    <t>ACT42;PL51-v2</t>
  </si>
  <si>
    <t>기준·담당·대행·알림이 운영에 적용되어 9/30 인계. 실적 마감 및 연간 효과 확인은 별도. 담당 임원이 10/29 후속 성과 점검.</t>
  </si>
  <si>
    <t>DOC60</t>
  </si>
  <si>
    <t>이전 공식 월간 전망</t>
  </si>
  <si>
    <t>FC50;APR50</t>
  </si>
  <si>
    <t>8월 마감 기준. CON41·SUP41 충족, ACT42 9월 적용을 확인하여 기존 판단 가정을 유지한 월간 전망 승인. 장면4 원 검토안은 변경하지 않음.</t>
  </si>
  <si>
    <t>DOC61</t>
  </si>
  <si>
    <t>신규 공식 전망 승인</t>
  </si>
  <si>
    <t>FC51;APR51</t>
  </si>
  <si>
    <t>9월 실적은 긴급5건으로 확인. 10월4건, 11~12월3건은 개선 가정으로 관리. Target 유지, 남는 미달 가능성은 추가과제 및 후속 점검으로 대응.</t>
  </si>
  <si>
    <t>DOC62</t>
  </si>
  <si>
    <t>추가과제 검토 경과</t>
  </si>
  <si>
    <t>8/9 검토기한에 추가 후보 조사 진행상황 보고 완료. 수량·원가 근거 미확정으로 효과 미산정. 10/29 후속 검토로 연결하며 미정 효과는 Forecast에 포함하지 않음.</t>
  </si>
  <si>
    <t>내부 교육 준비 확인</t>
  </si>
  <si>
    <t>CON41;REQ51</t>
  </si>
  <si>
    <t>내부 교육 및 담당·대행 경로 점검 완료. 추가지출 없음. 외부 운영검증비200만원은8/20 품의 승인 후 집행 예정.</t>
  </si>
  <si>
    <t>공정 전환 품의 근거</t>
  </si>
  <si>
    <t>전환 준비비400만원 요청. 회피 변동비와 외주·물류비 기준 확인.8월 적용 계획.</t>
  </si>
  <si>
    <t>공정 전환비 정산</t>
  </si>
  <si>
    <t>승인된 전환 준비비400만원 집행 및7월 비용 인식.</t>
  </si>
  <si>
    <t>DOC54-H</t>
  </si>
  <si>
    <t>공정 운영 인계</t>
  </si>
  <si>
    <t>공정 전환 및 정규 운영 인계 완료. 월별 품질·납기·효과 추적 지속.</t>
  </si>
  <si>
    <t>공급업체 검증 품의 근거</t>
  </si>
  <si>
    <t>기승인 공급업체의 이번 적용 범위 검증비100만원 요청.10월 적용 계획.</t>
  </si>
  <si>
    <t>고객 추가 요청창</t>
  </si>
  <si>
    <t>CP52;CH52</t>
  </si>
  <si>
    <t>9월 월합계 유지. 별도 요청창의120대분 납품시점 조정. 기존 월계획에120을 재가산하지 않음.</t>
  </si>
  <si>
    <t>INNONOW SC05Agent v0.5</t>
  </si>
  <si>
    <t>사용자 참고 의견 반영: Agent 산출물과 사람 수정·확정·승인을 분리 표시. 여기의 사람확인은 제안 검토이며 공식 업무 승인을 자동 대체하지 않는다.</t>
  </si>
  <si>
    <t>agent_run</t>
  </si>
  <si>
    <t>시연·화면</t>
  </si>
  <si>
    <t>실행_KST</t>
  </si>
  <si>
    <t>입력근거</t>
  </si>
  <si>
    <t>Agent가 수행한 일</t>
  </si>
  <si>
    <t>제안 출력</t>
  </si>
  <si>
    <t>담당자 수정·판단</t>
  </si>
  <si>
    <t>사람확인자</t>
  </si>
  <si>
    <t>최종연결</t>
  </si>
  <si>
    <t>AG51</t>
  </si>
  <si>
    <t>D502 / U502</t>
  </si>
  <si>
    <t>APR41-v1;CON41;SUP41</t>
  </si>
  <si>
    <t>승인 과제를 활동·선행관계·담당·비용으로 구체화</t>
  </si>
  <si>
    <t>교육8/18, 공동 기준 작성·창구 지정·착수·초기 확인 계획 초안</t>
  </si>
  <si>
    <t>구매 담당이 실제 협조 담당과 일정을 조정하고 생산 협의사항 추가</t>
  </si>
  <si>
    <t>MODIFIED_BY_HUMAN</t>
  </si>
  <si>
    <t>AG52</t>
  </si>
  <si>
    <t>D505 / U502</t>
  </si>
  <si>
    <t>PL51-v1;협의 메모</t>
  </si>
  <si>
    <t>기존 계획과 적용 애로를 비교해 누락 활동 제안</t>
  </si>
  <si>
    <t>부재 대행·수시 확인 경로와 교육 순서 보완 제안</t>
  </si>
  <si>
    <t>구매 담당이 교육을8/19로 조정. 구매 임원이 변경 확정하고 경영관리 확인</t>
  </si>
  <si>
    <t>AG53</t>
  </si>
  <si>
    <t>D507 / U503</t>
  </si>
  <si>
    <t>DOC51;DOC52;DOC53-P</t>
  </si>
  <si>
    <t>조건별 준비 자료와 확인자 누락 점검</t>
  </si>
  <si>
    <t>CON41·SUP41 근거 연결 가능, 임원 확인 대기 표시</t>
  </si>
  <si>
    <t>임원이 실제 공동 기준과 지원 이행을 읽고 별도 확인 동작 수행</t>
  </si>
  <si>
    <t>AG54</t>
  </si>
  <si>
    <t>D510 / U504</t>
  </si>
  <si>
    <t>변경 모델·납품 구간·필요일을 원문에서 요약</t>
  </si>
  <si>
    <t>b모델 구간 조정, 월합계 불변, 구매 확인 요청 초안</t>
  </si>
  <si>
    <t>생산 담당이 원문과 수량을 확인한 뒤9:25 공유</t>
  </si>
  <si>
    <t>ACCEPTED_BY_HUMAN</t>
  </si>
  <si>
    <t>AG55</t>
  </si>
  <si>
    <t>D513 / U505</t>
  </si>
  <si>
    <t>구매60건;변경6건;OP51</t>
  </si>
  <si>
    <t>긴급비용·지연·납기·품질 집계와 비교 설명 작성</t>
  </si>
  <si>
    <t>9월 긴급5건, 비교 순개선8.2백만원, 확인 지연1건</t>
  </si>
  <si>
    <t>구매 담당이 추가비와 지원비 범위를 확인. 임원이 초기 결과 확인</t>
  </si>
  <si>
    <t>AG56</t>
  </si>
  <si>
    <t>D514 / U506</t>
  </si>
  <si>
    <t>DOC58;PL51-v2</t>
  </si>
  <si>
    <t>지연 원인과 잔여기간 대안 정리</t>
  </si>
  <si>
    <t>10월4건 관리 및 확인 지연 재발 점검 제안</t>
  </si>
  <si>
    <t>구매 임원이11~12월3건 목표 운영 가정을 추가. 미실현 가정임을 명시</t>
  </si>
  <si>
    <t>AG57</t>
  </si>
  <si>
    <t>D515 / U507</t>
  </si>
  <si>
    <t>마감자료;OPL51~53;FC50</t>
  </si>
  <si>
    <t>중복 효과·기간 경계 점검, 전망 변경 설명 초안</t>
  </si>
  <si>
    <t>9월120만원 악화,11~12월240만원 개선 가정으로 순120만원 상향</t>
  </si>
  <si>
    <t>경영관리 담당이 대사 확인 후 작성. 담당 임원 확인 및 대표 승인은 별도</t>
  </si>
  <si>
    <t>RUN51;FC51-D</t>
  </si>
  <si>
    <t>AG58</t>
  </si>
  <si>
    <t>D518 / U508</t>
  </si>
  <si>
    <t>FC51;DIR41;실행 이력</t>
  </si>
  <si>
    <t>남은 위험과 후속 확인 담당·기한 누락 점검</t>
  </si>
  <si>
    <t>목표 미달 가능성 유지, 추가과제와11~12월 가정 재점검 안내</t>
  </si>
  <si>
    <t>경영관리 임원이 후속 책임·기한 확정 후 장면 인계</t>
  </si>
  <si>
    <t>HANDOFF51</t>
  </si>
  <si>
    <t>INNONOW SC05이벤트 v0.5</t>
  </si>
  <si>
    <t>초기 7/13 10시에는 원 SC04인계만 유효. 이 표와 원천 레코드의 발생/확인 시각으로 상태를 재생한다. 미래 최종상태를 초기 적재 금지. BACKGROUND는 상세 시연 생략.</t>
  </si>
  <si>
    <t>EV51-01</t>
  </si>
  <si>
    <t>U501</t>
  </si>
  <si>
    <t>장면5 착수</t>
  </si>
  <si>
    <t>PLAN_PENDING</t>
  </si>
  <si>
    <t>D501</t>
  </si>
  <si>
    <t>EV51-02</t>
  </si>
  <si>
    <t>AGENT</t>
  </si>
  <si>
    <t>U502</t>
  </si>
  <si>
    <t>계획 초안 제안</t>
  </si>
  <si>
    <t>PROPOSED</t>
  </si>
  <si>
    <t>D502</t>
  </si>
  <si>
    <t>EV51-03</t>
  </si>
  <si>
    <t>초안 수정·저장</t>
  </si>
  <si>
    <t>EV51-04</t>
  </si>
  <si>
    <t>생산 협조 확인</t>
  </si>
  <si>
    <t>COORDINATED</t>
  </si>
  <si>
    <t>D503</t>
  </si>
  <si>
    <t>EV51-05</t>
  </si>
  <si>
    <t>계획 확정</t>
  </si>
  <si>
    <t>D504</t>
  </si>
  <si>
    <t>EV51-06</t>
  </si>
  <si>
    <t>경영관리 확인</t>
  </si>
  <si>
    <t>VERIFIED_START_WAIT</t>
  </si>
  <si>
    <t>EV51-07</t>
  </si>
  <si>
    <t>U503</t>
  </si>
  <si>
    <t>배경 품의 승인</t>
  </si>
  <si>
    <t>BACKGROUND</t>
  </si>
  <si>
    <t>EV51-08</t>
  </si>
  <si>
    <t>ACT41 적용</t>
  </si>
  <si>
    <t>EV51-09</t>
  </si>
  <si>
    <t>U508</t>
  </si>
  <si>
    <t>추가 후보 진행 검토</t>
  </si>
  <si>
    <t>EV51-10</t>
  </si>
  <si>
    <t>준비 중 계획 변경 요청</t>
  </si>
  <si>
    <t>CHANGE_REQUESTED</t>
  </si>
  <si>
    <t>D505</t>
  </si>
  <si>
    <t>EV51-11</t>
  </si>
  <si>
    <t>변경 협조 확인</t>
  </si>
  <si>
    <t>D506</t>
  </si>
  <si>
    <t>EV51-12</t>
  </si>
  <si>
    <t>범위 내 변경 확정</t>
  </si>
  <si>
    <t>EV51-13</t>
  </si>
  <si>
    <t>변경 확인</t>
  </si>
  <si>
    <t>EV51-14</t>
  </si>
  <si>
    <t>조건 근거 등록</t>
  </si>
  <si>
    <t>EVIDENCE_READY</t>
  </si>
  <si>
    <t>D507</t>
  </si>
  <si>
    <t>EV51-15</t>
  </si>
  <si>
    <t>양 부서 준비 확인</t>
  </si>
  <si>
    <t>EV51-16</t>
  </si>
  <si>
    <t>조건 충족 확인</t>
  </si>
  <si>
    <t>EV51-17</t>
  </si>
  <si>
    <t>지원 이행 확인</t>
  </si>
  <si>
    <t>EV51-18</t>
  </si>
  <si>
    <t>품의 상신</t>
  </si>
  <si>
    <t>D508</t>
  </si>
  <si>
    <t>EV51-19</t>
  </si>
  <si>
    <t>현업 승인</t>
  </si>
  <si>
    <t>FUNCTION_APPROVED</t>
  </si>
  <si>
    <t>EV51-20</t>
  </si>
  <si>
    <t>예산 승인</t>
  </si>
  <si>
    <t>EV51-21</t>
  </si>
  <si>
    <t>운영비 승인</t>
  </si>
  <si>
    <t>EV51-22</t>
  </si>
  <si>
    <t>운영 적용 착수</t>
  </si>
  <si>
    <t>D509</t>
  </si>
  <si>
    <t>PL51-v2;CON41;SUP41;REQ51;OP51</t>
  </si>
  <si>
    <t>EV51-23</t>
  </si>
  <si>
    <t>U504</t>
  </si>
  <si>
    <t>고객 변경 접수</t>
  </si>
  <si>
    <t>D510</t>
  </si>
  <si>
    <t>EV51-24</t>
  </si>
  <si>
    <t>생산 공유</t>
  </si>
  <si>
    <t>SHARED</t>
  </si>
  <si>
    <t>EV51-25</t>
  </si>
  <si>
    <t>구매 확인</t>
  </si>
  <si>
    <t>ACKNOWLEDGED</t>
  </si>
  <si>
    <t>EV51-26</t>
  </si>
  <si>
    <t>정상 대응 결정</t>
  </si>
  <si>
    <t>NORMAL_DECIDED</t>
  </si>
  <si>
    <t>D511</t>
  </si>
  <si>
    <t>EV51-27</t>
  </si>
  <si>
    <t>정상 발주 기록</t>
  </si>
  <si>
    <t>EXECUTED</t>
  </si>
  <si>
    <t>EV51-28</t>
  </si>
  <si>
    <t>U507</t>
  </si>
  <si>
    <t>중간 월간 공식전망 승인</t>
  </si>
  <si>
    <t>EV51-29</t>
  </si>
  <si>
    <t>긴급 대상 접수</t>
  </si>
  <si>
    <t>D512</t>
  </si>
  <si>
    <t>EV51-30</t>
  </si>
  <si>
    <t>EV51-31</t>
  </si>
  <si>
    <t>EV51-32</t>
  </si>
  <si>
    <t>긴급 예외 기안</t>
  </si>
  <si>
    <t>EV51-33</t>
  </si>
  <si>
    <t>긴급 예외 승인</t>
  </si>
  <si>
    <t>EV51-34</t>
  </si>
  <si>
    <t>긴급 발주 기록</t>
  </si>
  <si>
    <t>EV51-35</t>
  </si>
  <si>
    <t>SYSTEM</t>
  </si>
  <si>
    <t>확인 지연 알림</t>
  </si>
  <si>
    <t>NOTIFIED_EX_BUY</t>
  </si>
  <si>
    <t>EV51-36</t>
  </si>
  <si>
    <t>정규 운영 인계 확인</t>
  </si>
  <si>
    <t>OPERATING_MONITORING</t>
  </si>
  <si>
    <t>EV51-37</t>
  </si>
  <si>
    <t>U505</t>
  </si>
  <si>
    <t>초기 결과 확인</t>
  </si>
  <si>
    <t>D513</t>
  </si>
  <si>
    <t>EV51-38</t>
  </si>
  <si>
    <t>U506</t>
  </si>
  <si>
    <t>구매 운영계획 확정</t>
  </si>
  <si>
    <t>D514</t>
  </si>
  <si>
    <t>EV51-39</t>
  </si>
  <si>
    <t>ACT41 운영계획 확인</t>
  </si>
  <si>
    <t>EV51-40</t>
  </si>
  <si>
    <t>ACT43 운영계획 확인</t>
  </si>
  <si>
    <t>EV51-41</t>
  </si>
  <si>
    <t>부서 운영계획 확인 완료</t>
  </si>
  <si>
    <t>OPL51;OPL52;OPL53</t>
  </si>
  <si>
    <t>EV51-42</t>
  </si>
  <si>
    <t>전망 작성·대사</t>
  </si>
  <si>
    <t>D515</t>
  </si>
  <si>
    <t>RUN51;AG57</t>
  </si>
  <si>
    <t>EV51-43</t>
  </si>
  <si>
    <t>구매 가정 확인</t>
  </si>
  <si>
    <t>BUY_CONFIRMED</t>
  </si>
  <si>
    <t>D516</t>
  </si>
  <si>
    <t>EV51-44</t>
  </si>
  <si>
    <t>생산 가정 확인</t>
  </si>
  <si>
    <t>PROD_CONFIRMED</t>
  </si>
  <si>
    <t>EV51-45</t>
  </si>
  <si>
    <t>판매 물량 가정 확인</t>
  </si>
  <si>
    <t>DEPTS_CONFIRMED</t>
  </si>
  <si>
    <t>EV51-46</t>
  </si>
  <si>
    <t>대표 승인 요청</t>
  </si>
  <si>
    <t>EV51-47</t>
  </si>
  <si>
    <t>공식 Forecast 승인</t>
  </si>
  <si>
    <t>D517</t>
  </si>
  <si>
    <t>EV51-48</t>
  </si>
  <si>
    <t>공식본 게시·공유</t>
  </si>
  <si>
    <t>PUBLISHED</t>
  </si>
  <si>
    <t>EV51-49</t>
  </si>
  <si>
    <t>장면 인계 완료</t>
  </si>
  <si>
    <t>SC05_COMPLETED</t>
  </si>
  <si>
    <t>D518</t>
  </si>
  <si>
    <t>INNONOW SC05인계 v0.5</t>
  </si>
  <si>
    <t>RISK51은 기존 검토건 위험의 장면5 상태 참조이며 신규 중복 위험을 생성하지 않는다. 과제 기한 도래만으로 완료하지 않고 실제 인계 근거를 표시.</t>
  </si>
  <si>
    <t>id</t>
  </si>
  <si>
    <t>종료기준·남는사항</t>
  </si>
  <si>
    <t>후속기한_KST</t>
  </si>
  <si>
    <t>기대효과</t>
  </si>
  <si>
    <t>SC05</t>
  </si>
  <si>
    <t>확정 계획·조건·품의·착수·초기 결과·공식 전망·후속 책임 연결</t>
  </si>
  <si>
    <t>COMPLETED</t>
  </si>
  <si>
    <t>FUP51</t>
  </si>
  <si>
    <t>정규 운영 인계는9/30 완료. 10월4건·11~12월3건 가정 및 지연1건 재발 점검</t>
  </si>
  <si>
    <t>FUP52</t>
  </si>
  <si>
    <t>공정 전환 인계 완료 후 품질·납기·외주 조건 월별 확인</t>
  </si>
  <si>
    <t>FUP53</t>
  </si>
  <si>
    <t>10월 적용 후 안정화 확인, 기존 완료기한10/29 유지</t>
  </si>
  <si>
    <t>추가과제</t>
  </si>
  <si>
    <t>8/9 진행 검토 이행 후 후보 조사 지속. 근거 미확정 효과는 미산정</t>
  </si>
  <si>
    <t>RISK51</t>
  </si>
  <si>
    <t>기존 MR-2706-01 위험 연결</t>
  </si>
  <si>
    <t>목표 미달 가능성과 미실현 전망 위험 유지</t>
  </si>
  <si>
    <t>INNONOW SC05착수조건 v0.5</t>
  </si>
  <si>
    <t>모든 항목은 필요한 요건의 0/1이며 6개 전부 충족해야 한다. 단순 완료율 기준이 아니다. 준비 완료와 실제 운영 적용일 도래도 구분.</t>
  </si>
  <si>
    <t>기준_KST</t>
  </si>
  <si>
    <t>계획확정</t>
  </si>
  <si>
    <t>관리확인</t>
  </si>
  <si>
    <t>준비상태</t>
  </si>
  <si>
    <t>착수허용</t>
  </si>
  <si>
    <t>GT51</t>
  </si>
  <si>
    <t>계획만 확정·확인</t>
  </si>
  <si>
    <t>GT52</t>
  </si>
  <si>
    <t>조건 충족, 품의 미승인</t>
  </si>
  <si>
    <t>GT53</t>
  </si>
  <si>
    <t>일회성 품의 승인, 필요한 운영비 품의 대기</t>
  </si>
  <si>
    <t>GT54</t>
  </si>
  <si>
    <t>모든 요건 충족, 적용일9/1 대기</t>
  </si>
  <si>
    <t>GT55</t>
  </si>
  <si>
    <t>실제 적용 착수</t>
  </si>
  <si>
    <t>INNONOW SC05예외 v0.5</t>
  </si>
  <si>
    <t>BASE를 복제한 단독 검증용 fixture. 예외 행을 거래·손익 데이터에 합산하지 않는다. 실제 개발 동작 검증은 구현 후 수행.</t>
  </si>
  <si>
    <t>복제기준</t>
  </si>
  <si>
    <t>보존할 기준</t>
  </si>
  <si>
    <t>X501</t>
  </si>
  <si>
    <t>조건 완료 후 품의 미승인 상태에서 착수 시도</t>
  </si>
  <si>
    <t>WAIT / 착수 차단</t>
  </si>
  <si>
    <t>계획수립·협의 이력은 유지</t>
  </si>
  <si>
    <t>X502</t>
  </si>
  <si>
    <t>PL51-v2 변경요청</t>
  </si>
  <si>
    <t>일회성 총괄한도 초과 변경안</t>
  </si>
  <si>
    <t>시행 보류·별도 대표 승인 필요. 기본 시연에는 실행하지 않음</t>
  </si>
  <si>
    <t>APR41-v1과 기존 계획 보존</t>
  </si>
  <si>
    <t>X503</t>
  </si>
  <si>
    <t>CH54 공유 직후</t>
  </si>
  <si>
    <t>구매확인 시각 NULL</t>
  </si>
  <si>
    <t>미확인, 평균에서 미확인 건 제외하고 미확인 건수 별도 표시</t>
  </si>
  <si>
    <t>0분으로 치환 금지</t>
  </si>
  <si>
    <t>X504</t>
  </si>
  <si>
    <t>PO51-010 승인 전</t>
  </si>
  <si>
    <t>긴급 예외 승인 미완료</t>
  </si>
  <si>
    <t>발주 실행 완료 차단</t>
  </si>
  <si>
    <t>실제 비용·실적 자동 생성 금지</t>
  </si>
  <si>
    <t>X505</t>
  </si>
  <si>
    <t>담당 임원 확인 하나 누락</t>
  </si>
  <si>
    <t>대표 승인요청 보완</t>
  </si>
  <si>
    <t>FC50 공식본 유지</t>
  </si>
  <si>
    <t>X506</t>
  </si>
  <si>
    <t>기존 승인효과127.8백만원을 FC50에 재가산</t>
  </si>
  <si>
    <t>중복 반영 대사 불일치, 승인 보완</t>
  </si>
  <si>
    <t>이전 공식본·장면4 검토안 분리</t>
  </si>
  <si>
    <t>X507</t>
  </si>
  <si>
    <t>FC51 대표 검토</t>
  </si>
  <si>
    <t>반려</t>
  </si>
  <si>
    <t>FC51-D 보완 요청. FC50 유지</t>
  </si>
  <si>
    <t>Target 유지</t>
  </si>
  <si>
    <t>X508</t>
  </si>
  <si>
    <t>11월 긴급전망 3→4</t>
  </si>
  <si>
    <t>11월·연간 전망120만원 감소, 목표부족120만원 증가</t>
  </si>
  <si>
    <t>마감Actual 불변. 새 전망 버전 필요</t>
  </si>
  <si>
    <t>X509</t>
  </si>
  <si>
    <t>구매표본</t>
  </si>
  <si>
    <t>주문ID 중복 또는 비용 미확인</t>
  </si>
  <si>
    <t>중복·누락 노출, 해당 집계 확정 보완</t>
  </si>
  <si>
    <t>0원 정상 또는 성공상태로 은폐 금지</t>
  </si>
  <si>
    <t>INNONOW SC05데이터계약 v0.5</t>
  </si>
  <si>
    <t>업무 데이터 계약. API·권한·동시성·실제 화면 처리의 상세는 다음 구현명세에서 작성. 정합성 검증표는 계산 입력으로 사용하지 않는다.</t>
  </si>
  <si>
    <t>키·자료형</t>
  </si>
  <si>
    <t>적재·계산·표시 규칙</t>
  </si>
  <si>
    <t>화면·참조</t>
  </si>
  <si>
    <t>데이터 범위</t>
  </si>
  <si>
    <t>원45개 시트는 수정하지 않고 SC05 시트를 추가. 금액 원·VAT 제외, 업무일시 KST. 업무연도2027.</t>
  </si>
  <si>
    <t>초기·최종 상태</t>
  </si>
  <si>
    <t>event_id TEXT PK; as_of DATETIME</t>
  </si>
  <si>
    <t>기본 종료 기대값과 초기 적재를 구분. 7/13 10시에는 HANDOFF41만 유효. 시각 이전 생성·확인·승인·마감 결과는 조회에서 제외한다.</t>
  </si>
  <si>
    <t>SC05이벤트 / D501~518</t>
  </si>
  <si>
    <t>계획·활동</t>
  </si>
  <si>
    <t>plan_id PK; plan_id+activity_id PK</t>
  </si>
  <si>
    <t>v1/v2 활동은 버전 이력. 최신 확정·확인된 계획 선택. 구버전 활동·비용 합산 금지. 변경 전후는 비교 표시.</t>
  </si>
  <si>
    <t>조건·품의</t>
  </si>
  <si>
    <t>record_id PK, task_id FK</t>
  </si>
  <si>
    <t>CON41·SUP41 원 ID 유지. REQ51/OP51의 승인 이력과 실제 착수 분리. U503에서 한 화면 탭으로 처리.</t>
  </si>
  <si>
    <t>U503 / 사용자 참고 의견</t>
  </si>
  <si>
    <t>txn_id PK; request_ref FK</t>
  </si>
  <si>
    <t>COMMIT는 약정 증가, SETTLE은 약정 감소·집행 증가. ONEOFF와OPERATING 분리. 과거 한도여력에는 미약정 예정액 포함, 새 사용가능액 정의와 구별.</t>
  </si>
  <si>
    <t>SC05예산</t>
  </si>
  <si>
    <t>고객 계획</t>
  </si>
  <si>
    <t>plan_ref+model_id PK</t>
  </si>
  <si>
    <t>CP51·CP52는 월합계 보존한 서로 다른 요청창의 비교 사례. 반복 합산 금지. 세부 구간은 일자 범위를 구현명세에서 표시.</t>
  </si>
  <si>
    <t>U504 / a~e 배경 모델</t>
  </si>
  <si>
    <t>변경·주문</t>
  </si>
  <si>
    <t>change_id PK; order_id PK</t>
  </si>
  <si>
    <t>변경6건과 구매60건은 다른 모집단. 60건 수량은9785개. 대표 change_ref의 영향수량과 개별 발주량은 같다고 가정하지 않음.</t>
  </si>
  <si>
    <t>U504~505</t>
  </si>
  <si>
    <t>가상 Actual</t>
  </si>
  <si>
    <t>월+model_id / numeric</t>
  </si>
  <si>
    <t>1~6월 원실적 보존. 7~9월 과제전 기초금액은 기존 전망과 동일하게 설정한 신규 가상 마감 값. 실제 고객 장부가 아님. 추가비·일회성·지원비를 월효과에서 조정.</t>
  </si>
  <si>
    <t>SC05모델손익</t>
  </si>
  <si>
    <t>모델별 CM 집계 후 월 고정비370백만원을 한 번 차감. 본사비·금융비·세금 제외. 전사 손익으로 표시하지 않음.</t>
  </si>
  <si>
    <t>성과 가정</t>
  </si>
  <si>
    <t>월+task_id PK</t>
  </si>
  <si>
    <t>초기8.2백만원은 정규화 비교기준 대비 추정 순개선. Q4 긴급건4·3·3은 임원 확인 전망이며9월5건에서 자동 확정하지 않음.</t>
  </si>
  <si>
    <t>SC05월효과</t>
  </si>
  <si>
    <t>전망 버전</t>
  </si>
  <si>
    <t>version_id PK; run_id FK</t>
  </si>
  <si>
    <t>FC50는 신규 가상 중간 승인 이력. FC51-D와FC51은 동일RUN51의 상태 변경이며 버전 합산 금지. 승인 후 수정 시 새RUN·승인버전 생성.</t>
  </si>
  <si>
    <t>SC05전망버전</t>
  </si>
  <si>
    <t>NULL·0</t>
  </si>
  <si>
    <t>nullable numeric</t>
  </si>
  <si>
    <t>미산정 추가과제 효과는NULL, 실제 확인한 이상0건은 숫자0. 빈 값을 집계 성공 또는0원으로 치환하지 않음.</t>
  </si>
  <si>
    <t>DIR41 / 초기지표</t>
  </si>
  <si>
    <t>Agent·사람</t>
  </si>
  <si>
    <t>agent_run PK; actor FK</t>
  </si>
  <si>
    <t>제안·근거·사람 수정·확인·업무승인을 분리. 기존USR/EX역할 유지, USR-BUY2는 신규 구매 대행. Agent는 승인권한 없음.</t>
  </si>
  <si>
    <t>SC05Agent / P508 의견 반영</t>
  </si>
  <si>
    <t>검토·근거</t>
  </si>
  <si>
    <t>파일·Sheet·ID</t>
  </si>
  <si>
    <t>원천: SC04통합데이터v0.4 수정본(2026-10-23), SC05업무설계v0.2, 화면구성v0.2. 신규 표본·일정·금액은 가상 제안이며 사용자 검토 대상.</t>
  </si>
  <si>
    <t>SC05요약 및 원본 시트</t>
  </si>
  <si>
    <t>INNONOW SC05검증 v0.5</t>
  </si>
  <si>
    <t>기본안 기대값과 수식 대사. 입력 변경 시 기대값과 달라질 수 있다. 개발 기능 검증이 아닌 데이터·산식 검증이다. 검증표를 계산 입력으로 사용하지 않는다.</t>
  </si>
  <si>
    <t>기본안 기대값</t>
  </si>
  <si>
    <t>CK501</t>
  </si>
  <si>
    <t>기존 기준 연간손익</t>
  </si>
  <si>
    <t>CK502</t>
  </si>
  <si>
    <t>장면4 판단효과 보존</t>
  </si>
  <si>
    <t>CK503</t>
  </si>
  <si>
    <t>CK504</t>
  </si>
  <si>
    <t>9월 실제 추가비</t>
  </si>
  <si>
    <t>CK505</t>
  </si>
  <si>
    <t>CK506</t>
  </si>
  <si>
    <t>주문 수량 대사</t>
  </si>
  <si>
    <t>CK507</t>
  </si>
  <si>
    <t>SC05 연간 과제효과</t>
  </si>
  <si>
    <t>CK508</t>
  </si>
  <si>
    <t>새 공식 연간손익</t>
  </si>
  <si>
    <t>CK509</t>
  </si>
  <si>
    <t>남는 연간 목표부족</t>
  </si>
  <si>
    <t>CK510</t>
  </si>
  <si>
    <t>CK511</t>
  </si>
  <si>
    <t>전망변경 대사차이</t>
  </si>
  <si>
    <t>CK512</t>
  </si>
  <si>
    <t>실제·잔여전망 합계차이</t>
  </si>
  <si>
    <t>CK513</t>
  </si>
  <si>
    <t>공장 연간 고정비</t>
  </si>
  <si>
    <t>CK514</t>
  </si>
  <si>
    <t>고정비 절감</t>
  </si>
  <si>
    <t>CK515</t>
  </si>
  <si>
    <t>일회성 집행누계</t>
  </si>
  <si>
    <t>CK516</t>
  </si>
  <si>
    <t>일회성 미집행약정</t>
  </si>
  <si>
    <t>CK517</t>
  </si>
  <si>
    <t>일회성 사용가능액</t>
  </si>
  <si>
    <t>CK518</t>
  </si>
  <si>
    <t>고객 계획 월수량 변화</t>
  </si>
  <si>
    <t>CK519</t>
  </si>
  <si>
    <t>조건 충족만으로 착수 허용 안함</t>
  </si>
  <si>
    <t>WAIT</t>
  </si>
  <si>
    <t>CK520</t>
  </si>
  <si>
    <t>적용일 도래 후 착수 허용</t>
  </si>
  <si>
    <t>START_ALLOWED</t>
  </si>
  <si>
    <t>CK521</t>
  </si>
  <si>
    <t>확인 지연건수</t>
  </si>
  <si>
    <t>CK522</t>
  </si>
  <si>
    <t>공식본 vs 계산본 대사</t>
  </si>
  <si>
    <t>CK523</t>
  </si>
  <si>
    <t>9월 구매수량 vs 원천</t>
  </si>
  <si>
    <t>CK524</t>
  </si>
  <si>
    <t>과제효과 모델별 집계 대사</t>
  </si>
  <si>
    <t>INNONOW SC06요약 v0.6</t>
  </si>
  <si>
    <t>SC06부터 검토. 기존71개 시트와 FC51 보존. 가상 2027 Q4, 원·VAT 제외·KST. 새 데이터는 시연용 가정.</t>
  </si>
  <si>
    <t>검토 기준</t>
  </si>
  <si>
    <t>RV61 / FC51</t>
  </si>
  <si>
    <t>고정 기준</t>
  </si>
  <si>
    <t>2027-10-06 공식 Forecast의 Q4 기대효과를 불변 입력으로 보존</t>
  </si>
  <si>
    <t>측정 종료</t>
  </si>
  <si>
    <t>KST</t>
  </si>
  <si>
    <t>연간 평가가 아니라 과제 완료 후 차 분기 검토</t>
  </si>
  <si>
    <t>자료 마감</t>
  </si>
  <si>
    <t>분기 자료 마감 후 판단·보고 확정</t>
  </si>
  <si>
    <t>총 기대효과</t>
  </si>
  <si>
    <t>원 / Q4</t>
  </si>
  <si>
    <t>SC05 Q4 91.8백만원</t>
  </si>
  <si>
    <t>확인된 순개선효과</t>
  </si>
  <si>
    <t>비교기준 가정에 근거한 순기여. 회계 장부의 별도 수익 아님</t>
  </si>
  <si>
    <t>기대 대비 차이</t>
  </si>
  <si>
    <t>음수 미달. 기존 전망을 수정하지 않음</t>
  </si>
  <si>
    <t>ACT42 기대효과</t>
  </si>
  <si>
    <t>긴급구매 전망4·3·3건</t>
  </si>
  <si>
    <t>ACT42 실현효과</t>
  </si>
  <si>
    <t>실제5·5·4건, 운영지원비 차감</t>
  </si>
  <si>
    <t>ACT42 긴급구매</t>
  </si>
  <si>
    <t>건 / Q4</t>
  </si>
  <si>
    <t>총180건 중 긴급14건</t>
  </si>
  <si>
    <t>자료 준비</t>
  </si>
  <si>
    <t>일부 보완 중</t>
  </si>
  <si>
    <t>검토 가능</t>
  </si>
  <si>
    <t>서명 PDF 미수신. 전자확인·운영 적용 기록으로 판단. 미비는 유지</t>
  </si>
  <si>
    <t>U601 → U601 상세 → U602</t>
  </si>
  <si>
    <t>3동작 / 210초</t>
  </si>
  <si>
    <t>대표 주문 PO61-1103, 확인본 RPT61-v1 조회</t>
  </si>
  <si>
    <t>후속 대응</t>
  </si>
  <si>
    <t>FUP61 / PROP61</t>
  </si>
  <si>
    <t>보완 진행 / 발의</t>
  </si>
  <si>
    <t>내부 지연 보완과 반복 조달 제약 검토. 신규 효과·예산 미산정</t>
  </si>
  <si>
    <t>자료 출처</t>
  </si>
  <si>
    <t>SC05 통합 v0.5 + SC06 화면 v0.2</t>
  </si>
  <si>
    <t>2026-10-25</t>
  </si>
  <si>
    <t>첨부 검토 의견 모두 동의. 판단 개입 원칙을 구체 기록으로 구현</t>
  </si>
  <si>
    <t>울산 A제품 / ACT41~43</t>
  </si>
  <si>
    <t>가상</t>
  </si>
  <si>
    <t>Q4 손익 연결은 기타 요인 불변 가정. 전사 연간 실적이나 새 공식 전망이 아님</t>
  </si>
  <si>
    <t>INNONOW SC06과제성과 v0.6</t>
  </si>
  <si>
    <t>U601 3과제 요약. 활동 완료와 효과 달성을 분리. 효과는 원 단위, 화면에서 백만원 환산.</t>
  </si>
  <si>
    <t>과제명</t>
  </si>
  <si>
    <t>활동판단</t>
  </si>
  <si>
    <t>완료일</t>
  </si>
  <si>
    <t>분기기대</t>
  </si>
  <si>
    <t>분기순효과</t>
  </si>
  <si>
    <t>효과판단</t>
  </si>
  <si>
    <t>완료 확인</t>
  </si>
  <si>
    <t>DOC54;DOC61-PROD</t>
  </si>
  <si>
    <t>정규 운영·품질 납기 점검</t>
  </si>
  <si>
    <t>긴급구매 축소</t>
  </si>
  <si>
    <t>DOC59;DOC61-HAND;JDG61</t>
  </si>
  <si>
    <t>FUP61;PROP61</t>
  </si>
  <si>
    <t>DOC55;DOC61-ALT</t>
  </si>
  <si>
    <t>정규 운영 유지</t>
  </si>
  <si>
    <t>3과제 합계</t>
  </si>
  <si>
    <t>과제별 판단</t>
  </si>
  <si>
    <t>RV61</t>
  </si>
  <si>
    <t>과제 효과 일부 미달 / 위험 추적 지속</t>
  </si>
  <si>
    <t>INNONOW SC06원인집계 v0.6</t>
  </si>
  <si>
    <t>긴급14건의 실제 비용 분류입니다. 기대 대비 추가4건·4.8백만원의 원인별 배분표로 오인하지 않습니다.</t>
  </si>
  <si>
    <t>원인코드</t>
  </si>
  <si>
    <t>건수</t>
  </si>
  <si>
    <t>긴급비용</t>
  </si>
  <si>
    <t>INTERNAL</t>
  </si>
  <si>
    <t>내부 확인 지연</t>
  </si>
  <si>
    <t>FUP61 대행·알림 보완</t>
  </si>
  <si>
    <t>확인시간&gt;120분 및 주문별 사유</t>
  </si>
  <si>
    <t>SUPPLY</t>
  </si>
  <si>
    <t>적시 공유 후 조달 제약</t>
  </si>
  <si>
    <t>PROP61 공급조건 검토</t>
  </si>
  <si>
    <t>확인시간≤120분 + 정상 공급일&gt;요구납기</t>
  </si>
  <si>
    <t>MIXED</t>
  </si>
  <si>
    <t>내부 지연·조달 제약 복합</t>
  </si>
  <si>
    <t>FUP61·PROP61 공동 검토</t>
  </si>
  <si>
    <t>복합1건은 단독 분류하여 중복 합산 방지</t>
  </si>
  <si>
    <t>전체 긴급구매</t>
  </si>
  <si>
    <t>14건 전체 근거</t>
  </si>
  <si>
    <t>대표 한 건을 전체 원인으로 일반화하지 않음</t>
  </si>
  <si>
    <t>INNONOW SC06분기손익 v0.6</t>
  </si>
  <si>
    <t>보조정보: 울산 A제품 Q4 관리손익. 기타 물량·판매단가·원가·고정비는 FC51과 같다는 가상 가정. 연간 전망 갱신 없음.</t>
  </si>
  <si>
    <t>FC51관리손익</t>
  </si>
  <si>
    <t>FC51과제효과</t>
  </si>
  <si>
    <t>확인과제효과</t>
  </si>
  <si>
    <t>효과차이</t>
  </si>
  <si>
    <t>가상분기실적</t>
  </si>
  <si>
    <t>목표차이_실적빼기목표</t>
  </si>
  <si>
    <t>해석</t>
  </si>
  <si>
    <t>실제 손익에 효과 전액을 더하지 않고 기존 반영액과의 차이만 적용</t>
  </si>
  <si>
    <t>Q4</t>
  </si>
  <si>
    <t>분기목표 달성과 과제 기대효과 미달은 서로 다른 판단</t>
  </si>
  <si>
    <t>INNONOW SC06기준 v0.6</t>
  </si>
  <si>
    <t>FC51 승인본에서 복사한 불변 스냅샷. 입력으로 보존하며 원본과 대사. 실적 입력 변경으로 소급 수정하지 않는다.</t>
  </si>
  <si>
    <t>baseline_id</t>
  </si>
  <si>
    <t>전망수량</t>
  </si>
  <si>
    <t>전망긴급건</t>
  </si>
  <si>
    <t>지원비</t>
  </si>
  <si>
    <t>기대순효과</t>
  </si>
  <si>
    <t>BASE61-1</t>
  </si>
  <si>
    <t>SC05월효과!A15:Q15 / FC51</t>
  </si>
  <si>
    <t>BASE61-2</t>
  </si>
  <si>
    <t>SC05월효과!A16:Q16 / FC51</t>
  </si>
  <si>
    <t>BASE61-3</t>
  </si>
  <si>
    <t>SC05월효과!A17:Q17 / FC51</t>
  </si>
  <si>
    <t>BASE61-4</t>
  </si>
  <si>
    <t>SC05월효과!A18:Q18 / FC51</t>
  </si>
  <si>
    <t>BASE61-5</t>
  </si>
  <si>
    <t>SC05월효과!A19:Q19 / FC51</t>
  </si>
  <si>
    <t>BASE61-6</t>
  </si>
  <si>
    <t>SC05월효과!A20:Q20 / FC51</t>
  </si>
  <si>
    <t>BASE61-7</t>
  </si>
  <si>
    <t>SC05월효과!A21:Q21 / FC51</t>
  </si>
  <si>
    <t>BASE61-8</t>
  </si>
  <si>
    <t>SC05월효과!A22:Q22 / FC51</t>
  </si>
  <si>
    <t>BASE61-9</t>
  </si>
  <si>
    <t>SC05월효과!A23:Q23 / FC51</t>
  </si>
  <si>
    <t>INNONOW SC06설정 v0.6</t>
  </si>
  <si>
    <t>수치는 신규 가상 시나리오 입력입니다. 60/120분, 기준12건·120만원 및 월지원20만원은 SC05 기준 계승.</t>
  </si>
  <si>
    <t>자료형</t>
  </si>
  <si>
    <t>정의</t>
  </si>
  <si>
    <t>TEXT</t>
  </si>
  <si>
    <t>2027 Q4 review</t>
  </si>
  <si>
    <t>period_start</t>
  </si>
  <si>
    <t>포함</t>
  </si>
  <si>
    <t>period_end</t>
  </si>
  <si>
    <t>DATETIME</t>
  </si>
  <si>
    <t>data_close</t>
  </si>
  <si>
    <t>실적 자료 마감</t>
  </si>
  <si>
    <t>보고 완료 후 조회</t>
  </si>
  <si>
    <t>basis_version</t>
  </si>
  <si>
    <t>SC05 불변 비교 버전</t>
  </si>
  <si>
    <t>MIN</t>
  </si>
  <si>
    <t>접수 후 공유</t>
  </si>
  <si>
    <t>공유 후 확인</t>
  </si>
  <si>
    <t>clock</t>
  </si>
  <si>
    <t>SC05 규칙 계승; 표본은 업무시간 내</t>
  </si>
  <si>
    <t>base_count</t>
  </si>
  <si>
    <t>COUNT_PER_MONTH</t>
  </si>
  <si>
    <t>물량 정규화 비교 가정. 과거 실적 아님</t>
  </si>
  <si>
    <t>unit_cost</t>
  </si>
  <si>
    <t>KRW</t>
  </si>
  <si>
    <t>운송900000+할증300000</t>
  </si>
  <si>
    <t>별도 운영비, 긴급 운송·할증에 미포함</t>
  </si>
  <si>
    <t>RPT61-v1</t>
  </si>
  <si>
    <t>최종 확인보고</t>
  </si>
  <si>
    <t>report_date</t>
  </si>
  <si>
    <t>대표 월간 보고</t>
  </si>
  <si>
    <t>next_review</t>
  </si>
  <si>
    <t>다음 월간 보고; 데이터 설계 가정</t>
  </si>
  <si>
    <t>gap_due</t>
  </si>
  <si>
    <t>누락 서명 PDF 보완기한</t>
  </si>
  <si>
    <t>source_status</t>
  </si>
  <si>
    <t>FICTIONAL</t>
  </si>
  <si>
    <t>전부 가상. 실제 고객 데이터 아님</t>
  </si>
  <si>
    <t>INNONOW SC06실행실적 v0.6</t>
  </si>
  <si>
    <t>ACT41·43의 월별 가상 마감. 고정비절감 0. ACT42 비용은 구매거래와 운영비에서 계산.</t>
  </si>
  <si>
    <t>actual_id</t>
  </si>
  <si>
    <t>기타비용</t>
  </si>
  <si>
    <t>AC61-41-10</t>
  </si>
  <si>
    <t>DOC61-PROD</t>
  </si>
  <si>
    <t>AC61-43-10</t>
  </si>
  <si>
    <t>DOC61-ALT</t>
  </si>
  <si>
    <t>AC61-41-11</t>
  </si>
  <si>
    <t>AC61-43-11</t>
  </si>
  <si>
    <t>AC61-41-12</t>
  </si>
  <si>
    <t>AC61-43-12</t>
  </si>
  <si>
    <t>INNONOW SC06운영비 v0.6</t>
  </si>
  <si>
    <t>ACT42 월 운영지원비. 기존 일회성 2백만원은 8월 기인식이므로 Q4에 재차감하지 않는다.</t>
  </si>
  <si>
    <t>cost_id</t>
  </si>
  <si>
    <t>귀속월</t>
  </si>
  <si>
    <t>OP61-10</t>
  </si>
  <si>
    <t>월 운영지원</t>
  </si>
  <si>
    <t>DOC61-COST</t>
  </si>
  <si>
    <t>OP61-11</t>
  </si>
  <si>
    <t>OP61-12</t>
  </si>
  <si>
    <t>INNONOW SC06구매거래 v0.6</t>
  </si>
  <si>
    <t>Q4 A-b P-COM01 주문180건 전수 가상자료. 월 물량은 FC51과 동일. 긴급비용은 기존 변동비의 비교 대상이며 정상 구매액에 중복 가산 금지.</t>
  </si>
  <si>
    <t>운송비</t>
  </si>
  <si>
    <t>최종원인</t>
  </si>
  <si>
    <t>비용확인</t>
  </si>
  <si>
    <t>PO61-1001</t>
  </si>
  <si>
    <t>CH61-1001</t>
  </si>
  <si>
    <t>E61-1001</t>
  </si>
  <si>
    <t>PO61-1002</t>
  </si>
  <si>
    <t>CH61-1002</t>
  </si>
  <si>
    <t>E61-1002</t>
  </si>
  <si>
    <t>PO61-1003</t>
  </si>
  <si>
    <t>CH61-1003</t>
  </si>
  <si>
    <t>E61-1003</t>
  </si>
  <si>
    <t>PO61-1004</t>
  </si>
  <si>
    <t>CH61-1004</t>
  </si>
  <si>
    <t>E61-1004</t>
  </si>
  <si>
    <t>PO61-1005</t>
  </si>
  <si>
    <t>CH61-1005</t>
  </si>
  <si>
    <t>E61-1005</t>
  </si>
  <si>
    <t>PO61-1006</t>
  </si>
  <si>
    <t>PO61-1007</t>
  </si>
  <si>
    <t>PO61-1008</t>
  </si>
  <si>
    <t>PO61-1009</t>
  </si>
  <si>
    <t>PO61-1010</t>
  </si>
  <si>
    <t>PO61-1011</t>
  </si>
  <si>
    <t>PO61-1012</t>
  </si>
  <si>
    <t>PO61-1013</t>
  </si>
  <si>
    <t>PO61-1014</t>
  </si>
  <si>
    <t>PO61-1015</t>
  </si>
  <si>
    <t>PO61-1016</t>
  </si>
  <si>
    <t>PO61-1017</t>
  </si>
  <si>
    <t>PO61-1018</t>
  </si>
  <si>
    <t>PO61-1019</t>
  </si>
  <si>
    <t>PO61-1020</t>
  </si>
  <si>
    <t>PO61-1021</t>
  </si>
  <si>
    <t>PO61-1022</t>
  </si>
  <si>
    <t>PO61-1023</t>
  </si>
  <si>
    <t>PO61-1024</t>
  </si>
  <si>
    <t>PO61-1025</t>
  </si>
  <si>
    <t>PO61-1026</t>
  </si>
  <si>
    <t>PO61-1027</t>
  </si>
  <si>
    <t>PO61-1028</t>
  </si>
  <si>
    <t>PO61-1029</t>
  </si>
  <si>
    <t>PO61-1030</t>
  </si>
  <si>
    <t>PO61-1031</t>
  </si>
  <si>
    <t>PO61-1032</t>
  </si>
  <si>
    <t>PO61-1033</t>
  </si>
  <si>
    <t>PO61-1034</t>
  </si>
  <si>
    <t>PO61-1035</t>
  </si>
  <si>
    <t>PO61-1036</t>
  </si>
  <si>
    <t>PO61-1037</t>
  </si>
  <si>
    <t>PO61-1038</t>
  </si>
  <si>
    <t>PO61-1039</t>
  </si>
  <si>
    <t>PO61-1040</t>
  </si>
  <si>
    <t>PO61-1041</t>
  </si>
  <si>
    <t>PO61-1042</t>
  </si>
  <si>
    <t>PO61-1043</t>
  </si>
  <si>
    <t>PO61-1044</t>
  </si>
  <si>
    <t>PO61-1045</t>
  </si>
  <si>
    <t>PO61-1046</t>
  </si>
  <si>
    <t>PO61-1047</t>
  </si>
  <si>
    <t>PO61-1048</t>
  </si>
  <si>
    <t>PO61-1049</t>
  </si>
  <si>
    <t>PO61-1050</t>
  </si>
  <si>
    <t>PO61-1051</t>
  </si>
  <si>
    <t>PO61-1052</t>
  </si>
  <si>
    <t>PO61-1053</t>
  </si>
  <si>
    <t>PO61-1054</t>
  </si>
  <si>
    <t>PO61-1055</t>
  </si>
  <si>
    <t>PO61-1056</t>
  </si>
  <si>
    <t>PO61-1057</t>
  </si>
  <si>
    <t>PO61-1058</t>
  </si>
  <si>
    <t>PO61-1059</t>
  </si>
  <si>
    <t>PO61-1060</t>
  </si>
  <si>
    <t>PO61-1101</t>
  </si>
  <si>
    <t>CH61-1101</t>
  </si>
  <si>
    <t>E61-1101</t>
  </si>
  <si>
    <t>PO61-1102</t>
  </si>
  <si>
    <t>CH61-1102</t>
  </si>
  <si>
    <t>E61-1102</t>
  </si>
  <si>
    <t>PO61-1103</t>
  </si>
  <si>
    <t>CH61-1103</t>
  </si>
  <si>
    <t>E61-1103</t>
  </si>
  <si>
    <t>PO61-1104</t>
  </si>
  <si>
    <t>CH61-1104</t>
  </si>
  <si>
    <t>E61-1104</t>
  </si>
  <si>
    <t>PO61-1105</t>
  </si>
  <si>
    <t>CH61-1105</t>
  </si>
  <si>
    <t>E61-1105</t>
  </si>
  <si>
    <t>PO61-1106</t>
  </si>
  <si>
    <t>PO61-1107</t>
  </si>
  <si>
    <t>PO61-1108</t>
  </si>
  <si>
    <t>PO61-1109</t>
  </si>
  <si>
    <t>PO61-1110</t>
  </si>
  <si>
    <t>PO61-1111</t>
  </si>
  <si>
    <t>PO61-1112</t>
  </si>
  <si>
    <t>PO61-1113</t>
  </si>
  <si>
    <t>PO61-1114</t>
  </si>
  <si>
    <t>PO61-1115</t>
  </si>
  <si>
    <t>PO61-1116</t>
  </si>
  <si>
    <t>PO61-1117</t>
  </si>
  <si>
    <t>PO61-1118</t>
  </si>
  <si>
    <t>PO61-1119</t>
  </si>
  <si>
    <t>PO61-1120</t>
  </si>
  <si>
    <t>PO61-1121</t>
  </si>
  <si>
    <t>PO61-1122</t>
  </si>
  <si>
    <t>PO61-1123</t>
  </si>
  <si>
    <t>PO61-1124</t>
  </si>
  <si>
    <t>PO61-1125</t>
  </si>
  <si>
    <t>PO61-1126</t>
  </si>
  <si>
    <t>PO61-1127</t>
  </si>
  <si>
    <t>PO61-1128</t>
  </si>
  <si>
    <t>PO61-1129</t>
  </si>
  <si>
    <t>PO61-1130</t>
  </si>
  <si>
    <t>PO61-1131</t>
  </si>
  <si>
    <t>PO61-1132</t>
  </si>
  <si>
    <t>PO61-1133</t>
  </si>
  <si>
    <t>PO61-1134</t>
  </si>
  <si>
    <t>PO61-1135</t>
  </si>
  <si>
    <t>PO61-1136</t>
  </si>
  <si>
    <t>PO61-1137</t>
  </si>
  <si>
    <t>PO61-1138</t>
  </si>
  <si>
    <t>PO61-1139</t>
  </si>
  <si>
    <t>PO61-1140</t>
  </si>
  <si>
    <t>PO61-1141</t>
  </si>
  <si>
    <t>PO61-1142</t>
  </si>
  <si>
    <t>PO61-1143</t>
  </si>
  <si>
    <t>PO61-1144</t>
  </si>
  <si>
    <t>PO61-1145</t>
  </si>
  <si>
    <t>PO61-1146</t>
  </si>
  <si>
    <t>PO61-1147</t>
  </si>
  <si>
    <t>PO61-1148</t>
  </si>
  <si>
    <t>PO61-1149</t>
  </si>
  <si>
    <t>PO61-1150</t>
  </si>
  <si>
    <t>PO61-1151</t>
  </si>
  <si>
    <t>PO61-1152</t>
  </si>
  <si>
    <t>PO61-1153</t>
  </si>
  <si>
    <t>PO61-1154</t>
  </si>
  <si>
    <t>PO61-1155</t>
  </si>
  <si>
    <t>PO61-1156</t>
  </si>
  <si>
    <t>PO61-1157</t>
  </si>
  <si>
    <t>PO61-1158</t>
  </si>
  <si>
    <t>PO61-1159</t>
  </si>
  <si>
    <t>PO61-1160</t>
  </si>
  <si>
    <t>PO61-1201</t>
  </si>
  <si>
    <t>CH61-1201</t>
  </si>
  <si>
    <t>E61-1201</t>
  </si>
  <si>
    <t>PO61-1202</t>
  </si>
  <si>
    <t>CH61-1202</t>
  </si>
  <si>
    <t>E61-1202</t>
  </si>
  <si>
    <t>PO61-1203</t>
  </si>
  <si>
    <t>CH61-1203</t>
  </si>
  <si>
    <t>E61-1203</t>
  </si>
  <si>
    <t>PO61-1204</t>
  </si>
  <si>
    <t>CH61-1204</t>
  </si>
  <si>
    <t>E61-1204</t>
  </si>
  <si>
    <t>PO61-1205</t>
  </si>
  <si>
    <t>PO61-1206</t>
  </si>
  <si>
    <t>PO61-1207</t>
  </si>
  <si>
    <t>PO61-1208</t>
  </si>
  <si>
    <t>PO61-1209</t>
  </si>
  <si>
    <t>PO61-1210</t>
  </si>
  <si>
    <t>PO61-1211</t>
  </si>
  <si>
    <t>PO61-1212</t>
  </si>
  <si>
    <t>PO61-1213</t>
  </si>
  <si>
    <t>PO61-1214</t>
  </si>
  <si>
    <t>PO61-1215</t>
  </si>
  <si>
    <t>PO61-1216</t>
  </si>
  <si>
    <t>PO61-1217</t>
  </si>
  <si>
    <t>PO61-1218</t>
  </si>
  <si>
    <t>PO61-1219</t>
  </si>
  <si>
    <t>PO61-1220</t>
  </si>
  <si>
    <t>PO61-1221</t>
  </si>
  <si>
    <t>PO61-1222</t>
  </si>
  <si>
    <t>PO61-1223</t>
  </si>
  <si>
    <t>PO61-1224</t>
  </si>
  <si>
    <t>PO61-1225</t>
  </si>
  <si>
    <t>PO61-1226</t>
  </si>
  <si>
    <t>PO61-1227</t>
  </si>
  <si>
    <t>PO61-1228</t>
  </si>
  <si>
    <t>PO61-1229</t>
  </si>
  <si>
    <t>PO61-1230</t>
  </si>
  <si>
    <t>PO61-1231</t>
  </si>
  <si>
    <t>PO61-1232</t>
  </si>
  <si>
    <t>PO61-1233</t>
  </si>
  <si>
    <t>PO61-1234</t>
  </si>
  <si>
    <t>PO61-1235</t>
  </si>
  <si>
    <t>PO61-1236</t>
  </si>
  <si>
    <t>PO61-1237</t>
  </si>
  <si>
    <t>PO61-1238</t>
  </si>
  <si>
    <t>PO61-1239</t>
  </si>
  <si>
    <t>PO61-1240</t>
  </si>
  <si>
    <t>PO61-1241</t>
  </si>
  <si>
    <t>PO61-1242</t>
  </si>
  <si>
    <t>PO61-1243</t>
  </si>
  <si>
    <t>PO61-1244</t>
  </si>
  <si>
    <t>PO61-1245</t>
  </si>
  <si>
    <t>PO61-1246</t>
  </si>
  <si>
    <t>PO61-1247</t>
  </si>
  <si>
    <t>PO61-1248</t>
  </si>
  <si>
    <t>PO61-1249</t>
  </si>
  <si>
    <t>PO61-1250</t>
  </si>
  <si>
    <t>PO61-1251</t>
  </si>
  <si>
    <t>PO61-1252</t>
  </si>
  <si>
    <t>PO61-1253</t>
  </si>
  <si>
    <t>PO61-1254</t>
  </si>
  <si>
    <t>PO61-1255</t>
  </si>
  <si>
    <t>PO61-1256</t>
  </si>
  <si>
    <t>PO61-1257</t>
  </si>
  <si>
    <t>PO61-1258</t>
  </si>
  <si>
    <t>PO61-1259</t>
  </si>
  <si>
    <t>PO61-1260</t>
  </si>
  <si>
    <t>INNONOW SC06변경근거 v0.6</t>
  </si>
  <si>
    <t>긴급14건의 원인 근거. INTERNAL은 당일 정상발주 마감 경과, SUPPLY는 정상 공급일 제약. 최종 원인은 사람 확인 결과.</t>
  </si>
  <si>
    <t>요구납기_KST</t>
  </si>
  <si>
    <t>정상공급가능_KST</t>
  </si>
  <si>
    <t>판단사유</t>
  </si>
  <si>
    <t>확인180분 소요로10:30 정상발주 마감 경과. 마감내 발주면 필요일 도착 가능했으나 실제 확인후 정상조달은1일 늦어 긴급배차 필요</t>
  </si>
  <si>
    <t>공유20분·확인40분으로 기준 내. 정상 공급일이 요구납기보다2일 늦음</t>
  </si>
  <si>
    <t>확인 지연과 공급 여력 제약 동시 발생. 복합으로 단독 귀속</t>
  </si>
  <si>
    <t>INNONOW SC06월효과 v0.6</t>
  </si>
  <si>
    <t>비교모형: ACT42 기준12건×120만원−실제긴급비용−운영지원비。ACT41·43는 회피단가−추가단가−물류단가。물량/구성은 FC51과 동일 가정.</t>
  </si>
  <si>
    <t>기준비용또는회피비</t>
  </si>
  <si>
    <t>실제비용</t>
  </si>
  <si>
    <t>추가운영비</t>
  </si>
  <si>
    <t>확인순효과</t>
  </si>
  <si>
    <t>EF61-ACT41-10</t>
  </si>
  <si>
    <t>SC06실행실적</t>
  </si>
  <si>
    <t>EF61-ACT42-10</t>
  </si>
  <si>
    <t>SC06구매거래;SC06운영비</t>
  </si>
  <si>
    <t>EF61-ACT43-10</t>
  </si>
  <si>
    <t>EF61-ACT41-11</t>
  </si>
  <si>
    <t>EF61-ACT42-11</t>
  </si>
  <si>
    <t>EF61-ACT43-11</t>
  </si>
  <si>
    <t>EF61-ACT41-12</t>
  </si>
  <si>
    <t>EF61-ACT42-12</t>
  </si>
  <si>
    <t>EF61-ACT43-12</t>
  </si>
  <si>
    <t>INNONOW SC06운영지표 v0.6</t>
  </si>
  <si>
    <t>Q4 주문180건과 긴급 원인관측14건은 서로 다른 모집단. 개선효과는 비교모형 값이며 실제 비용과 구분.</t>
  </si>
  <si>
    <t>metric_id</t>
  </si>
  <si>
    <t>모집단·정의</t>
  </si>
  <si>
    <t>M61-01</t>
  </si>
  <si>
    <t>구매 주문</t>
  </si>
  <si>
    <t>Q4 A-b/P-COM01 주문 전체</t>
  </si>
  <si>
    <t>M61-02</t>
  </si>
  <si>
    <t>긴급구매</t>
  </si>
  <si>
    <t>긴급여부1</t>
  </si>
  <si>
    <t>M61-03</t>
  </si>
  <si>
    <t>긴급구매율</t>
  </si>
  <si>
    <t>%</t>
  </si>
  <si>
    <t>긴급건수/전체주문</t>
  </si>
  <si>
    <t>M61-04</t>
  </si>
  <si>
    <t>긴급 추가비</t>
  </si>
  <si>
    <t>운송비+할증</t>
  </si>
  <si>
    <t>M61-05</t>
  </si>
  <si>
    <t>분기 지원비</t>
  </si>
  <si>
    <t>월20만원×3</t>
  </si>
  <si>
    <t>M61-06</t>
  </si>
  <si>
    <t>공유 지연</t>
  </si>
  <si>
    <t>긴급원인 관측14건, 공유60분 초과</t>
  </si>
  <si>
    <t>M61-07</t>
  </si>
  <si>
    <t>구매 확인 지연</t>
  </si>
  <si>
    <t>같은14건, 확인120분 초과. 복합1 포함</t>
  </si>
  <si>
    <t>M61-08</t>
  </si>
  <si>
    <t>기준 긴급건</t>
  </si>
  <si>
    <t>月12건×3; 정규화 비교 가정</t>
  </si>
  <si>
    <t>M61-09</t>
  </si>
  <si>
    <t>FC51 전망 긴급건</t>
  </si>
  <si>
    <t>4+3+3</t>
  </si>
  <si>
    <t>M61-10</t>
  </si>
  <si>
    <t>전망 대비 추가 긴급건</t>
  </si>
  <si>
    <t>실제−전망</t>
  </si>
  <si>
    <t>M61-11</t>
  </si>
  <si>
    <t>180건 전수 확인</t>
  </si>
  <si>
    <t>M61-12</t>
  </si>
  <si>
    <t>INNONOW SC06완료판단 v0.6</t>
  </si>
  <si>
    <t>미비자료를 삭제하거나 수집완료로 바꾸지 않는다. 대체 근거·영향·판단자·보완기한을 분리해 유지한다.</t>
  </si>
  <si>
    <t>judgment_id</t>
  </si>
  <si>
    <t>수집상태</t>
  </si>
  <si>
    <t>미비항목</t>
  </si>
  <si>
    <t>대체근거</t>
  </si>
  <si>
    <t>영향판단</t>
  </si>
  <si>
    <t>업무판단</t>
  </si>
  <si>
    <t>판단자</t>
  </si>
  <si>
    <t>판단_KST</t>
  </si>
  <si>
    <t>보완기한_KST</t>
  </si>
  <si>
    <t>JDG61</t>
  </si>
  <si>
    <t>ACT42 완료·검토</t>
  </si>
  <si>
    <t>정규 운영 인계 확인서의 서명본 재스캔 PDF 첨부</t>
  </si>
  <si>
    <t>DOC59 전자확인;DOC51 운영기준;DOC61-HAND 적용·대행 운영기록</t>
  </si>
  <si>
    <t>활동 이행과 비용집계는 다른 기록으로 확인됨. 서명 PDF는 중복 보관용이며 금액 미확인 없음</t>
  </si>
  <si>
    <t>활동 완료 확인 / 성과 검토 가능</t>
  </si>
  <si>
    <t>DOC61-JDG</t>
  </si>
  <si>
    <t>JDG62</t>
  </si>
  <si>
    <t>ACT41 완료·검토</t>
  </si>
  <si>
    <t>수집 완료</t>
  </si>
  <si>
    <t>전환 인계와 Q4수량·변동비 증빙 대사 완료</t>
  </si>
  <si>
    <t>완료 확인 / 검토 가능</t>
  </si>
  <si>
    <t>JDG63</t>
  </si>
  <si>
    <t>ACT43 안정화 완료</t>
  </si>
  <si>
    <t>10/29 안정화 확인. Q4 공급량·단가·물류비 대사</t>
  </si>
  <si>
    <t>INNONOW SC06후속조치 v0.6</t>
  </si>
  <si>
    <t>추가 발의는 검토 예정. 효과·예산은 null+미산정 상태이며 0원 승인으로 처리하지 않는다.</t>
  </si>
  <si>
    <t>followup_id</t>
  </si>
  <si>
    <t>연결</t>
  </si>
  <si>
    <t>등록_KST</t>
  </si>
  <si>
    <t>다음확인_KST</t>
  </si>
  <si>
    <t>효과</t>
  </si>
  <si>
    <t>예산상태</t>
  </si>
  <si>
    <t>중복·범위판단</t>
  </si>
  <si>
    <t>FUP61</t>
  </si>
  <si>
    <t>기존 운영 보완</t>
  </si>
  <si>
    <t>ACT42;FUP51</t>
  </si>
  <si>
    <t>INTERNAL;MIXED</t>
  </si>
  <si>
    <t>대행 수신창구·알림 전달·인수확인 점검. 1월 운영에 재발 점검표 적용</t>
  </si>
  <si>
    <t>USR-BUY;EX-PROD</t>
  </si>
  <si>
    <t>IN_PROGRESS</t>
  </si>
  <si>
    <t>별도 신규효과 미산정</t>
  </si>
  <si>
    <t>기존 운영비 범위 / 추가예산 없음</t>
  </si>
  <si>
    <t>기존 ACT42 정착 보완. 기승인 범위 내, 대표 재승인 없음</t>
  </si>
  <si>
    <t>PROP61</t>
  </si>
  <si>
    <t>추가 과제 발의</t>
  </si>
  <si>
    <t>DIR41;ACT42</t>
  </si>
  <si>
    <t>SUPPLY;MIXED</t>
  </si>
  <si>
    <t>P-COM01 반복 긴급 대응: 조달기간·분할납품·납품주기·제한적 완충재고의 경제성·품질·납기 비교</t>
  </si>
  <si>
    <t>USR-PROD;품질담당;USR-FIN</t>
  </si>
  <si>
    <t>NOT_ESTIMATED</t>
  </si>
  <si>
    <t>ACT43의 P-MAT02 단가 절감과 다른 품목/활동. 향후 범위 겹치면 통합 또는 중복 제외</t>
  </si>
  <si>
    <t>FUP62</t>
  </si>
  <si>
    <t>자료 보완</t>
  </si>
  <si>
    <t>서명 PDF 미수신</t>
  </si>
  <si>
    <t>중복 보관용 서명 PDF 업로드 및 전자확인 기록 연결</t>
  </si>
  <si>
    <t>성과를 새로 산정하는 조치 아님</t>
  </si>
  <si>
    <t>RISK61</t>
  </si>
  <si>
    <t>기존 위험 상태</t>
  </si>
  <si>
    <t>RISK51;MR-2706-01</t>
  </si>
  <si>
    <t>잔여 기대 미달·반복 조달 제약</t>
  </si>
  <si>
    <t>완료와 별도로 미실현 개선 여지·목표 위험을 추적. 새 중복 위험 ID가 아닌 장면6 상태 기록</t>
  </si>
  <si>
    <t>Q4 목표달성만으로 연간 목표위험을 종결하지 않음</t>
  </si>
  <si>
    <t>INNONOW SC06근거 v0.6</t>
  </si>
  <si>
    <t>시연용 본문이며 외부 실문서가 아님. 증빙 ID는 기존 DOC61 등과 충돌하지 않도록 접미사를 사용.</t>
  </si>
  <si>
    <t>Q4 공정실적</t>
  </si>
  <si>
    <t>10·11·12월 각각3,000대분. 회피 변동비15,000원, 외주8,000원, 물류1,000원. 고정비 회피0. 추가전환비0. 납기·품질 이상0.</t>
  </si>
  <si>
    <t>Q4 대체 공급</t>
  </si>
  <si>
    <t>P-MAT02 월6,000개, 기존5,000원/대체4,500원/물류100원. 10/29 안정화 확인, 품질·납기 이상0. Q4 추가검증비0.</t>
  </si>
  <si>
    <t>Q4 구매·운영비 마감</t>
  </si>
  <si>
    <t>P-COM01 주문180건, 월수량9690/9500/9025. 긴급5/5/4건, 건당 운송900000+할증300000. 운영지원비 월200000. 취소0, 비용 미확인0.</t>
  </si>
  <si>
    <t>DOC61-HAND</t>
  </si>
  <si>
    <t>운영 적용 및 인계 근거</t>
  </si>
  <si>
    <t>9/30 인계 전자확인(DOC59), 공동 기준(DOC51), Q4 대행·알림 적용 기록 확인. 중복 보관용 서명본 재스캔 PDF만 미첨부. 활동 이행 자체의 증빙은 확보.</t>
  </si>
  <si>
    <t>미비 영향 판단</t>
  </si>
  <si>
    <t>서명 PDF 미비는 전자확인·운영기록으로 대체 가능. 원가·운송 증빙은 모두 확보돼 효과 금액 불확실성 없음. 자료상태는 일부 보완 중으로 유지하고 1/18까지 첨부 보완.</t>
  </si>
  <si>
    <t>DOC61-PROP</t>
  </si>
  <si>
    <t>추가 발의 검토</t>
  </si>
  <si>
    <t>P-COM01 공급조건 검토. ACT43는 P-MAT02 가격절감으로 범위 불중복. 운송비 절감과 재고·자금·보관·진부화·품질·납기 영향을 함께 비교. 2/8검토안, 2/11월간보고. 효과·예산 아직 미산정.</t>
  </si>
  <si>
    <t>DOC61-MON</t>
  </si>
  <si>
    <t>분기 중 월간·수시 점검</t>
  </si>
  <si>
    <t>FUP51;FUP52;FUP53</t>
  </si>
  <si>
    <t>10/29 ACT43 안정화와 ACT42 긴급5건 확인. 11/29 긴급5건·대행 지연 시정. 12/29 누적 추세와 공급 제약 재점검. 12월말까지 개입을 미루지 않았으며 분기 종합에서 보완·신규 검토를 정리.</t>
  </si>
  <si>
    <t>긴급 주문 근거</t>
  </si>
  <si>
    <t>확인180분 소요로10:30 정상발주 마감 경과. 마감내 발주면 필요일 도착 가능했으나 실제 확인후 정상조달은1일 늦어 긴급배차 필요. 요구납기와 정상공급 가능일은 SC06변경근거의 해당 행 참조. 긴급 운송/할증 각900000/300000원. EX-BUY 승인 후 발주, 긴급 수단으로 요구납기 충족.</t>
  </si>
  <si>
    <t>공유20분·확인40분으로 기준 내. 정상 공급일이 요구납기보다2일 늦음. 요구납기와 정상공급 가능일은 SC06변경근거의 해당 행 참조. 긴급 운송/할증 각900000/300000원. EX-BUY 승인 후 발주, 긴급 수단으로 요구납기 충족.</t>
  </si>
  <si>
    <t>확인 지연과 공급 여력 제약 동시 발생. 복합으로 단독 귀속. 요구납기와 정상공급 가능일은 SC06변경근거의 해당 행 참조. 긴급 운송/할증 각900000/300000원. EX-BUY 승인 후 발주, 긴급 수단으로 요구납기 충족.</t>
  </si>
  <si>
    <t>공유20분·확인40분으로 기준 내. 정상 공급일이 요구납기보다2일 늦음. 요구납기와 정상공급 가능일은 SC06변경근거의 해당 행 참조. 긴급 운송/할증 각900000/300000원. EX-BUY 승인 후 발주, 긴급 수단으로 요구납기 충족. 주담당 확인란은 미입력이나 대행 USR-BUY2의 10:00 전자확인 존재. Agent 최초 입력에는 대행 로그가 연결되지 않았음.</t>
  </si>
  <si>
    <t>INNONOW SC06Agent v0.6</t>
  </si>
  <si>
    <t>초안과 사람의 보정·판단을 분리. 원인 정정은 불완전 입력 보완 사례이며 완전한 근거를 읽고도 임의 오판하는 연출이 아니다.</t>
  </si>
  <si>
    <t>입력범위</t>
  </si>
  <si>
    <t>Agent 수행</t>
  </si>
  <si>
    <t>초안</t>
  </si>
  <si>
    <t>사람 보정·판단</t>
  </si>
  <si>
    <t>AG61</t>
  </si>
  <si>
    <t>SC06거래·비용·완료기록</t>
  </si>
  <si>
    <t>자료 취합·대사·미비 안내</t>
  </si>
  <si>
    <t>서명 PDF 미수신, 완료 검토 시 확인 필요</t>
  </si>
  <si>
    <t>전자확인·적용 기록을 대체 근거로 검토 가능. 미비는 별도 보완</t>
  </si>
  <si>
    <t>AG62</t>
  </si>
  <si>
    <t>PO61-1103 주담당 확인란, 주문 비용; 대행 로그 미결합</t>
  </si>
  <si>
    <t>원인 후보 제시</t>
  </si>
  <si>
    <t>주담당 확인 기록이 없어 확인 지연 가능성. 대행 기록 및 공급 가능일 확인 필요</t>
  </si>
  <si>
    <t>대행 USR-BUY2가09:20 공유 후10:00 확인. 정상공급11/16, 요구납기11/14. 원인은 확인 지연이 아니라 조달 제약으로 확인</t>
  </si>
  <si>
    <t>E61-1103;CH61-1103;PO61-1103</t>
  </si>
  <si>
    <t>AG63</t>
  </si>
  <si>
    <t>확인 성과·최종 원인·FUP61·PROP61</t>
  </si>
  <si>
    <t>월간 보고 초안</t>
  </si>
  <si>
    <t>개선 기여와 일부 미달, 내부 지연 보완 및 공급조건 검토 제안</t>
  </si>
  <si>
    <t>책임·기한·품질/재고 경제성 검토를 명시. 확정되지 않은 효과는 미산정 유지</t>
  </si>
  <si>
    <t>INNONOW SC06보고 v0.6</t>
  </si>
  <si>
    <t>동일 RPT61-v1 확인본 조회. CFO가 보고본 확정, CEO는 월간보고 수신·논의. 신규 실행·예산 승인이 아님.</t>
  </si>
  <si>
    <t>대상버전</t>
  </si>
  <si>
    <t>단계</t>
  </si>
  <si>
    <t>내용·범위</t>
  </si>
  <si>
    <t>CF61-P</t>
  </si>
  <si>
    <t>담당 임원 성과 근거 확인</t>
  </si>
  <si>
    <t>ACT41 완료·Q4 효과 확인</t>
  </si>
  <si>
    <t>CF61-B</t>
  </si>
  <si>
    <t>ACT42·43 효과·원인 및 JDG61 판단 확인</t>
  </si>
  <si>
    <t>DOC61-COST;DOC61-ALT;DOC61-JDG;AG62</t>
  </si>
  <si>
    <t>CF61-F</t>
  </si>
  <si>
    <t>경영관리 종합 확인</t>
  </si>
  <si>
    <t>분기 기준·중복·합계·잔여 위험·후속 책임 확인</t>
  </si>
  <si>
    <t>RV61;JDG61;FUP61;PROP61</t>
  </si>
  <si>
    <t>CF61-R</t>
  </si>
  <si>
    <t>대표 월간 보고본 확정</t>
  </si>
  <si>
    <t>FINALIZED</t>
  </si>
  <si>
    <t>보고 편성 책임자인 CFO가 확정. 과제 실행 승인 아님</t>
  </si>
  <si>
    <t>CF61-P;CF61-B;CF61-F</t>
  </si>
  <si>
    <t>CF61-M</t>
  </si>
  <si>
    <t>REPORTED</t>
  </si>
  <si>
    <t>개선 기여와 남는 차이, 보완·발의 및 다음 확인 보고</t>
  </si>
  <si>
    <t>TXT61</t>
  </si>
  <si>
    <t>보고 결론</t>
  </si>
  <si>
    <t>3과제 Q4 기대91.8백만원 대비87.0백만원 기여를 확인했습니다. 긴급구매 축소는30.6백만원 대비25.8백만원으로 일부 미달했습니다. 내부 지연은 운영 보완, 반복 공급제약은 추가 과제로 검토하며 다음 월간보고에서 결과와 검토안을 보고합니다.</t>
  </si>
  <si>
    <t>SC06과제성과;FUP61;PROP61</t>
  </si>
  <si>
    <t>NOTE61</t>
  </si>
  <si>
    <t>남는 사항</t>
  </si>
  <si>
    <t>서명PDF 보완1/18, 운영보완1/21, 추가 검토안2/8, 다음 보고2/11. 신규 효과·예산 미산정. 위험 계속 관리.</t>
  </si>
  <si>
    <t>JDG61;FUP61;PROP61;RISK61</t>
  </si>
  <si>
    <t>INNONOW SC06화면매핑 v0.6</t>
  </si>
  <si>
    <t>전체 데이터는 준비된 RPT61-v1 조회용. 화면 클릭은 확인·승인·신규 과제 생성을 수행하지 않는다.</t>
  </si>
  <si>
    <t>영역</t>
  </si>
  <si>
    <t>원천·키</t>
  </si>
  <si>
    <t>표시·가공 규칙</t>
  </si>
  <si>
    <t>U601-01</t>
  </si>
  <si>
    <t>SC06설정 / RV61</t>
  </si>
  <si>
    <t>Q4·12/31·1/7마감·FC51·원→백만원 표시</t>
  </si>
  <si>
    <t>①</t>
  </si>
  <si>
    <t>U601-02</t>
  </si>
  <si>
    <t>SC06완료판단 / JDG61</t>
  </si>
  <si>
    <t>수집 일부 보완 중 / 검토 가능; 대체 근거·사유</t>
  </si>
  <si>
    <t>U601-03</t>
  </si>
  <si>
    <t>SC06과제성과 / ACT41~43</t>
  </si>
  <si>
    <t>기대·실현·차이·완료판단 분리. TOTAL은 별도합계</t>
  </si>
  <si>
    <t>U601-04</t>
  </si>
  <si>
    <t>SC06Agent / AG61·63</t>
  </si>
  <si>
    <t>자료 취합·대사·초안 지원과 사람 판단 구분. 절감시간 임의수치 없음</t>
  </si>
  <si>
    <t>U601-05</t>
  </si>
  <si>
    <t>SC06원인집계</t>
  </si>
  <si>
    <t>내부4/공급9/복합1건. 비용은14건 전체이며 미달4.8백만원과 다른 합계</t>
  </si>
  <si>
    <t>②</t>
  </si>
  <si>
    <t>U601-06</t>
  </si>
  <si>
    <t>PO61-1103;CH61-1103;E61-1103</t>
  </si>
  <si>
    <t>요구납기·정상공급 가능·대행확인 근거 표시</t>
  </si>
  <si>
    <t>U601-07</t>
  </si>
  <si>
    <t>SC06Agent / AG62</t>
  </si>
  <si>
    <t>초안과 보정 이유를 같은 영역에 표시</t>
  </si>
  <si>
    <t>U601-08</t>
  </si>
  <si>
    <t>보고 요약 보기; 선택기간·과제 유지</t>
  </si>
  <si>
    <t>③</t>
  </si>
  <si>
    <t>U602-01</t>
  </si>
  <si>
    <t>SC06과제성과;TXT61</t>
  </si>
  <si>
    <t>수치는 계산값 사용. 문구는 확인본이며 수치변경 시 보고버전 재생성</t>
  </si>
  <si>
    <t>U602-02</t>
  </si>
  <si>
    <t>운영 보완·담당·기한·확인지표</t>
  </si>
  <si>
    <t>U602-03</t>
  </si>
  <si>
    <t>PROP61;DOC61-PROP</t>
  </si>
  <si>
    <t>발의/검토예정, 효과·예산 null+미산정</t>
  </si>
  <si>
    <t>U602-04</t>
  </si>
  <si>
    <t>JDG61;FUP62;RISK61</t>
  </si>
  <si>
    <t>자료 미비와 성과 미달 구분, 위험 지속</t>
  </si>
  <si>
    <t>U602-05</t>
  </si>
  <si>
    <t>CF61-P/B/F/R/M</t>
  </si>
  <si>
    <t>작은 확인 상태 영역. 결재 버튼 없음</t>
  </si>
  <si>
    <t>U602-06</t>
  </si>
  <si>
    <t>FUP61;PROP61;SC06설정</t>
  </si>
  <si>
    <t>다음 월간보고2/11. Q4손익은 보조정보, 연간 전망 자동 갱신 없음</t>
  </si>
  <si>
    <t>INNONOW SC06데이터계약 v0.6</t>
  </si>
  <si>
    <t>업무 데이터 계약. 신규 입력·키는 이번 가상데이터 제안값. 실제 API·권한 구현은 다음 단계.</t>
  </si>
  <si>
    <t>검토 의견</t>
  </si>
  <si>
    <t>기준 보존</t>
  </si>
  <si>
    <t>FC51 / BASE61-*</t>
  </si>
  <si>
    <t>SC06기준은 승인 기대의 불변 복사. 원71시트 보존. 실제값 입력이 기준이나 과거확인본을 바꾸지 않음</t>
  </si>
  <si>
    <t>단위·시간</t>
  </si>
  <si>
    <t>KRW integer; date/datetime Excel serial, KST</t>
  </si>
  <si>
    <t>원·VAT 제외. 화면 백만원 환산. 2027 Q4 측정, 2028 1월 보고. 날짜 시리얼은 KST 벽시계</t>
  </si>
  <si>
    <t>PK/FK</t>
  </si>
  <si>
    <t>order_id / change_id / evidence_id / task_id</t>
  </si>
  <si>
    <t>중복키 금지. 정상주문 change_ref null 허용. 긴급주문은 변경근거·승인·증빙 연결 필수</t>
  </si>
  <si>
    <t>정규화 비교</t>
  </si>
  <si>
    <t>baseline_count 12 / month</t>
  </si>
  <si>
    <t>과거관측이 아닌 FC51 물량 정규화 가정. 월수량·구성은 이번 기본안에서 동일. 변경 시 비교기준 조정안 별도 검토</t>
  </si>
  <si>
    <t>baseline − actual − operating cost</t>
  </si>
  <si>
    <t>ACT42 물량변화0; 운영지원20만원 별도. 기존 일회성2백만원 Q4재차감 금지. 고정비절감0. ACT43 P-MAT02 중복없음</t>
  </si>
  <si>
    <t>완료·미비</t>
  </si>
  <si>
    <t>collection_state != judgment_state</t>
  </si>
  <si>
    <t>수집 미비라도 충분한 대체근거와 판단사유로 완료/검토가능. 미비항목·보완책임·기한 유지. 중요 영향 불명은 해당판단 보류</t>
  </si>
  <si>
    <t>금액 미확인</t>
  </si>
  <si>
    <t>null + status</t>
  </si>
  <si>
    <t>금액 누락을0으로 계산하지 않음. 거래필수 비용 null이면 해당 효과계산 보류. Excel NA는 검증용 노출, UI는 미확인 표시</t>
  </si>
  <si>
    <t>보고</t>
  </si>
  <si>
    <t>RPT61-v1 / actor / at / scope</t>
  </si>
  <si>
    <t>같은 버전 담당확인→CFO종합→CFO보고확정→CEO보고. 화면은 결과 조회. 마지막 확정권자는 본 데이터 설계 가정</t>
  </si>
  <si>
    <t>추가 발의</t>
  </si>
  <si>
    <t>PROP61 / effect=null / budget=null</t>
  </si>
  <si>
    <t>0은 실제0만. 미산정 상태 명시. 발의가 실행·예산 승인 아님. ACT43 중복 범위 확인</t>
  </si>
  <si>
    <t>대표·전체</t>
  </si>
  <si>
    <t>PO61-1103 / 180 orders / 14 urgent</t>
  </si>
  <si>
    <t>한 건 설명을 전체 집계로 확대하지 않음. 원인별14건 비용16.8백만원과 기대미달4.8백만원은 별개</t>
  </si>
  <si>
    <t>예외</t>
  </si>
  <si>
    <t>X61-* fixture</t>
  </si>
  <si>
    <t>SC06예외는 단독 복제 검증용. 기본 거래·손익에 합산하지 않음</t>
  </si>
  <si>
    <t>배포</t>
  </si>
  <si>
    <t>SC06요약부터 순차 조회</t>
  </si>
  <si>
    <t>원시트는 시점별 역사. 기본시연은1/14 11시, 초기U601→상세→U602. 재조회로 승인 이벤트 발생 금지</t>
  </si>
  <si>
    <t>SC05 v0.5 / SC06 화면구성 v0.2</t>
  </si>
  <si>
    <t>화면 검토반영 V601~606 동의 및 설명멘트 승인. 새 이견 없음. 부서·사람 역할과 판단개입 유지</t>
  </si>
  <si>
    <t>INNONOW SC06예외 v0.6</t>
  </si>
  <si>
    <t>기본안과 합산하지 않는 구현 검증 요구. 개발 후 실제 동작 테스트에서 사용.</t>
  </si>
  <si>
    <t>변경</t>
  </si>
  <si>
    <t>기대 처리</t>
  </si>
  <si>
    <t>보존</t>
  </si>
  <si>
    <t>X61-01</t>
  </si>
  <si>
    <t>운송비가 미확인 null</t>
  </si>
  <si>
    <t>해당 주문·과제 효과 미확인/산정 보류;0처리 금지</t>
  </si>
  <si>
    <t>FC51 및 나머지 확인실적</t>
  </si>
  <si>
    <t>X61-02</t>
  </si>
  <si>
    <t>JDG61 대체근거도 없음</t>
  </si>
  <si>
    <t>완료/검토 판단 보류, 담당·보완기한 표시</t>
  </si>
  <si>
    <t>자료 일부보완중 상태</t>
  </si>
  <si>
    <t>X61-03</t>
  </si>
  <si>
    <t>동일 order_id 중복 적재</t>
  </si>
  <si>
    <t>중복 차단 또는 대사대기;효과 이중합산 금지</t>
  </si>
  <si>
    <t>기존 주문</t>
  </si>
  <si>
    <t>X61-04</t>
  </si>
  <si>
    <t>사람 보정 전에 Agent 초안 확정 시도</t>
  </si>
  <si>
    <t>사람확인 전 원인후보 표시</t>
  </si>
  <si>
    <t>초안·입력근거</t>
  </si>
  <si>
    <t>X61-05</t>
  </si>
  <si>
    <t>보고 확정 후 효과 수치 수정</t>
  </si>
  <si>
    <t>새 산정/보고 버전;영향받는 확인 재수행</t>
  </si>
  <si>
    <t>RPT61-v1 불변</t>
  </si>
  <si>
    <t>X61-06</t>
  </si>
  <si>
    <t>PROP61 효과/예산 null</t>
  </si>
  <si>
    <t>미산정 표시;0원 승인으로 해석 금지</t>
  </si>
  <si>
    <t>발의/검토예정</t>
  </si>
  <si>
    <t>X61-07</t>
  </si>
  <si>
    <t>기대미달 비용을14건 원인비용과 합산</t>
  </si>
  <si>
    <t>대사 오류 표시. 서로 다른 지표로 유지</t>
  </si>
  <si>
    <t>미달4.8백만원/실제긴급비16.8백만원</t>
  </si>
  <si>
    <t>X61-08</t>
  </si>
  <si>
    <t>자료 미비 있으나 대체근거 충분</t>
  </si>
  <si>
    <t>판단자·사유·기한을 남겨 검토가능,수집상태는 일부보완중</t>
  </si>
  <si>
    <t>JDG61 실제 판단기록</t>
  </si>
  <si>
    <t>INNONOW SC06검증 v0.6</t>
  </si>
  <si>
    <t>검증은 다른 계산의 입력이 아니다. 기본안 기대값과 수식 대사. 개발 기능 검증은 구현 이후 수행.</t>
  </si>
  <si>
    <t>CK61-01</t>
  </si>
  <si>
    <t>FC51 Q4 기대효과</t>
  </si>
  <si>
    <t>CK61-02</t>
  </si>
  <si>
    <t>Q4 확인 효과</t>
  </si>
  <si>
    <t>CK61-03</t>
  </si>
  <si>
    <t>ACT42 효과</t>
  </si>
  <si>
    <t>CK61-04</t>
  </si>
  <si>
    <t>기대차이</t>
  </si>
  <si>
    <t>CK61-05</t>
  </si>
  <si>
    <t>주문 건수</t>
  </si>
  <si>
    <t>CK61-06</t>
  </si>
  <si>
    <t>긴급건수</t>
  </si>
  <si>
    <t>CK61-07</t>
  </si>
  <si>
    <t>긴급비</t>
  </si>
  <si>
    <t>CK61-08</t>
  </si>
  <si>
    <t>원인금액 대사</t>
  </si>
  <si>
    <t>CK61-09</t>
  </si>
  <si>
    <t>CK61-10</t>
  </si>
  <si>
    <t>10월 수량</t>
  </si>
  <si>
    <t>CK61-11</t>
  </si>
  <si>
    <t>11월 수량</t>
  </si>
  <si>
    <t>CK61-12</t>
  </si>
  <si>
    <t>12월 수량</t>
  </si>
  <si>
    <t>CK61-13</t>
  </si>
  <si>
    <t>확인 지연(복합 포함)</t>
  </si>
  <si>
    <t>CK61-14</t>
  </si>
  <si>
    <t>SC05 기대값과 스냅샷 대사</t>
  </si>
  <si>
    <t>CK61-15</t>
  </si>
  <si>
    <t>원인 건수 대사</t>
  </si>
  <si>
    <t>CK61-16</t>
  </si>
  <si>
    <t>Q4 가상 관리손익</t>
  </si>
  <si>
    <t>CK61-17</t>
  </si>
  <si>
    <t>과제 기여 기간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</si>
</sst>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yyyy\-mm\-dd"/>
    <numFmt numFmtId="177" formatCode="0.0%"/>
    <numFmt numFmtId="178" formatCode="#,##0;[Red]\(#,##0\);&quot;-&quot;"/>
    <numFmt numFmtId="179" formatCode="yyyy\-mm"/>
    <numFmt numFmtId="180" formatCode="yyyy\-mm\-dd\ hh:mm"/>
    <numFmt numFmtId="181" formatCode="#,##0.000"/>
    <numFmt numFmtId="182" formatCode="0.000"/>
    <numFmt numFmtId="183" formatCode="#,##0;\(#,##0\);&quot;-&quot;"/>
    <numFmt numFmtId="184" formatCode="#,##0.00;\(#,##0.00\);&quot;-&quot;"/>
    <numFmt numFmtId="185" formatCode="#,##0;[Red]\(#,##0\);0"/>
  </numFmts>
  <fonts count="31">
    <font>
      <sz val="11"/>
      <name val="Carlito"/>
    </font>
    <font>
      <sz val="10"/>
      <color rgb="FF172B4D"/>
      <name val="Noto Sans CJK KR"/>
    </font>
    <font>
      <b/>
      <sz val="16"/>
      <color rgb="FFFFFFFF"/>
      <name val="Noto Sans CJK KR"/>
    </font>
    <font>
      <sz val="10"/>
      <color rgb="FF52677B"/>
      <name val="Noto Sans CJK KR"/>
    </font>
    <font>
      <b/>
      <sz val="10"/>
      <color rgb="FFFFFFFF"/>
      <name val="Noto Sans CJK KR"/>
    </font>
    <font>
      <sz val="10"/>
      <color rgb="FF185ABD"/>
      <name val="Noto Sans CJK KR"/>
    </font>
    <font>
      <sz val="10"/>
      <color rgb="FF187044"/>
      <name val="Noto Sans CJK KR"/>
    </font>
    <font>
      <b/>
      <sz val="11"/>
      <color rgb="FFFFFFFF"/>
      <name val="Noto Sans CJK KR"/>
    </font>
    <font>
      <sz val="10"/>
      <name val="Noto Sans CJK KR"/>
    </font>
    <font>
      <sz val="10"/>
      <color rgb="FF18334C"/>
      <name val="Noto Sans CJK KR"/>
    </font>
    <font>
      <sz val="11"/>
      <color rgb="FF233C4A"/>
      <name val="Noto Sans CJK KR"/>
    </font>
    <font>
      <b/>
      <sz val="16"/>
      <color rgb="FF17384D"/>
      <name val="Noto Sans CJK KR"/>
    </font>
    <font>
      <sz val="10"/>
      <color rgb="FF596B76"/>
      <name val="Noto Sans CJK KR"/>
    </font>
    <font>
      <sz val="11"/>
      <color rgb="FF1F5CC1"/>
      <name val="Noto Sans CJK KR"/>
    </font>
    <font>
      <sz val="11"/>
      <color rgb="FF222222"/>
      <name val="Noto Sans CJK KR"/>
    </font>
    <font>
      <sz val="11"/>
      <color rgb="FF17623F"/>
      <name val="Noto Sans CJK KR"/>
    </font>
    <font>
      <sz val="11"/>
      <color rgb="FFFFFFFF"/>
      <name val="Carlito"/>
    </font>
    <font>
      <sz val="11"/>
      <color rgb="FF17623F"/>
      <name val="Carlito"/>
    </font>
    <font>
      <sz val="11"/>
      <color rgb="FF222222"/>
      <name val="Carlito"/>
    </font>
    <font>
      <sz val="11"/>
      <color rgb="FF203444"/>
      <name val="Noto Sans CJK KR"/>
    </font>
    <font>
      <sz val="11"/>
      <color rgb="FF202B33"/>
      <name val="Noto Sans CJK KR"/>
    </font>
    <font>
      <b/>
      <sz val="15"/>
      <color rgb="FF202B33"/>
      <name val="Noto Sans CJK KR"/>
    </font>
    <font>
      <b/>
      <sz val="11"/>
      <color rgb="FF202B33"/>
      <name val="Noto Sans CJK KR"/>
    </font>
    <font>
      <sz val="11"/>
      <color rgb="FF2458A1"/>
      <name val="Noto Sans CJK KR"/>
    </font>
    <font>
      <sz val="11"/>
      <color rgb="FF206341"/>
      <name val="Noto Sans CJK KR"/>
    </font>
    <font>
      <sz val="10"/>
      <color rgb="FF202B36"/>
      <name val="Noto Sans CJK KR"/>
    </font>
    <font>
      <b/>
      <sz val="15"/>
      <color rgb="FF202B36"/>
      <name val="Noto Sans CJK KR"/>
    </font>
    <font>
      <sz val="10"/>
      <color rgb="FF526477"/>
      <name val="Noto Sans CJK KR"/>
    </font>
    <font>
      <b/>
      <sz val="10"/>
      <color rgb="FF202B36"/>
      <name val="Noto Sans CJK KR"/>
    </font>
    <font>
      <sz val="11"/>
      <name val="Carlito"/>
    </font>
    <font>
      <sz val="8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5324F"/>
      </patternFill>
    </fill>
    <fill>
      <patternFill patternType="solid">
        <fgColor rgb="FF236278"/>
      </patternFill>
    </fill>
    <fill>
      <patternFill patternType="solid">
        <fgColor rgb="FFF1F6FA"/>
      </patternFill>
    </fill>
    <fill>
      <patternFill patternType="solid">
        <fgColor rgb="FFFFF2CC"/>
      </patternFill>
    </fill>
    <fill>
      <patternFill patternType="solid">
        <fgColor rgb="FF17354C"/>
      </patternFill>
    </fill>
    <fill>
      <patternFill patternType="solid">
        <fgColor rgb="FF087E8B"/>
      </patternFill>
    </fill>
    <fill>
      <patternFill patternType="solid">
        <fgColor rgb="FFEEF4F8"/>
      </patternFill>
    </fill>
    <fill>
      <patternFill patternType="solid">
        <fgColor rgb="FFFFFFFF"/>
      </patternFill>
    </fill>
    <fill>
      <patternFill patternType="solid">
        <fgColor rgb="FF1D4055"/>
      </patternFill>
    </fill>
    <fill>
      <patternFill patternType="solid">
        <fgColor rgb="FFEDF3F6"/>
      </patternFill>
    </fill>
    <fill>
      <patternFill patternType="solid">
        <fgColor rgb="FFFFF2CC"/>
      </patternFill>
    </fill>
    <fill>
      <patternFill patternType="solid">
        <fgColor rgb="FFDCE7EE"/>
      </patternFill>
    </fill>
    <fill>
      <patternFill patternType="solid">
        <fgColor rgb="FFF2F5F7"/>
      </patternFill>
    </fill>
    <fill>
      <patternFill patternType="solid">
        <fgColor rgb="FFFFF2CC"/>
      </patternFill>
    </fill>
    <fill>
      <patternFill patternType="solid">
        <fgColor rgb="FFDDE8F0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9" fillId="0" borderId="0"/>
  </cellStyleXfs>
  <cellXfs count="134">
    <xf numFmtId="0" fontId="0" fillId="0" borderId="0" xfId="0"/>
    <xf numFmtId="0" fontId="1" fillId="0" borderId="0" xfId="1" applyFont="1" applyAlignment="1">
      <alignment vertical="center" wrapText="1"/>
    </xf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0" fontId="1" fillId="5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176" fontId="1" fillId="5" borderId="0" xfId="1" applyNumberFormat="1" applyFont="1" applyFill="1" applyAlignment="1">
      <alignment vertical="center" wrapText="1"/>
    </xf>
    <xf numFmtId="177" fontId="5" fillId="5" borderId="0" xfId="1" applyNumberFormat="1" applyFont="1" applyFill="1" applyAlignment="1">
      <alignment vertical="center" wrapText="1"/>
    </xf>
    <xf numFmtId="178" fontId="5" fillId="5" borderId="0" xfId="1" applyNumberFormat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4" borderId="0" xfId="1" applyFont="1" applyFill="1" applyAlignment="1">
      <alignment vertical="center" wrapText="1"/>
    </xf>
    <xf numFmtId="179" fontId="1" fillId="4" borderId="0" xfId="1" applyNumberFormat="1" applyFont="1" applyFill="1" applyAlignment="1">
      <alignment vertical="center" wrapText="1"/>
    </xf>
    <xf numFmtId="179" fontId="1" fillId="0" borderId="0" xfId="1" applyNumberFormat="1" applyFont="1" applyAlignment="1">
      <alignment vertical="center" wrapText="1"/>
    </xf>
    <xf numFmtId="178" fontId="5" fillId="4" borderId="0" xfId="1" applyNumberFormat="1" applyFont="1" applyFill="1" applyAlignment="1">
      <alignment vertical="center" wrapText="1"/>
    </xf>
    <xf numFmtId="178" fontId="5" fillId="0" borderId="0" xfId="1" applyNumberFormat="1" applyFont="1" applyAlignment="1">
      <alignment vertical="center" wrapText="1"/>
    </xf>
    <xf numFmtId="178" fontId="1" fillId="4" borderId="0" xfId="1" applyNumberFormat="1" applyFont="1" applyFill="1" applyAlignment="1">
      <alignment vertical="center" wrapText="1"/>
    </xf>
    <xf numFmtId="178" fontId="1" fillId="0" borderId="0" xfId="1" applyNumberFormat="1" applyFont="1" applyAlignment="1">
      <alignment vertical="center" wrapText="1"/>
    </xf>
    <xf numFmtId="178" fontId="6" fillId="4" borderId="0" xfId="1" applyNumberFormat="1" applyFont="1" applyFill="1" applyAlignment="1">
      <alignment vertical="center" wrapText="1"/>
    </xf>
    <xf numFmtId="178" fontId="6" fillId="0" borderId="0" xfId="1" applyNumberFormat="1" applyFont="1" applyAlignment="1">
      <alignment vertical="center" wrapText="1"/>
    </xf>
    <xf numFmtId="176" fontId="6" fillId="4" borderId="0" xfId="1" applyNumberFormat="1" applyFont="1" applyFill="1" applyAlignment="1">
      <alignment vertical="center" wrapText="1"/>
    </xf>
    <xf numFmtId="176" fontId="6" fillId="0" borderId="0" xfId="1" applyNumberFormat="1" applyFont="1" applyAlignment="1">
      <alignment vertical="center" wrapText="1"/>
    </xf>
    <xf numFmtId="179" fontId="6" fillId="4" borderId="0" xfId="1" applyNumberFormat="1" applyFont="1" applyFill="1" applyAlignment="1">
      <alignment vertical="center" wrapText="1"/>
    </xf>
    <xf numFmtId="179" fontId="6" fillId="0" borderId="0" xfId="1" applyNumberFormat="1" applyFont="1" applyAlignment="1">
      <alignment vertical="center" wrapText="1"/>
    </xf>
    <xf numFmtId="10" fontId="1" fillId="4" borderId="0" xfId="1" applyNumberFormat="1" applyFont="1" applyFill="1" applyAlignment="1">
      <alignment vertical="center" wrapText="1"/>
    </xf>
    <xf numFmtId="10" fontId="1" fillId="0" borderId="0" xfId="1" applyNumberFormat="1" applyFont="1" applyAlignment="1">
      <alignment vertical="center" wrapText="1"/>
    </xf>
    <xf numFmtId="176" fontId="1" fillId="4" borderId="0" xfId="1" applyNumberFormat="1" applyFont="1" applyFill="1" applyAlignment="1">
      <alignment vertical="center" wrapText="1"/>
    </xf>
    <xf numFmtId="176" fontId="1" fillId="0" borderId="0" xfId="1" applyNumberFormat="1" applyFont="1" applyAlignment="1">
      <alignment vertical="center" wrapText="1"/>
    </xf>
    <xf numFmtId="0" fontId="7" fillId="3" borderId="0" xfId="1" applyFont="1" applyFill="1" applyAlignment="1">
      <alignment wrapText="1"/>
    </xf>
    <xf numFmtId="0" fontId="8" fillId="0" borderId="0" xfId="1" applyFont="1" applyAlignment="1">
      <alignment wrapText="1"/>
    </xf>
    <xf numFmtId="178" fontId="8" fillId="0" borderId="0" xfId="1" applyNumberFormat="1" applyFont="1" applyAlignment="1">
      <alignment wrapText="1"/>
    </xf>
    <xf numFmtId="10" fontId="5" fillId="0" borderId="0" xfId="1" applyNumberFormat="1" applyFont="1" applyAlignment="1">
      <alignment vertical="center" wrapText="1"/>
    </xf>
    <xf numFmtId="10" fontId="5" fillId="4" borderId="0" xfId="1" applyNumberFormat="1" applyFont="1" applyFill="1" applyAlignment="1">
      <alignment vertical="center" wrapText="1"/>
    </xf>
    <xf numFmtId="0" fontId="9" fillId="0" borderId="0" xfId="1" applyFont="1"/>
    <xf numFmtId="0" fontId="4" fillId="7" borderId="0" xfId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</xf>
    <xf numFmtId="0" fontId="9" fillId="9" borderId="0" xfId="1" applyFont="1" applyFill="1" applyAlignment="1">
      <alignment vertical="center" wrapText="1"/>
    </xf>
    <xf numFmtId="180" fontId="9" fillId="8" borderId="0" xfId="1" applyNumberFormat="1" applyFont="1" applyFill="1" applyAlignment="1">
      <alignment vertical="center" wrapText="1"/>
    </xf>
    <xf numFmtId="180" fontId="9" fillId="9" borderId="0" xfId="1" applyNumberFormat="1" applyFont="1" applyFill="1" applyAlignment="1">
      <alignment vertical="center" wrapText="1"/>
    </xf>
    <xf numFmtId="0" fontId="9" fillId="8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9" borderId="0" xfId="1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3" fontId="9" fillId="8" borderId="0" xfId="1" applyNumberFormat="1" applyFont="1" applyFill="1" applyAlignment="1">
      <alignment vertical="center" wrapText="1"/>
    </xf>
    <xf numFmtId="3" fontId="9" fillId="9" borderId="0" xfId="1" applyNumberFormat="1" applyFont="1" applyFill="1" applyAlignment="1">
      <alignment vertical="center" wrapText="1"/>
    </xf>
    <xf numFmtId="177" fontId="9" fillId="9" borderId="0" xfId="1" applyNumberFormat="1" applyFont="1" applyFill="1" applyAlignment="1">
      <alignment vertical="center" wrapText="1"/>
    </xf>
    <xf numFmtId="181" fontId="9" fillId="8" borderId="0" xfId="1" applyNumberFormat="1" applyFont="1" applyFill="1" applyAlignment="1">
      <alignment vertical="center" wrapText="1"/>
    </xf>
    <xf numFmtId="181" fontId="9" fillId="9" borderId="0" xfId="1" applyNumberFormat="1" applyFont="1" applyFill="1" applyAlignment="1">
      <alignment vertical="center" wrapText="1"/>
    </xf>
    <xf numFmtId="182" fontId="9" fillId="8" borderId="0" xfId="1" applyNumberFormat="1" applyFont="1" applyFill="1" applyAlignment="1">
      <alignment vertical="center" wrapText="1"/>
    </xf>
    <xf numFmtId="182" fontId="9" fillId="9" borderId="0" xfId="1" applyNumberFormat="1" applyFont="1" applyFill="1" applyAlignment="1">
      <alignment vertical="center" wrapText="1"/>
    </xf>
    <xf numFmtId="3" fontId="0" fillId="0" borderId="0" xfId="1" applyNumberFormat="1" applyFont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10" fillId="0" borderId="0" xfId="1" applyFont="1" applyAlignment="1">
      <alignment vertical="top" wrapText="1"/>
    </xf>
    <xf numFmtId="0" fontId="7" fillId="10" borderId="0" xfId="1" applyFont="1" applyFill="1" applyAlignment="1">
      <alignment vertical="center" wrapText="1"/>
    </xf>
    <xf numFmtId="0" fontId="10" fillId="11" borderId="0" xfId="1" applyFont="1" applyFill="1" applyAlignment="1">
      <alignment vertical="top" wrapText="1"/>
    </xf>
    <xf numFmtId="0" fontId="13" fillId="12" borderId="0" xfId="1" applyFont="1" applyFill="1" applyAlignment="1">
      <alignment vertical="top" wrapText="1"/>
    </xf>
    <xf numFmtId="183" fontId="10" fillId="11" borderId="0" xfId="1" applyNumberFormat="1" applyFont="1" applyFill="1" applyAlignment="1">
      <alignment vertical="top" wrapText="1"/>
    </xf>
    <xf numFmtId="183" fontId="10" fillId="0" borderId="0" xfId="1" applyNumberFormat="1" applyFont="1" applyAlignment="1">
      <alignment vertical="top" wrapText="1"/>
    </xf>
    <xf numFmtId="183" fontId="14" fillId="11" borderId="0" xfId="1" applyNumberFormat="1" applyFont="1" applyFill="1" applyAlignment="1">
      <alignment vertical="top" wrapText="1"/>
    </xf>
    <xf numFmtId="183" fontId="14" fillId="0" borderId="0" xfId="1" applyNumberFormat="1" applyFont="1" applyAlignment="1">
      <alignment vertical="top" wrapText="1"/>
    </xf>
    <xf numFmtId="183" fontId="15" fillId="11" borderId="0" xfId="1" applyNumberFormat="1" applyFont="1" applyFill="1" applyAlignment="1">
      <alignment vertical="top" wrapText="1"/>
    </xf>
    <xf numFmtId="183" fontId="15" fillId="0" borderId="0" xfId="1" applyNumberFormat="1" applyFont="1" applyAlignment="1">
      <alignment vertical="top" wrapText="1"/>
    </xf>
    <xf numFmtId="179" fontId="10" fillId="11" borderId="0" xfId="1" applyNumberFormat="1" applyFont="1" applyFill="1" applyAlignment="1">
      <alignment vertical="top" wrapText="1"/>
    </xf>
    <xf numFmtId="179" fontId="15" fillId="11" borderId="0" xfId="1" applyNumberFormat="1" applyFont="1" applyFill="1" applyAlignment="1">
      <alignment vertical="top" wrapText="1"/>
    </xf>
    <xf numFmtId="179" fontId="10" fillId="0" borderId="0" xfId="1" applyNumberFormat="1" applyFont="1" applyAlignment="1">
      <alignment vertical="top" wrapText="1"/>
    </xf>
    <xf numFmtId="179" fontId="15" fillId="0" borderId="0" xfId="1" applyNumberFormat="1" applyFont="1" applyAlignment="1">
      <alignment vertical="top" wrapText="1"/>
    </xf>
    <xf numFmtId="180" fontId="10" fillId="11" borderId="0" xfId="1" applyNumberFormat="1" applyFont="1" applyFill="1" applyAlignment="1">
      <alignment vertical="top" wrapText="1"/>
    </xf>
    <xf numFmtId="180" fontId="10" fillId="0" borderId="0" xfId="1" applyNumberFormat="1" applyFont="1" applyAlignment="1">
      <alignment vertical="top" wrapText="1"/>
    </xf>
    <xf numFmtId="0" fontId="16" fillId="10" borderId="0" xfId="1" applyFont="1" applyFill="1" applyAlignment="1">
      <alignment wrapText="1"/>
    </xf>
    <xf numFmtId="0" fontId="0" fillId="0" borderId="0" xfId="1" applyFont="1" applyAlignment="1">
      <alignment wrapText="1"/>
    </xf>
    <xf numFmtId="183" fontId="17" fillId="0" borderId="0" xfId="1" applyNumberFormat="1" applyFont="1" applyAlignment="1">
      <alignment wrapText="1"/>
    </xf>
    <xf numFmtId="183" fontId="18" fillId="0" borderId="0" xfId="1" applyNumberFormat="1" applyFont="1" applyAlignment="1">
      <alignment wrapText="1"/>
    </xf>
    <xf numFmtId="0" fontId="19" fillId="11" borderId="0" xfId="1" applyFont="1" applyFill="1" applyAlignment="1">
      <alignment vertical="top" wrapText="1"/>
    </xf>
    <xf numFmtId="183" fontId="19" fillId="0" borderId="0" xfId="1" applyNumberFormat="1" applyFont="1" applyAlignment="1">
      <alignment vertical="top" wrapText="1"/>
    </xf>
    <xf numFmtId="183" fontId="19" fillId="11" borderId="0" xfId="1" applyNumberFormat="1" applyFont="1" applyFill="1" applyAlignment="1">
      <alignment vertical="top" wrapText="1"/>
    </xf>
    <xf numFmtId="0" fontId="19" fillId="0" borderId="0" xfId="1" applyFont="1" applyAlignment="1">
      <alignment vertical="top" wrapText="1"/>
    </xf>
    <xf numFmtId="176" fontId="13" fillId="5" borderId="0" xfId="1" applyNumberFormat="1" applyFont="1" applyFill="1" applyAlignment="1">
      <alignment vertical="top" wrapText="1"/>
    </xf>
    <xf numFmtId="183" fontId="13" fillId="5" borderId="0" xfId="1" applyNumberFormat="1" applyFont="1" applyFill="1" applyAlignment="1">
      <alignment vertical="top" wrapText="1"/>
    </xf>
    <xf numFmtId="0" fontId="20" fillId="0" borderId="0" xfId="1" applyFont="1"/>
    <xf numFmtId="0" fontId="21" fillId="0" borderId="0" xfId="1" applyFont="1"/>
    <xf numFmtId="0" fontId="22" fillId="13" borderId="0" xfId="1" applyFont="1" applyFill="1" applyAlignment="1">
      <alignment horizontal="center" vertical="center" wrapText="1"/>
    </xf>
    <xf numFmtId="0" fontId="20" fillId="0" borderId="0" xfId="1" applyFont="1" applyAlignment="1">
      <alignment vertical="top" wrapText="1"/>
    </xf>
    <xf numFmtId="0" fontId="20" fillId="14" borderId="0" xfId="1" applyFont="1" applyFill="1" applyAlignment="1">
      <alignment vertical="top" wrapText="1"/>
    </xf>
    <xf numFmtId="0" fontId="23" fillId="0" borderId="0" xfId="1" applyFont="1" applyAlignment="1">
      <alignment vertical="top" wrapText="1"/>
    </xf>
    <xf numFmtId="0" fontId="23" fillId="14" borderId="0" xfId="1" applyFont="1" applyFill="1" applyAlignment="1">
      <alignment vertical="top" wrapText="1"/>
    </xf>
    <xf numFmtId="180" fontId="23" fillId="0" borderId="0" xfId="1" applyNumberFormat="1" applyFont="1" applyAlignment="1">
      <alignment vertical="top" wrapText="1"/>
    </xf>
    <xf numFmtId="180" fontId="23" fillId="14" borderId="0" xfId="1" applyNumberFormat="1" applyFont="1" applyFill="1" applyAlignment="1">
      <alignment vertical="top" wrapText="1"/>
    </xf>
    <xf numFmtId="179" fontId="23" fillId="0" borderId="0" xfId="1" applyNumberFormat="1" applyFont="1" applyAlignment="1">
      <alignment vertical="top" wrapText="1"/>
    </xf>
    <xf numFmtId="179" fontId="23" fillId="14" borderId="0" xfId="1" applyNumberFormat="1" applyFont="1" applyFill="1" applyAlignment="1">
      <alignment vertical="top" wrapText="1"/>
    </xf>
    <xf numFmtId="183" fontId="23" fillId="0" borderId="0" xfId="1" applyNumberFormat="1" applyFont="1" applyAlignment="1">
      <alignment vertical="top" wrapText="1"/>
    </xf>
    <xf numFmtId="183" fontId="23" fillId="14" borderId="0" xfId="1" applyNumberFormat="1" applyFont="1" applyFill="1" applyAlignment="1">
      <alignment vertical="top" wrapText="1"/>
    </xf>
    <xf numFmtId="176" fontId="23" fillId="0" borderId="0" xfId="1" applyNumberFormat="1" applyFont="1" applyAlignment="1">
      <alignment vertical="top" wrapText="1"/>
    </xf>
    <xf numFmtId="176" fontId="23" fillId="14" borderId="0" xfId="1" applyNumberFormat="1" applyFont="1" applyFill="1" applyAlignment="1">
      <alignment vertical="top" wrapText="1"/>
    </xf>
    <xf numFmtId="183" fontId="20" fillId="0" borderId="0" xfId="1" applyNumberFormat="1" applyFont="1" applyAlignment="1">
      <alignment vertical="top" wrapText="1"/>
    </xf>
    <xf numFmtId="183" fontId="20" fillId="14" borderId="0" xfId="1" applyNumberFormat="1" applyFont="1" applyFill="1" applyAlignment="1">
      <alignment vertical="top" wrapText="1"/>
    </xf>
    <xf numFmtId="180" fontId="20" fillId="14" borderId="0" xfId="1" applyNumberFormat="1" applyFont="1" applyFill="1" applyAlignment="1">
      <alignment vertical="top" wrapText="1"/>
    </xf>
    <xf numFmtId="0" fontId="24" fillId="0" borderId="0" xfId="1" applyFont="1" applyAlignment="1">
      <alignment vertical="top" wrapText="1"/>
    </xf>
    <xf numFmtId="0" fontId="24" fillId="14" borderId="0" xfId="1" applyFont="1" applyFill="1" applyAlignment="1">
      <alignment vertical="top" wrapText="1"/>
    </xf>
    <xf numFmtId="183" fontId="24" fillId="0" borderId="0" xfId="1" applyNumberFormat="1" applyFont="1" applyAlignment="1">
      <alignment vertical="top" wrapText="1"/>
    </xf>
    <xf numFmtId="183" fontId="24" fillId="14" borderId="0" xfId="1" applyNumberFormat="1" applyFont="1" applyFill="1" applyAlignment="1">
      <alignment vertical="top" wrapText="1"/>
    </xf>
    <xf numFmtId="180" fontId="20" fillId="0" borderId="0" xfId="1" applyNumberFormat="1" applyFont="1" applyAlignment="1">
      <alignment vertical="top" wrapText="1"/>
    </xf>
    <xf numFmtId="184" fontId="24" fillId="0" borderId="0" xfId="1" applyNumberFormat="1" applyFont="1" applyAlignment="1">
      <alignment vertical="top" wrapText="1"/>
    </xf>
    <xf numFmtId="184" fontId="24" fillId="14" borderId="0" xfId="1" applyNumberFormat="1" applyFont="1" applyFill="1" applyAlignment="1">
      <alignment vertical="top" wrapText="1"/>
    </xf>
    <xf numFmtId="184" fontId="20" fillId="0" borderId="0" xfId="1" applyNumberFormat="1" applyFont="1" applyAlignment="1">
      <alignment vertical="top" wrapText="1"/>
    </xf>
    <xf numFmtId="184" fontId="20" fillId="14" borderId="0" xfId="1" applyNumberFormat="1" applyFont="1" applyFill="1" applyAlignment="1">
      <alignment vertical="top" wrapText="1"/>
    </xf>
    <xf numFmtId="0" fontId="23" fillId="15" borderId="0" xfId="1" applyFont="1" applyFill="1" applyAlignment="1">
      <alignment vertical="top" wrapText="1"/>
    </xf>
    <xf numFmtId="0" fontId="20" fillId="15" borderId="0" xfId="1" applyFont="1" applyFill="1" applyAlignment="1">
      <alignment vertical="top" wrapText="1"/>
    </xf>
    <xf numFmtId="176" fontId="23" fillId="15" borderId="0" xfId="1" applyNumberFormat="1" applyFont="1" applyFill="1" applyAlignment="1">
      <alignment vertical="top" wrapText="1"/>
    </xf>
    <xf numFmtId="180" fontId="23" fillId="15" borderId="0" xfId="1" applyNumberFormat="1" applyFont="1" applyFill="1" applyAlignment="1">
      <alignment vertical="top" wrapText="1"/>
    </xf>
    <xf numFmtId="176" fontId="20" fillId="14" borderId="0" xfId="1" applyNumberFormat="1" applyFont="1" applyFill="1" applyAlignment="1">
      <alignment vertical="top" wrapText="1"/>
    </xf>
    <xf numFmtId="177" fontId="20" fillId="0" borderId="0" xfId="1" applyNumberFormat="1" applyFont="1" applyAlignment="1">
      <alignment vertical="top" wrapText="1"/>
    </xf>
    <xf numFmtId="0" fontId="25" fillId="0" borderId="0" xfId="1" applyFont="1"/>
    <xf numFmtId="0" fontId="26" fillId="0" borderId="0" xfId="1" applyFont="1"/>
    <xf numFmtId="0" fontId="27" fillId="0" borderId="0" xfId="1" applyFont="1"/>
    <xf numFmtId="0" fontId="25" fillId="0" borderId="0" xfId="1" applyFont="1" applyAlignment="1">
      <alignment vertical="top" wrapText="1"/>
    </xf>
    <xf numFmtId="0" fontId="28" fillId="16" borderId="0" xfId="1" applyFont="1" applyFill="1" applyAlignment="1">
      <alignment vertical="top" wrapText="1"/>
    </xf>
    <xf numFmtId="0" fontId="25" fillId="17" borderId="0" xfId="1" applyFont="1" applyFill="1" applyAlignment="1">
      <alignment vertical="top" wrapText="1"/>
    </xf>
    <xf numFmtId="180" fontId="25" fillId="17" borderId="0" xfId="1" applyNumberFormat="1" applyFont="1" applyFill="1" applyAlignment="1">
      <alignment vertical="top" wrapText="1"/>
    </xf>
    <xf numFmtId="180" fontId="25" fillId="0" borderId="0" xfId="1" applyNumberFormat="1" applyFont="1" applyAlignment="1">
      <alignment vertical="top" wrapText="1"/>
    </xf>
    <xf numFmtId="3" fontId="25" fillId="17" borderId="0" xfId="1" applyNumberFormat="1" applyFont="1" applyFill="1" applyAlignment="1">
      <alignment vertical="top" wrapText="1"/>
    </xf>
    <xf numFmtId="3" fontId="25" fillId="0" borderId="0" xfId="1" applyNumberFormat="1" applyFont="1" applyAlignment="1">
      <alignment vertical="top" wrapText="1"/>
    </xf>
    <xf numFmtId="177" fontId="25" fillId="0" borderId="0" xfId="1" applyNumberFormat="1" applyFont="1" applyAlignment="1">
      <alignment vertical="top" wrapText="1"/>
    </xf>
    <xf numFmtId="185" fontId="25" fillId="0" borderId="0" xfId="1" applyNumberFormat="1" applyFont="1" applyAlignment="1">
      <alignment vertical="top" wrapText="1"/>
    </xf>
    <xf numFmtId="185" fontId="25" fillId="17" borderId="0" xfId="1" applyNumberFormat="1" applyFont="1" applyFill="1" applyAlignment="1">
      <alignment vertical="top" wrapText="1"/>
    </xf>
    <xf numFmtId="0" fontId="11" fillId="0" borderId="0" xfId="1" applyFont="1"/>
    <xf numFmtId="0" fontId="10" fillId="0" borderId="0" xfId="1" applyFont="1"/>
    <xf numFmtId="0" fontId="12" fillId="0" borderId="0" xfId="1" applyFont="1"/>
    <xf numFmtId="0" fontId="2" fillId="2" borderId="0" xfId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2" fillId="6" borderId="0" xfId="1" applyFont="1" applyFill="1"/>
    <xf numFmtId="0" fontId="9" fillId="6" borderId="0" xfId="1" applyFont="1" applyFill="1"/>
    <xf numFmtId="0" fontId="9" fillId="0" borderId="0" xfId="1" applyFont="1"/>
  </cellXfs>
  <cellStyles count="2">
    <cellStyle name="Normal" xfId="1" xr:uid="{00000000-0005-0000-0000-000000000000}"/>
    <cellStyle name="표준" xfId="0" builtinId="0"/>
  </cellStyles>
  <dxfs count="1">
    <dxf>
      <font>
        <b/>
        <color rgb="FF9C2020"/>
      </font>
      <fill>
        <patternFill>
          <bgColor rgb="FFFC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D77"/>
  </sheetPr>
  <dimension ref="A1:D22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6" customWidth="1"/>
    <col min="2" max="2" width="46" customWidth="1"/>
    <col min="3" max="3" width="32" customWidth="1"/>
    <col min="4" max="4" width="115" customWidth="1"/>
  </cols>
  <sheetData>
    <row r="1" spans="1:4" ht="30" customHeight="1">
      <c r="A1" s="125" t="s">
        <v>0</v>
      </c>
      <c r="B1" s="126"/>
      <c r="C1" s="126"/>
      <c r="D1" s="126"/>
    </row>
    <row r="2" spans="1:4" ht="30" customHeight="1">
      <c r="A2" s="126"/>
      <c r="B2" s="126"/>
      <c r="C2" s="126"/>
      <c r="D2" s="126"/>
    </row>
    <row r="3" spans="1:4" ht="43.95" customHeight="1">
      <c r="A3" s="127" t="s">
        <v>1</v>
      </c>
      <c r="B3" s="126"/>
      <c r="C3" s="126"/>
      <c r="D3" s="126"/>
    </row>
    <row r="4" spans="1:4" ht="30" customHeight="1">
      <c r="A4" s="50"/>
      <c r="B4" s="50"/>
      <c r="C4" s="50"/>
      <c r="D4" s="50"/>
    </row>
    <row r="5" spans="1:4" ht="36" customHeight="1">
      <c r="A5" s="54" t="s">
        <v>2</v>
      </c>
      <c r="B5" s="54" t="s">
        <v>3</v>
      </c>
      <c r="C5" s="54" t="s">
        <v>4</v>
      </c>
      <c r="D5" s="54" t="s">
        <v>5</v>
      </c>
    </row>
    <row r="6" spans="1:4" ht="30" customHeight="1">
      <c r="A6" s="55" t="s">
        <v>6</v>
      </c>
      <c r="B6" s="73" t="s">
        <v>7</v>
      </c>
      <c r="C6" s="55" t="s">
        <v>8</v>
      </c>
      <c r="D6" s="55" t="s">
        <v>9</v>
      </c>
    </row>
    <row r="7" spans="1:4" ht="30" customHeight="1">
      <c r="A7" s="53" t="s">
        <v>10</v>
      </c>
      <c r="B7" s="74">
        <f>통합손익!K21</f>
        <v>3299986680</v>
      </c>
      <c r="C7" s="53" t="s">
        <v>11</v>
      </c>
      <c r="D7" s="53" t="s">
        <v>12</v>
      </c>
    </row>
    <row r="8" spans="1:4" ht="30" customHeight="1">
      <c r="A8" s="55" t="s">
        <v>13</v>
      </c>
      <c r="B8" s="75">
        <f>통합손익!M21</f>
        <v>3477290000</v>
      </c>
      <c r="C8" s="55" t="s">
        <v>11</v>
      </c>
      <c r="D8" s="55" t="s">
        <v>14</v>
      </c>
    </row>
    <row r="9" spans="1:4" ht="30" customHeight="1">
      <c r="A9" s="53" t="s">
        <v>15</v>
      </c>
      <c r="B9" s="74">
        <f>통합손익!N21</f>
        <v>177303320</v>
      </c>
      <c r="C9" s="53" t="s">
        <v>11</v>
      </c>
      <c r="D9" s="53" t="s">
        <v>16</v>
      </c>
    </row>
    <row r="10" spans="1:4" ht="30" customHeight="1">
      <c r="A10" s="55" t="s">
        <v>17</v>
      </c>
      <c r="B10" s="75">
        <f>SC04비교!C9</f>
        <v>137200000</v>
      </c>
      <c r="C10" s="55" t="s">
        <v>11</v>
      </c>
      <c r="D10" s="55" t="s">
        <v>18</v>
      </c>
    </row>
    <row r="11" spans="1:4" ht="30" customHeight="1">
      <c r="A11" s="53" t="s">
        <v>19</v>
      </c>
      <c r="B11" s="74">
        <f>SC04비교!D9</f>
        <v>127800000</v>
      </c>
      <c r="C11" s="53" t="s">
        <v>11</v>
      </c>
      <c r="D11" s="53" t="s">
        <v>20</v>
      </c>
    </row>
    <row r="12" spans="1:4" ht="30" customHeight="1">
      <c r="A12" s="55" t="s">
        <v>21</v>
      </c>
      <c r="B12" s="75">
        <f>SC04비교!E9</f>
        <v>-9400000</v>
      </c>
      <c r="C12" s="55" t="s">
        <v>11</v>
      </c>
      <c r="D12" s="55" t="s">
        <v>22</v>
      </c>
    </row>
    <row r="13" spans="1:4" ht="30" customHeight="1">
      <c r="A13" s="53" t="s">
        <v>23</v>
      </c>
      <c r="B13" s="74">
        <f>SC04월손익!G18</f>
        <v>3427786680</v>
      </c>
      <c r="C13" s="53" t="s">
        <v>11</v>
      </c>
      <c r="D13" s="53" t="s">
        <v>24</v>
      </c>
    </row>
    <row r="14" spans="1:4" ht="30" customHeight="1">
      <c r="A14" s="55" t="s">
        <v>25</v>
      </c>
      <c r="B14" s="75">
        <f>SC04월손익!H18</f>
        <v>49503320</v>
      </c>
      <c r="C14" s="55" t="s">
        <v>11</v>
      </c>
      <c r="D14" s="55" t="s">
        <v>26</v>
      </c>
    </row>
    <row r="15" spans="1:4" ht="30" customHeight="1">
      <c r="A15" s="53" t="s">
        <v>27</v>
      </c>
      <c r="B15" s="74">
        <f>SC04월손익!J18</f>
        <v>85103320</v>
      </c>
      <c r="C15" s="53" t="s">
        <v>11</v>
      </c>
      <c r="D15" s="53" t="s">
        <v>28</v>
      </c>
    </row>
    <row r="16" spans="1:4" ht="30" customHeight="1">
      <c r="A16" s="55" t="s">
        <v>29</v>
      </c>
      <c r="B16" s="75">
        <f>SC04비교!F9</f>
        <v>357600000</v>
      </c>
      <c r="C16" s="55" t="s">
        <v>11</v>
      </c>
      <c r="D16" s="55" t="s">
        <v>30</v>
      </c>
    </row>
    <row r="17" spans="1:4" ht="30" customHeight="1">
      <c r="A17" s="53" t="s">
        <v>31</v>
      </c>
      <c r="B17" s="74">
        <f>SC04예산과제!E9</f>
        <v>18000000</v>
      </c>
      <c r="C17" s="53" t="s">
        <v>11</v>
      </c>
      <c r="D17" s="53" t="s">
        <v>32</v>
      </c>
    </row>
    <row r="18" spans="1:4" ht="30" customHeight="1">
      <c r="A18" s="55" t="s">
        <v>33</v>
      </c>
      <c r="B18" s="73" t="s">
        <v>34</v>
      </c>
      <c r="C18" s="55" t="s">
        <v>35</v>
      </c>
      <c r="D18" s="55" t="s">
        <v>36</v>
      </c>
    </row>
    <row r="19" spans="1:4" ht="30" customHeight="1">
      <c r="A19" s="53" t="s">
        <v>37</v>
      </c>
      <c r="B19" s="76" t="s">
        <v>38</v>
      </c>
      <c r="C19" s="53" t="s">
        <v>39</v>
      </c>
      <c r="D19" s="53" t="s">
        <v>40</v>
      </c>
    </row>
    <row r="20" spans="1:4" ht="30" customHeight="1">
      <c r="A20" s="55" t="s">
        <v>41</v>
      </c>
      <c r="B20" s="73" t="s">
        <v>42</v>
      </c>
      <c r="C20" s="55" t="s">
        <v>43</v>
      </c>
      <c r="D20" s="55" t="s">
        <v>44</v>
      </c>
    </row>
    <row r="21" spans="1:4" ht="43.95" customHeight="1">
      <c r="A21" s="53" t="s">
        <v>45</v>
      </c>
      <c r="B21" s="76" t="s">
        <v>46</v>
      </c>
      <c r="C21" s="53" t="s">
        <v>47</v>
      </c>
      <c r="D21" s="53" t="s">
        <v>48</v>
      </c>
    </row>
    <row r="22" spans="1:4" ht="43.95" customHeight="1">
      <c r="A22" s="55" t="s">
        <v>49</v>
      </c>
      <c r="B22" s="73" t="s">
        <v>50</v>
      </c>
      <c r="C22" s="55" t="s">
        <v>51</v>
      </c>
      <c r="D22" s="55" t="s">
        <v>52</v>
      </c>
    </row>
  </sheetData>
  <mergeCells count="2">
    <mergeCell ref="A1:D2"/>
    <mergeCell ref="A3:D3"/>
  </mergeCells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3" width="27" customWidth="1"/>
    <col min="4" max="4" width="80" customWidth="1"/>
  </cols>
  <sheetData>
    <row r="1" spans="1:4" ht="30" customHeight="1">
      <c r="A1" s="128" t="s">
        <v>53</v>
      </c>
      <c r="B1" s="128"/>
      <c r="C1" s="128"/>
      <c r="D1" s="128"/>
    </row>
    <row r="2" spans="1:4" ht="30" customHeight="1">
      <c r="A2" s="128"/>
      <c r="B2" s="128"/>
      <c r="C2" s="128"/>
      <c r="D2" s="128"/>
    </row>
    <row r="3" spans="1:4" ht="43.95" customHeight="1">
      <c r="A3" s="129" t="s">
        <v>54</v>
      </c>
      <c r="B3" s="130"/>
      <c r="C3" s="130"/>
      <c r="D3" s="130"/>
    </row>
    <row r="4" spans="1:4" ht="30" customHeight="1">
      <c r="A4" s="1"/>
      <c r="B4" s="1"/>
      <c r="C4" s="1"/>
      <c r="D4" s="1"/>
    </row>
    <row r="5" spans="1:4" ht="42" customHeight="1">
      <c r="A5" s="4" t="s">
        <v>55</v>
      </c>
      <c r="B5" s="4" t="s">
        <v>56</v>
      </c>
      <c r="C5" s="4" t="s">
        <v>57</v>
      </c>
      <c r="D5" s="4" t="s">
        <v>58</v>
      </c>
    </row>
    <row r="6" spans="1:4" ht="30" customHeight="1">
      <c r="A6" s="5" t="s">
        <v>59</v>
      </c>
      <c r="B6" s="8">
        <v>46569</v>
      </c>
      <c r="C6" s="5" t="s">
        <v>60</v>
      </c>
      <c r="D6" s="5" t="s">
        <v>61</v>
      </c>
    </row>
    <row r="7" spans="1:4" ht="30" customHeight="1">
      <c r="A7" s="1" t="s">
        <v>62</v>
      </c>
      <c r="B7" s="9">
        <v>0.97</v>
      </c>
      <c r="C7" s="1" t="s">
        <v>63</v>
      </c>
      <c r="D7" s="1" t="s">
        <v>64</v>
      </c>
    </row>
    <row r="8" spans="1:4" ht="30" customHeight="1">
      <c r="A8" s="5" t="s">
        <v>65</v>
      </c>
      <c r="B8" s="9">
        <v>0.05</v>
      </c>
      <c r="C8" s="5" t="s">
        <v>66</v>
      </c>
      <c r="D8" s="5" t="s">
        <v>67</v>
      </c>
    </row>
    <row r="9" spans="1:4" ht="30" customHeight="1">
      <c r="A9" s="1" t="s">
        <v>68</v>
      </c>
      <c r="B9" s="9">
        <v>0.1</v>
      </c>
      <c r="C9" s="1" t="s">
        <v>69</v>
      </c>
      <c r="D9" s="1" t="s">
        <v>70</v>
      </c>
    </row>
    <row r="10" spans="1:4" ht="30" customHeight="1">
      <c r="A10" s="5" t="s">
        <v>71</v>
      </c>
      <c r="B10" s="10">
        <v>5000000</v>
      </c>
      <c r="C10" s="5" t="s">
        <v>72</v>
      </c>
      <c r="D10" s="5" t="s">
        <v>73</v>
      </c>
    </row>
    <row r="11" spans="1:4" ht="30" customHeight="1">
      <c r="A11" s="1" t="s">
        <v>74</v>
      </c>
      <c r="B11" s="10">
        <v>10000000</v>
      </c>
      <c r="C11" s="1" t="s">
        <v>75</v>
      </c>
      <c r="D11" s="1" t="s">
        <v>76</v>
      </c>
    </row>
    <row r="12" spans="1:4" ht="30" customHeight="1">
      <c r="A12" s="5" t="s">
        <v>77</v>
      </c>
      <c r="B12" s="10">
        <v>10000000</v>
      </c>
      <c r="C12" s="5" t="s">
        <v>78</v>
      </c>
      <c r="D12" s="5" t="s">
        <v>79</v>
      </c>
    </row>
    <row r="13" spans="1:4" ht="30" customHeight="1">
      <c r="A13" s="1" t="s">
        <v>80</v>
      </c>
      <c r="B13" s="10">
        <v>2000</v>
      </c>
      <c r="C13" s="1" t="s">
        <v>81</v>
      </c>
      <c r="D13" s="1" t="s">
        <v>82</v>
      </c>
    </row>
    <row r="14" spans="1:4" ht="30" customHeight="1">
      <c r="A14" s="5" t="s">
        <v>83</v>
      </c>
      <c r="B14" s="10">
        <v>2200</v>
      </c>
      <c r="C14" s="5" t="s">
        <v>84</v>
      </c>
      <c r="D14" s="5" t="s">
        <v>85</v>
      </c>
    </row>
    <row r="15" spans="1:4" ht="30" customHeight="1">
      <c r="A15" s="1" t="s">
        <v>86</v>
      </c>
      <c r="B15" s="10">
        <v>2100</v>
      </c>
      <c r="C15" s="1" t="s">
        <v>87</v>
      </c>
      <c r="D15" s="1" t="s">
        <v>88</v>
      </c>
    </row>
    <row r="16" spans="1:4" ht="30" customHeight="1">
      <c r="A16" s="5" t="s">
        <v>89</v>
      </c>
      <c r="B16" s="10">
        <v>2120</v>
      </c>
      <c r="C16" s="5" t="s">
        <v>90</v>
      </c>
      <c r="D16" s="5" t="s">
        <v>91</v>
      </c>
    </row>
    <row r="17" spans="1:4" ht="30" customHeight="1">
      <c r="A17" s="1" t="s">
        <v>92</v>
      </c>
      <c r="B17" s="10">
        <v>2120</v>
      </c>
      <c r="C17" s="1" t="s">
        <v>93</v>
      </c>
      <c r="D17" s="1" t="s">
        <v>94</v>
      </c>
    </row>
    <row r="18" spans="1:4" ht="30" customHeight="1">
      <c r="A18" s="5" t="s">
        <v>95</v>
      </c>
      <c r="B18" s="10">
        <v>2120</v>
      </c>
      <c r="C18" s="5" t="s">
        <v>96</v>
      </c>
      <c r="D18" s="5" t="s">
        <v>97</v>
      </c>
    </row>
    <row r="19" spans="1:4" ht="40.049999999999997" customHeight="1">
      <c r="A19" s="1" t="s">
        <v>98</v>
      </c>
      <c r="B19" s="6" t="s">
        <v>99</v>
      </c>
      <c r="C19" s="1" t="s">
        <v>100</v>
      </c>
      <c r="D19" s="1" t="s">
        <v>101</v>
      </c>
    </row>
    <row r="20" spans="1:4" ht="40.049999999999997" customHeight="1">
      <c r="A20" s="5" t="s">
        <v>102</v>
      </c>
      <c r="B20" s="6" t="s">
        <v>103</v>
      </c>
      <c r="C20" s="5" t="s">
        <v>104</v>
      </c>
      <c r="D20" s="5" t="s">
        <v>105</v>
      </c>
    </row>
    <row r="21" spans="1:4" ht="30" customHeight="1">
      <c r="A21" s="1" t="s">
        <v>106</v>
      </c>
      <c r="B21" s="10">
        <v>370000000</v>
      </c>
      <c r="C21" s="1" t="s">
        <v>107</v>
      </c>
      <c r="D21" s="1" t="s">
        <v>108</v>
      </c>
    </row>
    <row r="22" spans="1:4" ht="30" customHeight="1">
      <c r="A22" s="5" t="s">
        <v>109</v>
      </c>
      <c r="B22" s="7">
        <v>0</v>
      </c>
      <c r="C22" s="5" t="s">
        <v>110</v>
      </c>
      <c r="D22" s="5" t="s">
        <v>111</v>
      </c>
    </row>
    <row r="23" spans="1:4" ht="30" customHeight="1">
      <c r="A23" s="1" t="s">
        <v>112</v>
      </c>
      <c r="B23" s="8">
        <f>EDATE(B6,12)</f>
        <v>46935</v>
      </c>
      <c r="C23" s="1" t="s">
        <v>113</v>
      </c>
      <c r="D23" s="1" t="s">
        <v>114</v>
      </c>
    </row>
    <row r="24" spans="1:4" ht="30" customHeight="1">
      <c r="A24" s="5" t="s">
        <v>115</v>
      </c>
      <c r="B24" s="8">
        <f>DATE(YEAR(B6)+1,1,1)</f>
        <v>46753</v>
      </c>
      <c r="C24" s="5" t="s">
        <v>116</v>
      </c>
      <c r="D24" s="5" t="s">
        <v>117</v>
      </c>
    </row>
    <row r="25" spans="1:4" ht="40.049999999999997" customHeight="1">
      <c r="A25" s="1" t="s">
        <v>118</v>
      </c>
      <c r="B25" s="7">
        <v>60</v>
      </c>
      <c r="C25" s="1" t="s">
        <v>119</v>
      </c>
      <c r="D25" s="1" t="s">
        <v>120</v>
      </c>
    </row>
  </sheetData>
  <mergeCells count="2">
    <mergeCell ref="A1:D2"/>
    <mergeCell ref="A3:D3"/>
  </mergeCells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18" customWidth="1"/>
    <col min="3" max="5" width="14" customWidth="1"/>
    <col min="6" max="6" width="19" customWidth="1"/>
    <col min="7" max="7" width="21" customWidth="1"/>
    <col min="8" max="8" width="23" customWidth="1"/>
    <col min="9" max="9" width="24" customWidth="1"/>
    <col min="10" max="12" width="16" customWidth="1"/>
    <col min="13" max="13" width="23" customWidth="1"/>
    <col min="14" max="15" width="25" customWidth="1"/>
  </cols>
  <sheetData>
    <row r="1" spans="1:15" ht="30" customHeight="1">
      <c r="A1" s="128" t="s">
        <v>121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ht="30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1:15" ht="43.95" customHeight="1">
      <c r="A3" s="129" t="s">
        <v>122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4" t="s">
        <v>123</v>
      </c>
      <c r="B5" s="4" t="s">
        <v>124</v>
      </c>
      <c r="C5" s="4" t="s">
        <v>125</v>
      </c>
      <c r="D5" s="4" t="s">
        <v>126</v>
      </c>
      <c r="E5" s="4" t="s">
        <v>127</v>
      </c>
      <c r="F5" s="4" t="s">
        <v>128</v>
      </c>
      <c r="G5" s="4" t="s">
        <v>129</v>
      </c>
      <c r="H5" s="4" t="s">
        <v>130</v>
      </c>
      <c r="I5" s="4" t="s">
        <v>131</v>
      </c>
      <c r="J5" s="4" t="s">
        <v>132</v>
      </c>
      <c r="K5" s="4" t="s">
        <v>133</v>
      </c>
      <c r="L5" s="4" t="s">
        <v>134</v>
      </c>
      <c r="M5" s="4" t="s">
        <v>135</v>
      </c>
      <c r="N5" s="4" t="s">
        <v>136</v>
      </c>
      <c r="O5" s="4" t="s">
        <v>137</v>
      </c>
    </row>
    <row r="6" spans="1:15" ht="30" customHeight="1">
      <c r="A6" s="5" t="s">
        <v>138</v>
      </c>
      <c r="B6" s="5" t="s">
        <v>139</v>
      </c>
      <c r="C6" s="19">
        <f>단가버전!E6</f>
        <v>2000</v>
      </c>
      <c r="D6" s="19">
        <f>단가버전!F6</f>
        <v>2200</v>
      </c>
      <c r="E6" s="25">
        <f>IF(C6&gt;0,(D6-C6)/C6,"미산출")</f>
        <v>0.1</v>
      </c>
      <c r="F6" s="19">
        <f>IF(SUMPRODUCT(월별계산!$O$6:$O$100,월별계산!$U$6:$U$100)&lt;&gt;SUM(월별계산!$O$6:$O$100),"미산출",SUMPRODUCT(월별계산!$J$6:$J$100,월별계산!$O$6:$O$100))</f>
        <v>78036</v>
      </c>
      <c r="G6" s="19">
        <f>IF(SUMPRODUCT(월별계산!$N$6:$N$100,월별계산!$U$6:$U$100)&lt;&gt;SUM(월별계산!$N$6:$N$100),"미산출",SUMPRODUCT(월별계산!$J$6:$J$100,월별계산!$N$6:$N$100))</f>
        <v>156812</v>
      </c>
      <c r="H6" s="17">
        <f>IF(ISNUMBER(F6),F6*(D6-C6),"미산출")</f>
        <v>15607200</v>
      </c>
      <c r="I6" s="17">
        <f>IF(AND(ISNUMBER(G6),SUM(월별계산!$N$6:$N$100)=설정!$B$25),G6*(D6-C6),"미산출")</f>
        <v>31362400</v>
      </c>
      <c r="J6" s="12" t="str">
        <f>IF(NOT(ISNUMBER(E6)),"미산출",IF(E6&gt;=설정!$B$9,"중요",IF(E6&gt;=설정!$B$8,"관심","정상")))</f>
        <v>중요</v>
      </c>
      <c r="K6" s="12" t="str">
        <f>IF(NOT(ISNUMBER(I6)),"미산출",IF(I6&gt;=설정!$B$11,"중요",IF(I6&gt;=설정!$B$10,"관심","정상")))</f>
        <v>중요</v>
      </c>
      <c r="L6" s="5" t="str">
        <f>IF(OR(J6="미산출",K6="미산출"),"미산출",IF(OR(J6="중요",K6="중요"),"중요",IF(OR(J6="관심",K6="관심"),"관심","정상")))</f>
        <v>중요</v>
      </c>
      <c r="M6" s="12" t="str">
        <f>IF(NOT(ISNUMBER(I6)),"판정 보류",IF(I6&gt;=설정!$B$12,"대표 대상","대표 비대상"))</f>
        <v>대표 대상</v>
      </c>
      <c r="N6" s="17">
        <f>IF(AND(ISNUMBER($I$6),ISNUMBER(I6)),$I$6-I6,"미산출")</f>
        <v>0</v>
      </c>
      <c r="O6" s="17">
        <f>IF(ISNUMBER(I6),-I6,"미산출")</f>
        <v>-31362400</v>
      </c>
    </row>
    <row r="7" spans="1:15" ht="30" customHeight="1">
      <c r="A7" s="1" t="s">
        <v>140</v>
      </c>
      <c r="B7" s="1" t="s">
        <v>141</v>
      </c>
      <c r="C7" s="20">
        <f>단가버전!E7</f>
        <v>2000</v>
      </c>
      <c r="D7" s="20">
        <f>단가버전!F7</f>
        <v>2100</v>
      </c>
      <c r="E7" s="26">
        <f>IF(C7&gt;0,(D7-C7)/C7,"미산출")</f>
        <v>0.05</v>
      </c>
      <c r="F7" s="20">
        <f>IF(SUMPRODUCT(월별계산!$O$6:$O$100,월별계산!$U$6:$U$100)&lt;&gt;SUM(월별계산!$O$6:$O$100),"미산출",SUMPRODUCT(월별계산!$J$6:$J$100,월별계산!$O$6:$O$100))</f>
        <v>78036</v>
      </c>
      <c r="G7" s="20">
        <f>IF(SUMPRODUCT(월별계산!$N$6:$N$100,월별계산!$U$6:$U$100)&lt;&gt;SUM(월별계산!$N$6:$N$100),"미산출",SUMPRODUCT(월별계산!$J$6:$J$100,월별계산!$N$6:$N$100))</f>
        <v>156812</v>
      </c>
      <c r="H7" s="18">
        <f>IF(ISNUMBER(F7),F7*(D7-C7),"미산출")</f>
        <v>7803600</v>
      </c>
      <c r="I7" s="18">
        <f>IF(AND(ISNUMBER(G7),SUM(월별계산!$N$6:$N$100)=설정!$B$25),G7*(D7-C7),"미산출")</f>
        <v>15681200</v>
      </c>
      <c r="J7" s="11" t="str">
        <f>IF(NOT(ISNUMBER(E7)),"미산출",IF(E7&gt;=설정!$B$9,"중요",IF(E7&gt;=설정!$B$8,"관심","정상")))</f>
        <v>관심</v>
      </c>
      <c r="K7" s="11" t="str">
        <f>IF(NOT(ISNUMBER(I7)),"미산출",IF(I7&gt;=설정!$B$11,"중요",IF(I7&gt;=설정!$B$10,"관심","정상")))</f>
        <v>중요</v>
      </c>
      <c r="L7" s="1" t="str">
        <f>IF(OR(J7="미산출",K7="미산출"),"미산출",IF(OR(J7="중요",K7="중요"),"중요",IF(OR(J7="관심",K7="관심"),"관심","정상")))</f>
        <v>중요</v>
      </c>
      <c r="M7" s="11" t="str">
        <f>IF(NOT(ISNUMBER(I7)),"판정 보류",IF(I7&gt;=설정!$B$12,"대표 대상","대표 비대상"))</f>
        <v>대표 대상</v>
      </c>
      <c r="N7" s="18">
        <f>IF(AND(ISNUMBER($I$6),ISNUMBER(I7)),$I$6-I7,"미산출")</f>
        <v>15681200</v>
      </c>
      <c r="O7" s="18">
        <f>IF(ISNUMBER(I7),-I7,"미산출")</f>
        <v>-15681200</v>
      </c>
    </row>
    <row r="8" spans="1:15" ht="30" customHeight="1">
      <c r="A8" s="5" t="s">
        <v>142</v>
      </c>
      <c r="B8" s="5" t="s">
        <v>143</v>
      </c>
      <c r="C8" s="19">
        <f>단가버전!E8</f>
        <v>2000</v>
      </c>
      <c r="D8" s="19">
        <f>단가버전!F8</f>
        <v>2120</v>
      </c>
      <c r="E8" s="25">
        <f>IF(C8&gt;0,(D8-C8)/C8,"미산출")</f>
        <v>0.06</v>
      </c>
      <c r="F8" s="19">
        <f>IF(SUMPRODUCT(월별계산!$O$6:$O$100,월별계산!$U$6:$U$100)&lt;&gt;SUM(월별계산!$O$6:$O$100),"미산출",SUMPRODUCT(월별계산!$J$6:$J$100,월별계산!$O$6:$O$100))</f>
        <v>78036</v>
      </c>
      <c r="G8" s="19">
        <f>IF(SUMPRODUCT(월별계산!$N$6:$N$100,월별계산!$U$6:$U$100)&lt;&gt;SUM(월별계산!$N$6:$N$100),"미산출",SUMPRODUCT(월별계산!$J$6:$J$100,월별계산!$N$6:$N$100))</f>
        <v>156812</v>
      </c>
      <c r="H8" s="17">
        <f>IF(ISNUMBER(F8),F8*(D8-C8),"미산출")</f>
        <v>9364320</v>
      </c>
      <c r="I8" s="17">
        <f>IF(AND(ISNUMBER(G8),SUM(월별계산!$N$6:$N$100)=설정!$B$25),G8*(D8-C8),"미산출")</f>
        <v>18817440</v>
      </c>
      <c r="J8" s="12" t="str">
        <f>IF(NOT(ISNUMBER(E8)),"미산출",IF(E8&gt;=설정!$B$9,"중요",IF(E8&gt;=설정!$B$8,"관심","정상")))</f>
        <v>관심</v>
      </c>
      <c r="K8" s="12" t="str">
        <f>IF(NOT(ISNUMBER(I8)),"미산출",IF(I8&gt;=설정!$B$11,"중요",IF(I8&gt;=설정!$B$10,"관심","정상")))</f>
        <v>중요</v>
      </c>
      <c r="L8" s="5" t="str">
        <f>IF(OR(J8="미산출",K8="미산출"),"미산출",IF(OR(J8="중요",K8="중요"),"중요",IF(OR(J8="관심",K8="관심"),"관심","정상")))</f>
        <v>중요</v>
      </c>
      <c r="M8" s="12" t="str">
        <f>IF(NOT(ISNUMBER(I8)),"판정 보류",IF(I8&gt;=설정!$B$12,"대표 대상","대표 비대상"))</f>
        <v>대표 대상</v>
      </c>
      <c r="N8" s="17">
        <f>IF(AND(ISNUMBER($I$6),ISNUMBER(I8)),$I$6-I8,"미산출")</f>
        <v>12544960</v>
      </c>
      <c r="O8" s="17">
        <f>IF(ISNUMBER(I8),-I8,"미산출")</f>
        <v>-18817440</v>
      </c>
    </row>
    <row r="9" spans="1:15" ht="30" customHeight="1">
      <c r="A9" s="1" t="s">
        <v>144</v>
      </c>
      <c r="B9" s="1" t="s">
        <v>145</v>
      </c>
      <c r="C9" s="20">
        <f>단가버전!E9</f>
        <v>2000</v>
      </c>
      <c r="D9" s="20">
        <f>단가버전!F9</f>
        <v>2120</v>
      </c>
      <c r="E9" s="26">
        <f>IF(C9&gt;0,(D9-C9)/C9,"미산출")</f>
        <v>0.06</v>
      </c>
      <c r="F9" s="20">
        <f>IF(SUMPRODUCT(월별계산!$O$6:$O$100,월별계산!$U$6:$U$100)&lt;&gt;SUM(월별계산!$O$6:$O$100),"미산출",SUMPRODUCT(월별계산!$J$6:$J$100,월별계산!$O$6:$O$100))</f>
        <v>78036</v>
      </c>
      <c r="G9" s="20">
        <f>IF(SUMPRODUCT(월별계산!$N$6:$N$100,월별계산!$U$6:$U$100)&lt;&gt;SUM(월별계산!$N$6:$N$100),"미산출",SUMPRODUCT(월별계산!$J$6:$J$100,월별계산!$N$6:$N$100))</f>
        <v>156812</v>
      </c>
      <c r="H9" s="18">
        <f>IF(ISNUMBER(F9),F9*(D9-C9),"미산출")</f>
        <v>9364320</v>
      </c>
      <c r="I9" s="18">
        <f>IF(AND(ISNUMBER(G9),SUM(월별계산!$N$6:$N$100)=설정!$B$25),G9*(D9-C9),"미산출")</f>
        <v>18817440</v>
      </c>
      <c r="J9" s="11" t="str">
        <f>IF(NOT(ISNUMBER(E9)),"미산출",IF(E9&gt;=설정!$B$9,"중요",IF(E9&gt;=설정!$B$8,"관심","정상")))</f>
        <v>관심</v>
      </c>
      <c r="K9" s="11" t="str">
        <f>IF(NOT(ISNUMBER(I9)),"미산출",IF(I9&gt;=설정!$B$11,"중요",IF(I9&gt;=설정!$B$10,"관심","정상")))</f>
        <v>중요</v>
      </c>
      <c r="L9" s="1" t="str">
        <f>IF(OR(J9="미산출",K9="미산출"),"미산출",IF(OR(J9="중요",K9="중요"),"중요",IF(OR(J9="관심",K9="관심"),"관심","정상")))</f>
        <v>중요</v>
      </c>
      <c r="M9" s="11" t="str">
        <f>IF(NOT(ISNUMBER(I9)),"판정 보류",IF(I9&gt;=설정!$B$12,"대표 대상","대표 비대상"))</f>
        <v>대표 대상</v>
      </c>
      <c r="N9" s="18">
        <f>IF(AND(ISNUMBER($I$6),ISNUMBER(I9)),$I$6-I9,"미산출")</f>
        <v>12544960</v>
      </c>
      <c r="O9" s="18">
        <f>IF(ISNUMBER(I9),-I9,"미산출")</f>
        <v>-18817440</v>
      </c>
    </row>
    <row r="10" spans="1:15" ht="30" customHeight="1">
      <c r="A10" s="5" t="s">
        <v>103</v>
      </c>
      <c r="B10" s="5" t="s">
        <v>146</v>
      </c>
      <c r="C10" s="19">
        <f>단가버전!E10</f>
        <v>2000</v>
      </c>
      <c r="D10" s="19">
        <f>단가버전!F10</f>
        <v>2120</v>
      </c>
      <c r="E10" s="25">
        <f>IF(C10&gt;0,(D10-C10)/C10,"미산출")</f>
        <v>0.06</v>
      </c>
      <c r="F10" s="19">
        <f>IF(SUMPRODUCT(월별계산!$O$6:$O$100,월별계산!$U$6:$U$100)&lt;&gt;SUM(월별계산!$O$6:$O$100),"미산출",SUMPRODUCT(월별계산!$J$6:$J$100,월별계산!$O$6:$O$100))</f>
        <v>78036</v>
      </c>
      <c r="G10" s="19">
        <f>IF(SUMPRODUCT(월별계산!$N$6:$N$100,월별계산!$U$6:$U$100)&lt;&gt;SUM(월별계산!$N$6:$N$100),"미산출",SUMPRODUCT(월별계산!$J$6:$J$100,월별계산!$N$6:$N$100))</f>
        <v>156812</v>
      </c>
      <c r="H10" s="17">
        <f>IF(ISNUMBER(F10),F10*(D10-C10),"미산출")</f>
        <v>9364320</v>
      </c>
      <c r="I10" s="17">
        <f>IF(AND(ISNUMBER(G10),SUM(월별계산!$N$6:$N$100)=설정!$B$25),G10*(D10-C10),"미산출")</f>
        <v>18817440</v>
      </c>
      <c r="J10" s="12" t="str">
        <f>IF(NOT(ISNUMBER(E10)),"미산출",IF(E10&gt;=설정!$B$9,"중요",IF(E10&gt;=설정!$B$8,"관심","정상")))</f>
        <v>관심</v>
      </c>
      <c r="K10" s="12" t="str">
        <f>IF(NOT(ISNUMBER(I10)),"미산출",IF(I10&gt;=설정!$B$11,"중요",IF(I10&gt;=설정!$B$10,"관심","정상")))</f>
        <v>중요</v>
      </c>
      <c r="L10" s="5" t="str">
        <f>IF(OR(J10="미산출",K10="미산출"),"미산출",IF(OR(J10="중요",K10="중요"),"중요",IF(OR(J10="관심",K10="관심"),"관심","정상")))</f>
        <v>중요</v>
      </c>
      <c r="M10" s="12" t="str">
        <f>IF(NOT(ISNUMBER(I10)),"판정 보류",IF(I10&gt;=설정!$B$12,"대표 대상","대표 비대상"))</f>
        <v>대표 대상</v>
      </c>
      <c r="N10" s="17">
        <f>IF(AND(ISNUMBER($I$6),ISNUMBER(I10)),$I$6-I10,"미산출")</f>
        <v>12544960</v>
      </c>
      <c r="O10" s="17">
        <f>IF(ISNUMBER(I10),-I10,"미산출")</f>
        <v>-18817440</v>
      </c>
    </row>
  </sheetData>
  <mergeCells count="2">
    <mergeCell ref="A1:O2"/>
    <mergeCell ref="A3:O3"/>
  </mergeCells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3" width="16" customWidth="1"/>
    <col min="4" max="4" width="14" customWidth="1"/>
    <col min="5" max="5" width="24" customWidth="1"/>
    <col min="6" max="6" width="23" customWidth="1"/>
    <col min="7" max="8" width="24" customWidth="1"/>
    <col min="9" max="10" width="23" customWidth="1"/>
    <col min="11" max="14" width="24" customWidth="1"/>
    <col min="15" max="15" width="20" customWidth="1"/>
  </cols>
  <sheetData>
    <row r="1" spans="1:15" ht="30" customHeight="1">
      <c r="A1" s="128" t="s">
        <v>147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</row>
    <row r="2" spans="1:15" ht="30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1:15" ht="43.95" customHeight="1">
      <c r="A3" s="129" t="s">
        <v>148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</row>
    <row r="4" spans="1:15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2" customHeight="1">
      <c r="A5" s="4" t="s">
        <v>149</v>
      </c>
      <c r="B5" s="4" t="s">
        <v>150</v>
      </c>
      <c r="C5" s="4" t="s">
        <v>151</v>
      </c>
      <c r="D5" s="4" t="s">
        <v>152</v>
      </c>
      <c r="E5" s="4" t="s">
        <v>153</v>
      </c>
      <c r="F5" s="4" t="s">
        <v>154</v>
      </c>
      <c r="G5" s="4" t="s">
        <v>155</v>
      </c>
      <c r="H5" s="4" t="s">
        <v>156</v>
      </c>
      <c r="I5" s="4" t="s">
        <v>157</v>
      </c>
      <c r="J5" s="4" t="s">
        <v>158</v>
      </c>
      <c r="K5" s="4" t="s">
        <v>159</v>
      </c>
      <c r="L5" s="4" t="s">
        <v>160</v>
      </c>
      <c r="M5" s="4" t="s">
        <v>161</v>
      </c>
      <c r="N5" s="4" t="s">
        <v>162</v>
      </c>
      <c r="O5" s="4" t="s">
        <v>163</v>
      </c>
    </row>
    <row r="6" spans="1:15" ht="30" customHeight="1">
      <c r="A6" s="5" t="s">
        <v>164</v>
      </c>
      <c r="B6" s="27">
        <v>46388</v>
      </c>
      <c r="C6" s="27">
        <v>46419</v>
      </c>
      <c r="D6" s="5" t="s">
        <v>165</v>
      </c>
      <c r="E6" s="19">
        <f>SUMIFS(월별계산!$S$6:$S$100,월별계산!$B$6:$B$100,"&gt;="&amp;B6,월별계산!$B$6:$B$100,"&lt;"&amp;C6)</f>
        <v>5989630000</v>
      </c>
      <c r="F6" s="19">
        <f>SUMIFS(월고정비!$B$6:$B$24,월고정비!$A$6:$A$24,"&gt;="&amp;B6,월고정비!$A$6:$A$24,"&lt;"&amp;C6)</f>
        <v>370000000</v>
      </c>
      <c r="G6" s="19">
        <f>SUMIFS(월별계산!$K$6:$K$100,월별계산!$B$6:$B$100,"&gt;="&amp;B6,월별계산!$B$6:$B$100,"&lt;"&amp;C6)-F6</f>
        <v>309349000</v>
      </c>
      <c r="H6" s="19">
        <f>SUMIFS(월별계산!$L$6:$L$100,월별계산!$B$6:$B$100,"&gt;="&amp;B6,월별계산!$B$6:$B$100,"&lt;"&amp;C6)-F6</f>
        <v>309349000</v>
      </c>
      <c r="I6" s="17">
        <f t="shared" ref="I6:I22" si="0">H6-G6</f>
        <v>0</v>
      </c>
      <c r="J6" s="19">
        <f>-SUMIFS(월별계산!$P$6:$P$100,월별계산!$B$6:$B$100,"&gt;="&amp;B6,월별계산!$B$6:$B$100,"&lt;"&amp;C6)</f>
        <v>0</v>
      </c>
      <c r="K6" s="17">
        <f t="shared" ref="K6:K22" si="1">H6+J6</f>
        <v>309349000</v>
      </c>
      <c r="L6" s="17">
        <f t="shared" ref="L6:L22" si="2">K6-G6</f>
        <v>0</v>
      </c>
      <c r="M6" s="19">
        <f>SUMIFS(월별계산!$R$6:$R$100,월별계산!$B$6:$B$100,"&gt;="&amp;B6,월별계산!$B$6:$B$100,"&lt;"&amp;C6)-F6</f>
        <v>310340000</v>
      </c>
      <c r="N6" s="17">
        <f t="shared" ref="N6:N21" si="3">M6-K6</f>
        <v>991000</v>
      </c>
      <c r="O6" s="17">
        <f t="shared" ref="O6:O22" si="4">K6-(G6+I6+J6)</f>
        <v>0</v>
      </c>
    </row>
    <row r="7" spans="1:15" ht="30" customHeight="1">
      <c r="A7" s="1" t="s">
        <v>166</v>
      </c>
      <c r="B7" s="28">
        <v>46419</v>
      </c>
      <c r="C7" s="28">
        <v>46447</v>
      </c>
      <c r="D7" s="1" t="s">
        <v>165</v>
      </c>
      <c r="E7" s="20">
        <f>SUMIFS(월별계산!$S$6:$S$100,월별계산!$B$6:$B$100,"&gt;="&amp;B7,월별계산!$B$6:$B$100,"&lt;"&amp;C7)</f>
        <v>5257980000</v>
      </c>
      <c r="F7" s="20">
        <f>SUMIFS(월고정비!$B$6:$B$24,월고정비!$A$6:$A$24,"&gt;="&amp;B7,월고정비!$A$6:$A$24,"&lt;"&amp;C7)</f>
        <v>370000000</v>
      </c>
      <c r="G7" s="20">
        <f>SUMIFS(월별계산!$K$6:$K$100,월별계산!$B$6:$B$100,"&gt;="&amp;B7,월별계산!$B$6:$B$100,"&lt;"&amp;C7)-F7</f>
        <v>226547000</v>
      </c>
      <c r="H7" s="20">
        <f>SUMIFS(월별계산!$L$6:$L$100,월별계산!$B$6:$B$100,"&gt;="&amp;B7,월별계산!$B$6:$B$100,"&lt;"&amp;C7)-F7</f>
        <v>226547000</v>
      </c>
      <c r="I7" s="18">
        <f t="shared" si="0"/>
        <v>0</v>
      </c>
      <c r="J7" s="20">
        <f>-SUMIFS(월별계산!$P$6:$P$100,월별계산!$B$6:$B$100,"&gt;="&amp;B7,월별계산!$B$6:$B$100,"&lt;"&amp;C7)</f>
        <v>0</v>
      </c>
      <c r="K7" s="18">
        <f t="shared" si="1"/>
        <v>226547000</v>
      </c>
      <c r="L7" s="18">
        <f t="shared" si="2"/>
        <v>0</v>
      </c>
      <c r="M7" s="20">
        <f>SUMIFS(월별계산!$R$6:$R$100,월별계산!$B$6:$B$100,"&gt;="&amp;B7,월별계산!$B$6:$B$100,"&lt;"&amp;C7)-F7</f>
        <v>230300000</v>
      </c>
      <c r="N7" s="18">
        <f t="shared" si="3"/>
        <v>3753000</v>
      </c>
      <c r="O7" s="18">
        <f t="shared" si="4"/>
        <v>0</v>
      </c>
    </row>
    <row r="8" spans="1:15" ht="30" customHeight="1">
      <c r="A8" s="5" t="s">
        <v>167</v>
      </c>
      <c r="B8" s="27">
        <v>46447</v>
      </c>
      <c r="C8" s="27">
        <v>46478</v>
      </c>
      <c r="D8" s="5" t="s">
        <v>165</v>
      </c>
      <c r="E8" s="19">
        <f>SUMIFS(월별계산!$S$6:$S$100,월별계산!$B$6:$B$100,"&gt;="&amp;B8,월별계산!$B$6:$B$100,"&lt;"&amp;C8)</f>
        <v>6102990000</v>
      </c>
      <c r="F8" s="19">
        <f>SUMIFS(월고정비!$B$6:$B$24,월고정비!$A$6:$A$24,"&gt;="&amp;B8,월고정비!$A$6:$A$24,"&lt;"&amp;C8)</f>
        <v>370000000</v>
      </c>
      <c r="G8" s="19">
        <f>SUMIFS(월별계산!$K$6:$K$100,월별계산!$B$6:$B$100,"&gt;="&amp;B8,월별계산!$B$6:$B$100,"&lt;"&amp;C8)-F8</f>
        <v>322633000</v>
      </c>
      <c r="H8" s="19">
        <f>SUMIFS(월별계산!$L$6:$L$100,월별계산!$B$6:$B$100,"&gt;="&amp;B8,월별계산!$B$6:$B$100,"&lt;"&amp;C8)-F8</f>
        <v>322633000</v>
      </c>
      <c r="I8" s="17">
        <f t="shared" si="0"/>
        <v>0</v>
      </c>
      <c r="J8" s="19">
        <f>-SUMIFS(월별계산!$P$6:$P$100,월별계산!$B$6:$B$100,"&gt;="&amp;B8,월별계산!$B$6:$B$100,"&lt;"&amp;C8)</f>
        <v>0</v>
      </c>
      <c r="K8" s="17">
        <f t="shared" si="1"/>
        <v>322633000</v>
      </c>
      <c r="L8" s="17">
        <f t="shared" si="2"/>
        <v>0</v>
      </c>
      <c r="M8" s="19">
        <f>SUMIFS(월별계산!$R$6:$R$100,월별계산!$B$6:$B$100,"&gt;="&amp;B8,월별계산!$B$6:$B$100,"&lt;"&amp;C8)-F8</f>
        <v>330350000</v>
      </c>
      <c r="N8" s="17">
        <f t="shared" si="3"/>
        <v>7717000</v>
      </c>
      <c r="O8" s="17">
        <f t="shared" si="4"/>
        <v>0</v>
      </c>
    </row>
    <row r="9" spans="1:15" ht="30" customHeight="1">
      <c r="A9" s="1" t="s">
        <v>168</v>
      </c>
      <c r="B9" s="28">
        <v>46478</v>
      </c>
      <c r="C9" s="28">
        <v>46508</v>
      </c>
      <c r="D9" s="1" t="s">
        <v>165</v>
      </c>
      <c r="E9" s="20">
        <f>SUMIFS(월별계산!$S$6:$S$100,월별계산!$B$6:$B$100,"&gt;="&amp;B9,월별계산!$B$6:$B$100,"&lt;"&amp;C9)</f>
        <v>5782200000</v>
      </c>
      <c r="F9" s="20">
        <f>SUMIFS(월고정비!$B$6:$B$24,월고정비!$A$6:$A$24,"&gt;="&amp;B9,월고정비!$A$6:$A$24,"&lt;"&amp;C9)</f>
        <v>370000000</v>
      </c>
      <c r="G9" s="20">
        <f>SUMIFS(월별계산!$K$6:$K$100,월별계산!$B$6:$B$100,"&gt;="&amp;B9,월별계산!$B$6:$B$100,"&lt;"&amp;C9)-F9</f>
        <v>286430000</v>
      </c>
      <c r="H9" s="20">
        <f>SUMIFS(월별계산!$L$6:$L$100,월별계산!$B$6:$B$100,"&gt;="&amp;B9,월별계산!$B$6:$B$100,"&lt;"&amp;C9)-F9</f>
        <v>286430000</v>
      </c>
      <c r="I9" s="18">
        <f t="shared" si="0"/>
        <v>0</v>
      </c>
      <c r="J9" s="20">
        <f>-SUMIFS(월별계산!$P$6:$P$100,월별계산!$B$6:$B$100,"&gt;="&amp;B9,월별계산!$B$6:$B$100,"&lt;"&amp;C9)</f>
        <v>0</v>
      </c>
      <c r="K9" s="18">
        <f t="shared" si="1"/>
        <v>286430000</v>
      </c>
      <c r="L9" s="18">
        <f t="shared" si="2"/>
        <v>0</v>
      </c>
      <c r="M9" s="20">
        <f>SUMIFS(월별계산!$R$6:$R$100,월별계산!$B$6:$B$100,"&gt;="&amp;B9,월별계산!$B$6:$B$100,"&lt;"&amp;C9)-F9</f>
        <v>297000000</v>
      </c>
      <c r="N9" s="18">
        <f t="shared" si="3"/>
        <v>10570000</v>
      </c>
      <c r="O9" s="18">
        <f t="shared" si="4"/>
        <v>0</v>
      </c>
    </row>
    <row r="10" spans="1:15" ht="30" customHeight="1">
      <c r="A10" s="5" t="s">
        <v>169</v>
      </c>
      <c r="B10" s="27">
        <v>46508</v>
      </c>
      <c r="C10" s="27">
        <v>46539</v>
      </c>
      <c r="D10" s="5" t="s">
        <v>165</v>
      </c>
      <c r="E10" s="19">
        <f>SUMIFS(월별계산!$S$6:$S$100,월별계산!$B$6:$B$100,"&gt;="&amp;B10,월별계산!$B$6:$B$100,"&lt;"&amp;C10)</f>
        <v>5637110000</v>
      </c>
      <c r="F10" s="19">
        <f>SUMIFS(월고정비!$B$6:$B$24,월고정비!$A$6:$A$24,"&gt;="&amp;B10,월고정비!$A$6:$A$24,"&lt;"&amp;C10)</f>
        <v>370000000</v>
      </c>
      <c r="G10" s="19">
        <f>SUMIFS(월별계산!$K$6:$K$100,월별계산!$B$6:$B$100,"&gt;="&amp;B10,월별계산!$B$6:$B$100,"&lt;"&amp;C10)-F10</f>
        <v>270161000</v>
      </c>
      <c r="H10" s="19">
        <f>SUMIFS(월별계산!$L$6:$L$100,월별계산!$B$6:$B$100,"&gt;="&amp;B10,월별계산!$B$6:$B$100,"&lt;"&amp;C10)-F10</f>
        <v>270161000</v>
      </c>
      <c r="I10" s="17">
        <f t="shared" si="0"/>
        <v>0</v>
      </c>
      <c r="J10" s="19">
        <f>-SUMIFS(월별계산!$P$6:$P$100,월별계산!$B$6:$B$100,"&gt;="&amp;B10,월별계산!$B$6:$B$100,"&lt;"&amp;C10)</f>
        <v>0</v>
      </c>
      <c r="K10" s="17">
        <f t="shared" si="1"/>
        <v>270161000</v>
      </c>
      <c r="L10" s="17">
        <f t="shared" si="2"/>
        <v>0</v>
      </c>
      <c r="M10" s="19">
        <f>SUMIFS(월별계산!$R$6:$R$100,월별계산!$B$6:$B$100,"&gt;="&amp;B10,월별계산!$B$6:$B$100,"&lt;"&amp;C10)-F10</f>
        <v>283660000</v>
      </c>
      <c r="N10" s="17">
        <f t="shared" si="3"/>
        <v>13499000</v>
      </c>
      <c r="O10" s="17">
        <f t="shared" si="4"/>
        <v>0</v>
      </c>
    </row>
    <row r="11" spans="1:15" ht="30" customHeight="1">
      <c r="A11" s="1" t="s">
        <v>170</v>
      </c>
      <c r="B11" s="28">
        <v>46539</v>
      </c>
      <c r="C11" s="28">
        <v>46569</v>
      </c>
      <c r="D11" s="1" t="s">
        <v>165</v>
      </c>
      <c r="E11" s="20">
        <f>SUMIFS(월별계산!$S$6:$S$100,월별계산!$B$6:$B$100,"&gt;="&amp;B11,월별계산!$B$6:$B$100,"&lt;"&amp;C11)</f>
        <v>5722200000</v>
      </c>
      <c r="F11" s="20">
        <f>SUMIFS(월고정비!$B$6:$B$24,월고정비!$A$6:$A$24,"&gt;="&amp;B11,월고정비!$A$6:$A$24,"&lt;"&amp;C11)</f>
        <v>370000000</v>
      </c>
      <c r="G11" s="20">
        <f>SUMIFS(월별계산!$K$6:$K$100,월별계산!$B$6:$B$100,"&gt;="&amp;B11,월별계산!$B$6:$B$100,"&lt;"&amp;C11)-F11</f>
        <v>280030000</v>
      </c>
      <c r="H11" s="20">
        <f>SUMIFS(월별계산!$L$6:$L$100,월별계산!$B$6:$B$100,"&gt;="&amp;B11,월별계산!$B$6:$B$100,"&lt;"&amp;C11)-F11</f>
        <v>280030000</v>
      </c>
      <c r="I11" s="18">
        <f t="shared" si="0"/>
        <v>0</v>
      </c>
      <c r="J11" s="20">
        <f>-SUMIFS(월별계산!$P$6:$P$100,월별계산!$B$6:$B$100,"&gt;="&amp;B11,월별계산!$B$6:$B$100,"&lt;"&amp;C11)</f>
        <v>0</v>
      </c>
      <c r="K11" s="18">
        <f t="shared" si="1"/>
        <v>280030000</v>
      </c>
      <c r="L11" s="18">
        <f t="shared" si="2"/>
        <v>0</v>
      </c>
      <c r="M11" s="20">
        <f>SUMIFS(월별계산!$R$6:$R$100,월별계산!$B$6:$B$100,"&gt;="&amp;B11,월별계산!$B$6:$B$100,"&lt;"&amp;C11)-F11</f>
        <v>297000000</v>
      </c>
      <c r="N11" s="18">
        <f t="shared" si="3"/>
        <v>16970000</v>
      </c>
      <c r="O11" s="18">
        <f t="shared" si="4"/>
        <v>0</v>
      </c>
    </row>
    <row r="12" spans="1:15" ht="30" customHeight="1">
      <c r="A12" s="5" t="s">
        <v>171</v>
      </c>
      <c r="B12" s="27">
        <v>46569</v>
      </c>
      <c r="C12" s="27">
        <v>46600</v>
      </c>
      <c r="D12" s="5" t="s">
        <v>165</v>
      </c>
      <c r="E12" s="19">
        <f>SUMIFS(월별계산!$S$6:$S$100,월별계산!$B$6:$B$100,"&gt;="&amp;B12,월별계산!$B$6:$B$100,"&lt;"&amp;C12)</f>
        <v>5596200000</v>
      </c>
      <c r="F12" s="19">
        <f>SUMIFS(월고정비!$B$6:$B$24,월고정비!$A$6:$A$24,"&gt;="&amp;B12,월고정비!$A$6:$A$24,"&lt;"&amp;C12)</f>
        <v>370000000</v>
      </c>
      <c r="G12" s="19">
        <f>SUMIFS(월별계산!$K$6:$K$100,월별계산!$B$6:$B$100,"&gt;="&amp;B12,월별계산!$B$6:$B$100,"&lt;"&amp;C12)-F12</f>
        <v>280030000</v>
      </c>
      <c r="H12" s="19">
        <f>SUMIFS(월별계산!$L$6:$L$100,월별계산!$B$6:$B$100,"&gt;="&amp;B12,월별계산!$B$6:$B$100,"&lt;"&amp;C12)-F12</f>
        <v>266030000</v>
      </c>
      <c r="I12" s="17">
        <f t="shared" si="0"/>
        <v>-14000000</v>
      </c>
      <c r="J12" s="19">
        <f>-SUMIFS(월별계산!$P$6:$P$100,월별계산!$B$6:$B$100,"&gt;="&amp;B12,월별계산!$B$6:$B$100,"&lt;"&amp;C12)</f>
        <v>-1512000</v>
      </c>
      <c r="K12" s="17">
        <f t="shared" si="1"/>
        <v>264518000</v>
      </c>
      <c r="L12" s="17">
        <f t="shared" si="2"/>
        <v>-15512000</v>
      </c>
      <c r="M12" s="19">
        <f>SUMIFS(월별계산!$R$6:$R$100,월별계산!$B$6:$B$100,"&gt;="&amp;B12,월별계산!$B$6:$B$100,"&lt;"&amp;C12)-F12</f>
        <v>297000000</v>
      </c>
      <c r="N12" s="17">
        <f t="shared" si="3"/>
        <v>32482000</v>
      </c>
      <c r="O12" s="17">
        <f t="shared" si="4"/>
        <v>0</v>
      </c>
    </row>
    <row r="13" spans="1:15" ht="30" customHeight="1">
      <c r="A13" s="1" t="s">
        <v>172</v>
      </c>
      <c r="B13" s="28">
        <v>46600</v>
      </c>
      <c r="C13" s="28">
        <v>46631</v>
      </c>
      <c r="D13" s="1" t="s">
        <v>165</v>
      </c>
      <c r="E13" s="20">
        <f>SUMIFS(월별계산!$S$6:$S$100,월별계산!$B$6:$B$100,"&gt;="&amp;B13,월별계산!$B$6:$B$100,"&lt;"&amp;C13)</f>
        <v>5264410000</v>
      </c>
      <c r="F13" s="20">
        <f>SUMIFS(월고정비!$B$6:$B$24,월고정비!$A$6:$A$24,"&gt;="&amp;B13,월고정비!$A$6:$A$24,"&lt;"&amp;C13)</f>
        <v>370000000</v>
      </c>
      <c r="G13" s="20">
        <f>SUMIFS(월별계산!$K$6:$K$100,월별계산!$B$6:$B$100,"&gt;="&amp;B13,월별계산!$B$6:$B$100,"&lt;"&amp;C13)-F13</f>
        <v>228026000</v>
      </c>
      <c r="H13" s="20">
        <f>SUMIFS(월별계산!$L$6:$L$100,월별계산!$B$6:$B$100,"&gt;="&amp;B13,월별계산!$B$6:$B$100,"&lt;"&amp;C13)-F13</f>
        <v>228026000</v>
      </c>
      <c r="I13" s="18">
        <f t="shared" si="0"/>
        <v>0</v>
      </c>
      <c r="J13" s="20">
        <f>-SUMIFS(월별계산!$P$6:$P$100,월별계산!$B$6:$B$100,"&gt;="&amp;B13,월별계산!$B$6:$B$100,"&lt;"&amp;C13)</f>
        <v>-1468320</v>
      </c>
      <c r="K13" s="18">
        <f t="shared" si="1"/>
        <v>226557680</v>
      </c>
      <c r="L13" s="18">
        <f t="shared" si="2"/>
        <v>-1468320</v>
      </c>
      <c r="M13" s="20">
        <f>SUMIFS(월별계산!$R$6:$R$100,월별계산!$B$6:$B$100,"&gt;="&amp;B13,월별계산!$B$6:$B$100,"&lt;"&amp;C13)-F13</f>
        <v>243640000</v>
      </c>
      <c r="N13" s="18">
        <f t="shared" si="3"/>
        <v>17082320</v>
      </c>
      <c r="O13" s="18">
        <f t="shared" si="4"/>
        <v>0</v>
      </c>
    </row>
    <row r="14" spans="1:15" ht="30" customHeight="1">
      <c r="A14" s="5" t="s">
        <v>173</v>
      </c>
      <c r="B14" s="27">
        <v>46631</v>
      </c>
      <c r="C14" s="27">
        <v>46661</v>
      </c>
      <c r="D14" s="5" t="s">
        <v>165</v>
      </c>
      <c r="E14" s="19">
        <f>SUMIFS(월별계산!$S$6:$S$100,월별계산!$B$6:$B$100,"&gt;="&amp;B14,월별계산!$B$6:$B$100,"&lt;"&amp;C14)</f>
        <v>5893910000</v>
      </c>
      <c r="F14" s="19">
        <f>SUMIFS(월고정비!$B$6:$B$24,월고정비!$A$6:$A$24,"&gt;="&amp;B14,월고정비!$A$6:$A$24,"&lt;"&amp;C14)</f>
        <v>370000000</v>
      </c>
      <c r="G14" s="19">
        <f>SUMIFS(월별계산!$K$6:$K$100,월별계산!$B$6:$B$100,"&gt;="&amp;B14,월별계산!$B$6:$B$100,"&lt;"&amp;C14)-F14</f>
        <v>299536000</v>
      </c>
      <c r="H14" s="19">
        <f>SUMIFS(월별계산!$L$6:$L$100,월별계산!$B$6:$B$100,"&gt;="&amp;B14,월별계산!$B$6:$B$100,"&lt;"&amp;C14)-F14</f>
        <v>299536000</v>
      </c>
      <c r="I14" s="17">
        <f t="shared" si="0"/>
        <v>0</v>
      </c>
      <c r="J14" s="19">
        <f>-SUMIFS(월별계산!$P$6:$P$100,월별계산!$B$6:$B$100,"&gt;="&amp;B14,월별계산!$B$6:$B$100,"&lt;"&amp;C14)</f>
        <v>-1643880</v>
      </c>
      <c r="K14" s="17">
        <f t="shared" si="1"/>
        <v>297892120</v>
      </c>
      <c r="L14" s="17">
        <f t="shared" si="2"/>
        <v>-1643880</v>
      </c>
      <c r="M14" s="19">
        <f>SUMIFS(월별계산!$R$6:$R$100,월별계산!$B$6:$B$100,"&gt;="&amp;B14,월별계산!$B$6:$B$100,"&lt;"&amp;C14)-F14</f>
        <v>317010000</v>
      </c>
      <c r="N14" s="17">
        <f t="shared" si="3"/>
        <v>19117880</v>
      </c>
      <c r="O14" s="17">
        <f t="shared" si="4"/>
        <v>0</v>
      </c>
    </row>
    <row r="15" spans="1:15" ht="30" customHeight="1">
      <c r="A15" s="1" t="s">
        <v>174</v>
      </c>
      <c r="B15" s="28">
        <v>46661</v>
      </c>
      <c r="C15" s="28">
        <v>46692</v>
      </c>
      <c r="D15" s="1" t="s">
        <v>165</v>
      </c>
      <c r="E15" s="20">
        <f>SUMIFS(월별계산!$S$6:$S$100,월별계산!$B$6:$B$100,"&gt;="&amp;B15,월별계산!$B$6:$B$100,"&lt;"&amp;C15)</f>
        <v>5836630000</v>
      </c>
      <c r="F15" s="20">
        <f>SUMIFS(월고정비!$B$6:$B$24,월고정비!$A$6:$A$24,"&gt;="&amp;B15,월고정비!$A$6:$A$24,"&lt;"&amp;C15)</f>
        <v>370000000</v>
      </c>
      <c r="G15" s="20">
        <f>SUMIFS(월별계산!$K$6:$K$100,월별계산!$B$6:$B$100,"&gt;="&amp;B15,월별계산!$B$6:$B$100,"&lt;"&amp;C15)-F15</f>
        <v>293029000</v>
      </c>
      <c r="H15" s="20">
        <f>SUMIFS(월별계산!$L$6:$L$100,월별계산!$B$6:$B$100,"&gt;="&amp;B15,월별계산!$B$6:$B$100,"&lt;"&amp;C15)-F15</f>
        <v>293029000</v>
      </c>
      <c r="I15" s="18">
        <f t="shared" si="0"/>
        <v>0</v>
      </c>
      <c r="J15" s="20">
        <f>-SUMIFS(월별계산!$P$6:$P$100,월별계산!$B$6:$B$100,"&gt;="&amp;B15,월별계산!$B$6:$B$100,"&lt;"&amp;C15)</f>
        <v>-1627920</v>
      </c>
      <c r="K15" s="18">
        <f t="shared" si="1"/>
        <v>291401080</v>
      </c>
      <c r="L15" s="18">
        <f t="shared" si="2"/>
        <v>-1627920</v>
      </c>
      <c r="M15" s="20">
        <f>SUMIFS(월별계산!$R$6:$R$100,월별계산!$B$6:$B$100,"&gt;="&amp;B15,월별계산!$B$6:$B$100,"&lt;"&amp;C15)-F15</f>
        <v>310340000</v>
      </c>
      <c r="N15" s="18">
        <f t="shared" si="3"/>
        <v>18938920</v>
      </c>
      <c r="O15" s="18">
        <f t="shared" si="4"/>
        <v>0</v>
      </c>
    </row>
    <row r="16" spans="1:15" ht="30" customHeight="1">
      <c r="A16" s="5" t="s">
        <v>175</v>
      </c>
      <c r="B16" s="27">
        <v>46692</v>
      </c>
      <c r="C16" s="27">
        <v>46722</v>
      </c>
      <c r="D16" s="5" t="s">
        <v>165</v>
      </c>
      <c r="E16" s="19">
        <f>SUMIFS(월별계산!$S$6:$S$100,월별계산!$B$6:$B$100,"&gt;="&amp;B16,월별계산!$B$6:$B$100,"&lt;"&amp;C16)</f>
        <v>5722200000</v>
      </c>
      <c r="F16" s="19">
        <f>SUMIFS(월고정비!$B$6:$B$24,월고정비!$A$6:$A$24,"&gt;="&amp;B16,월고정비!$A$6:$A$24,"&lt;"&amp;C16)</f>
        <v>370000000</v>
      </c>
      <c r="G16" s="19">
        <f>SUMIFS(월별계산!$K$6:$K$100,월별계산!$B$6:$B$100,"&gt;="&amp;B16,월별계산!$B$6:$B$100,"&lt;"&amp;C16)-F16</f>
        <v>280030000</v>
      </c>
      <c r="H16" s="19">
        <f>SUMIFS(월별계산!$L$6:$L$100,월별계산!$B$6:$B$100,"&gt;="&amp;B16,월별계산!$B$6:$B$100,"&lt;"&amp;C16)-F16</f>
        <v>280030000</v>
      </c>
      <c r="I16" s="17">
        <f t="shared" si="0"/>
        <v>0</v>
      </c>
      <c r="J16" s="19">
        <f>-SUMIFS(월별계산!$P$6:$P$100,월별계산!$B$6:$B$100,"&gt;="&amp;B16,월별계산!$B$6:$B$100,"&lt;"&amp;C16)</f>
        <v>-1596000</v>
      </c>
      <c r="K16" s="17">
        <f t="shared" si="1"/>
        <v>278434000</v>
      </c>
      <c r="L16" s="17">
        <f t="shared" si="2"/>
        <v>-1596000</v>
      </c>
      <c r="M16" s="19">
        <f>SUMIFS(월별계산!$R$6:$R$100,월별계산!$B$6:$B$100,"&gt;="&amp;B16,월별계산!$B$6:$B$100,"&lt;"&amp;C16)-F16</f>
        <v>297000000</v>
      </c>
      <c r="N16" s="17">
        <f t="shared" si="3"/>
        <v>18566000</v>
      </c>
      <c r="O16" s="17">
        <f t="shared" si="4"/>
        <v>0</v>
      </c>
    </row>
    <row r="17" spans="1:15" ht="30" customHeight="1">
      <c r="A17" s="1" t="s">
        <v>176</v>
      </c>
      <c r="B17" s="28">
        <v>46722</v>
      </c>
      <c r="C17" s="28">
        <v>46753</v>
      </c>
      <c r="D17" s="1" t="s">
        <v>165</v>
      </c>
      <c r="E17" s="20">
        <f>SUMIFS(월별계산!$S$6:$S$100,월별계산!$B$6:$B$100,"&gt;="&amp;B17,월별계산!$B$6:$B$100,"&lt;"&amp;C17)</f>
        <v>5436270000</v>
      </c>
      <c r="F17" s="20">
        <f>SUMIFS(월고정비!$B$6:$B$24,월고정비!$A$6:$A$24,"&gt;="&amp;B17,월고정비!$A$6:$A$24,"&lt;"&amp;C17)</f>
        <v>370000000</v>
      </c>
      <c r="G17" s="20">
        <f>SUMIFS(월별계산!$K$6:$K$100,월별계산!$B$6:$B$100,"&gt;="&amp;B17,월별계산!$B$6:$B$100,"&lt;"&amp;C17)-F17</f>
        <v>247550000</v>
      </c>
      <c r="H17" s="20">
        <f>SUMIFS(월별계산!$L$6:$L$100,월별계산!$B$6:$B$100,"&gt;="&amp;B17,월별계산!$B$6:$B$100,"&lt;"&amp;C17)-F17</f>
        <v>247550000</v>
      </c>
      <c r="I17" s="18">
        <f t="shared" si="0"/>
        <v>0</v>
      </c>
      <c r="J17" s="20">
        <f>-SUMIFS(월별계산!$P$6:$P$100,월별계산!$B$6:$B$100,"&gt;="&amp;B17,월별계산!$B$6:$B$100,"&lt;"&amp;C17)</f>
        <v>-1516200</v>
      </c>
      <c r="K17" s="18">
        <f t="shared" si="1"/>
        <v>246033800</v>
      </c>
      <c r="L17" s="18">
        <f t="shared" si="2"/>
        <v>-1516200</v>
      </c>
      <c r="M17" s="20">
        <f>SUMIFS(월별계산!$R$6:$R$100,월별계산!$B$6:$B$100,"&gt;="&amp;B17,월별계산!$B$6:$B$100,"&lt;"&amp;C17)-F17</f>
        <v>263650000</v>
      </c>
      <c r="N17" s="18">
        <f t="shared" si="3"/>
        <v>17616200</v>
      </c>
      <c r="O17" s="18">
        <f t="shared" si="4"/>
        <v>0</v>
      </c>
    </row>
    <row r="18" spans="1:15" ht="30" customHeight="1">
      <c r="A18" s="5" t="s">
        <v>177</v>
      </c>
      <c r="B18" s="27">
        <v>46569</v>
      </c>
      <c r="C18" s="27">
        <v>46661</v>
      </c>
      <c r="D18" s="5" t="s">
        <v>178</v>
      </c>
      <c r="E18" s="19">
        <f>SUMIFS(월별계산!$S$6:$S$100,월별계산!$B$6:$B$100,"&gt;="&amp;B18,월별계산!$B$6:$B$100,"&lt;"&amp;C18)</f>
        <v>16754520000</v>
      </c>
      <c r="F18" s="19">
        <f>SUMIFS(월고정비!$B$6:$B$24,월고정비!$A$6:$A$24,"&gt;="&amp;B18,월고정비!$A$6:$A$24,"&lt;"&amp;C18)</f>
        <v>1110000000</v>
      </c>
      <c r="G18" s="19">
        <f>SUMIFS(월별계산!$K$6:$K$100,월별계산!$B$6:$B$100,"&gt;="&amp;B18,월별계산!$B$6:$B$100,"&lt;"&amp;C18)-F18</f>
        <v>807592000</v>
      </c>
      <c r="H18" s="19">
        <f>SUMIFS(월별계산!$L$6:$L$100,월별계산!$B$6:$B$100,"&gt;="&amp;B18,월별계산!$B$6:$B$100,"&lt;"&amp;C18)-F18</f>
        <v>793592000</v>
      </c>
      <c r="I18" s="17">
        <f t="shared" si="0"/>
        <v>-14000000</v>
      </c>
      <c r="J18" s="19">
        <f>-SUMIFS(월별계산!$P$6:$P$100,월별계산!$B$6:$B$100,"&gt;="&amp;B18,월별계산!$B$6:$B$100,"&lt;"&amp;C18)</f>
        <v>-4624200</v>
      </c>
      <c r="K18" s="17">
        <f t="shared" si="1"/>
        <v>788967800</v>
      </c>
      <c r="L18" s="17">
        <f t="shared" si="2"/>
        <v>-18624200</v>
      </c>
      <c r="M18" s="19">
        <f>SUMIFS(월별계산!$R$6:$R$100,월별계산!$B$6:$B$100,"&gt;="&amp;B18,월별계산!$B$6:$B$100,"&lt;"&amp;C18)-F18</f>
        <v>857650000</v>
      </c>
      <c r="N18" s="17">
        <f t="shared" si="3"/>
        <v>68682200</v>
      </c>
      <c r="O18" s="17">
        <f t="shared" si="4"/>
        <v>0</v>
      </c>
    </row>
    <row r="19" spans="1:15" ht="30" customHeight="1">
      <c r="A19" s="1" t="s">
        <v>179</v>
      </c>
      <c r="B19" s="28">
        <v>46661</v>
      </c>
      <c r="C19" s="28">
        <v>46753</v>
      </c>
      <c r="D19" s="1" t="s">
        <v>178</v>
      </c>
      <c r="E19" s="20">
        <f>SUMIFS(월별계산!$S$6:$S$100,월별계산!$B$6:$B$100,"&gt;="&amp;B19,월별계산!$B$6:$B$100,"&lt;"&amp;C19)</f>
        <v>16995100000</v>
      </c>
      <c r="F19" s="20">
        <f>SUMIFS(월고정비!$B$6:$B$24,월고정비!$A$6:$A$24,"&gt;="&amp;B19,월고정비!$A$6:$A$24,"&lt;"&amp;C19)</f>
        <v>1110000000</v>
      </c>
      <c r="G19" s="20">
        <f>SUMIFS(월별계산!$K$6:$K$100,월별계산!$B$6:$B$100,"&gt;="&amp;B19,월별계산!$B$6:$B$100,"&lt;"&amp;C19)-F19</f>
        <v>820609000</v>
      </c>
      <c r="H19" s="20">
        <f>SUMIFS(월별계산!$L$6:$L$100,월별계산!$B$6:$B$100,"&gt;="&amp;B19,월별계산!$B$6:$B$100,"&lt;"&amp;C19)-F19</f>
        <v>820609000</v>
      </c>
      <c r="I19" s="18">
        <f t="shared" si="0"/>
        <v>0</v>
      </c>
      <c r="J19" s="20">
        <f>-SUMIFS(월별계산!$P$6:$P$100,월별계산!$B$6:$B$100,"&gt;="&amp;B19,월별계산!$B$6:$B$100,"&lt;"&amp;C19)</f>
        <v>-4740120</v>
      </c>
      <c r="K19" s="18">
        <f t="shared" si="1"/>
        <v>815868880</v>
      </c>
      <c r="L19" s="18">
        <f t="shared" si="2"/>
        <v>-4740120</v>
      </c>
      <c r="M19" s="20">
        <f>SUMIFS(월별계산!$R$6:$R$100,월별계산!$B$6:$B$100,"&gt;="&amp;B19,월별계산!$B$6:$B$100,"&lt;"&amp;C19)-F19</f>
        <v>870990000</v>
      </c>
      <c r="N19" s="18">
        <f t="shared" si="3"/>
        <v>55121120</v>
      </c>
      <c r="O19" s="18">
        <f t="shared" si="4"/>
        <v>0</v>
      </c>
    </row>
    <row r="20" spans="1:15" ht="30" customHeight="1">
      <c r="A20" s="5" t="s">
        <v>180</v>
      </c>
      <c r="B20" s="27">
        <f>설정!B6</f>
        <v>46569</v>
      </c>
      <c r="C20" s="27">
        <v>46753</v>
      </c>
      <c r="D20" s="5" t="s">
        <v>181</v>
      </c>
      <c r="E20" s="19">
        <f>SUMIFS(월별계산!$S$6:$S$100,월별계산!$B$6:$B$100,"&gt;="&amp;B20,월별계산!$B$6:$B$100,"&lt;"&amp;C20)</f>
        <v>33749620000</v>
      </c>
      <c r="F20" s="19">
        <f>SUMIFS(월고정비!$B$6:$B$24,월고정비!$A$6:$A$24,"&gt;="&amp;B20,월고정비!$A$6:$A$24,"&lt;"&amp;C20)</f>
        <v>2220000000</v>
      </c>
      <c r="G20" s="19">
        <f>SUMIFS(월별계산!$K$6:$K$100,월별계산!$B$6:$B$100,"&gt;="&amp;B20,월별계산!$B$6:$B$100,"&lt;"&amp;C20)-F20</f>
        <v>1628201000</v>
      </c>
      <c r="H20" s="19">
        <f>SUMIFS(월별계산!$L$6:$L$100,월별계산!$B$6:$B$100,"&gt;="&amp;B20,월별계산!$B$6:$B$100,"&lt;"&amp;C20)-F20</f>
        <v>1614201000</v>
      </c>
      <c r="I20" s="17">
        <f t="shared" si="0"/>
        <v>-14000000</v>
      </c>
      <c r="J20" s="19">
        <f>-SUMIFS(월별계산!$P$6:$P$100,월별계산!$B$6:$B$100,"&gt;="&amp;B20,월별계산!$B$6:$B$100,"&lt;"&amp;C20)</f>
        <v>-9364320</v>
      </c>
      <c r="K20" s="17">
        <f t="shared" si="1"/>
        <v>1604836680</v>
      </c>
      <c r="L20" s="17">
        <f t="shared" si="2"/>
        <v>-23364320</v>
      </c>
      <c r="M20" s="19">
        <f>SUMIFS(월별계산!$R$6:$R$100,월별계산!$B$6:$B$100,"&gt;="&amp;B20,월별계산!$B$6:$B$100,"&lt;"&amp;C20)-F20</f>
        <v>1728640000</v>
      </c>
      <c r="N20" s="17">
        <f t="shared" si="3"/>
        <v>123803320</v>
      </c>
      <c r="O20" s="17">
        <f t="shared" si="4"/>
        <v>0</v>
      </c>
    </row>
    <row r="21" spans="1:15" ht="30" customHeight="1">
      <c r="A21" s="1" t="s">
        <v>182</v>
      </c>
      <c r="B21" s="28">
        <v>46388</v>
      </c>
      <c r="C21" s="28">
        <v>46753</v>
      </c>
      <c r="D21" s="1" t="s">
        <v>183</v>
      </c>
      <c r="E21" s="20">
        <f>SUMIFS(월별계산!$S$6:$S$100,월별계산!$B$6:$B$100,"&gt;="&amp;B21,월별계산!$B$6:$B$100,"&lt;"&amp;C21)</f>
        <v>68241730000</v>
      </c>
      <c r="F21" s="20">
        <f>SUMIFS(월고정비!$B$6:$B$24,월고정비!$A$6:$A$24,"&gt;="&amp;B21,월고정비!$A$6:$A$24,"&lt;"&amp;C21)</f>
        <v>4440000000</v>
      </c>
      <c r="G21" s="20">
        <f>SUMIFS(월별계산!$K$6:$K$100,월별계산!$B$6:$B$100,"&gt;="&amp;B21,월별계산!$B$6:$B$100,"&lt;"&amp;C21)-F21</f>
        <v>3323351000</v>
      </c>
      <c r="H21" s="20">
        <f>SUMIFS(월별계산!$L$6:$L$100,월별계산!$B$6:$B$100,"&gt;="&amp;B21,월별계산!$B$6:$B$100,"&lt;"&amp;C21)-F21</f>
        <v>3309351000</v>
      </c>
      <c r="I21" s="18">
        <f t="shared" si="0"/>
        <v>-14000000</v>
      </c>
      <c r="J21" s="20">
        <f>-SUMIFS(월별계산!$P$6:$P$100,월별계산!$B$6:$B$100,"&gt;="&amp;B21,월별계산!$B$6:$B$100,"&lt;"&amp;C21)</f>
        <v>-9364320</v>
      </c>
      <c r="K21" s="18">
        <f t="shared" si="1"/>
        <v>3299986680</v>
      </c>
      <c r="L21" s="18">
        <f t="shared" si="2"/>
        <v>-23364320</v>
      </c>
      <c r="M21" s="20">
        <f>SUMIFS(월별계산!$R$6:$R$100,월별계산!$B$6:$B$100,"&gt;="&amp;B21,월별계산!$B$6:$B$100,"&lt;"&amp;C21)-F21</f>
        <v>3477290000</v>
      </c>
      <c r="N21" s="18">
        <f t="shared" si="3"/>
        <v>177303320</v>
      </c>
      <c r="O21" s="18">
        <f t="shared" si="4"/>
        <v>0</v>
      </c>
    </row>
    <row r="22" spans="1:15" ht="30" customHeight="1">
      <c r="A22" s="5" t="s">
        <v>184</v>
      </c>
      <c r="B22" s="21">
        <f>설정!B6</f>
        <v>46569</v>
      </c>
      <c r="C22" s="21">
        <f>설정!B23</f>
        <v>46935</v>
      </c>
      <c r="D22" s="5" t="s">
        <v>185</v>
      </c>
      <c r="E22" s="19">
        <f>SUMIFS(월별계산!$S$6:$S$100,월별계산!$B$6:$B$100,"&gt;="&amp;B22,월별계산!$B$6:$B$100,"&lt;"&amp;C22)</f>
        <v>67207730000</v>
      </c>
      <c r="F22" s="19">
        <f>SUMIFS(월고정비!$B$6:$B$24,월고정비!$A$6:$A$24,"&gt;="&amp;B22,월고정비!$A$6:$A$24,"&lt;"&amp;C22)</f>
        <v>4440000000</v>
      </c>
      <c r="G22" s="19">
        <f>SUMIFS(월별계산!$K$6:$K$100,월별계산!$B$6:$B$100,"&gt;="&amp;B22,월별계산!$B$6:$B$100,"&lt;"&amp;C22)-F22</f>
        <v>3205981000</v>
      </c>
      <c r="H22" s="19">
        <f>SUMIFS(월별계산!$L$6:$L$100,월별계산!$B$6:$B$100,"&gt;="&amp;B22,월별계산!$B$6:$B$100,"&lt;"&amp;C22)-F22</f>
        <v>3191981000</v>
      </c>
      <c r="I22" s="17">
        <f t="shared" si="0"/>
        <v>-14000000</v>
      </c>
      <c r="J22" s="19">
        <f>-SUMIFS(월별계산!$P$6:$P$100,월별계산!$B$6:$B$100,"&gt;="&amp;B22,월별계산!$B$6:$B$100,"&lt;"&amp;C22)</f>
        <v>-18817440</v>
      </c>
      <c r="K22" s="17">
        <f t="shared" si="1"/>
        <v>3173163560</v>
      </c>
      <c r="L22" s="17">
        <f t="shared" si="2"/>
        <v>-32817440</v>
      </c>
      <c r="M22" s="17"/>
      <c r="N22" s="17"/>
      <c r="O22" s="17">
        <f t="shared" si="4"/>
        <v>0</v>
      </c>
    </row>
    <row r="25" spans="1:15" ht="40.049999999999997" customHeight="1">
      <c r="A25" s="29"/>
      <c r="B25" s="29"/>
      <c r="C25" s="29"/>
      <c r="D25" s="29"/>
      <c r="E25" s="29"/>
      <c r="F25" s="29"/>
    </row>
    <row r="26" spans="1:15" ht="31.95" customHeight="1">
      <c r="A26" s="30"/>
      <c r="B26" s="31"/>
      <c r="C26" s="31"/>
      <c r="D26" s="31"/>
      <c r="E26" s="31"/>
      <c r="F26" s="30"/>
    </row>
    <row r="27" spans="1:15" ht="31.95" customHeight="1">
      <c r="A27" s="30"/>
      <c r="B27" s="31"/>
      <c r="C27" s="31"/>
      <c r="D27" s="31"/>
      <c r="E27" s="31"/>
      <c r="F27" s="30"/>
    </row>
    <row r="28" spans="1:15" ht="31.95" customHeight="1">
      <c r="A28" s="30"/>
      <c r="B28" s="31"/>
      <c r="C28" s="31"/>
      <c r="D28" s="31"/>
      <c r="E28" s="31"/>
      <c r="F28" s="30"/>
    </row>
    <row r="29" spans="1:15" ht="31.95" customHeight="1">
      <c r="A29" s="30"/>
      <c r="B29" s="31"/>
      <c r="C29" s="31"/>
      <c r="D29" s="31"/>
      <c r="E29" s="31"/>
      <c r="F29" s="30"/>
    </row>
    <row r="30" spans="1:15" ht="31.95" customHeight="1">
      <c r="A30" s="30"/>
      <c r="B30" s="31"/>
      <c r="C30" s="31"/>
      <c r="D30" s="31"/>
      <c r="E30" s="31"/>
      <c r="F30" s="30"/>
    </row>
  </sheetData>
  <mergeCells count="2">
    <mergeCell ref="A1:O2"/>
    <mergeCell ref="A3:O3"/>
  </mergeCells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5" width="15" customWidth="1"/>
    <col min="6" max="8" width="17" customWidth="1"/>
    <col min="9" max="9" width="14" customWidth="1"/>
    <col min="10" max="10" width="17" customWidth="1"/>
    <col min="11" max="12" width="20" customWidth="1"/>
    <col min="13" max="13" width="19" customWidth="1"/>
    <col min="14" max="14" width="14" customWidth="1"/>
    <col min="15" max="15" width="16" customWidth="1"/>
    <col min="16" max="16" width="23" customWidth="1"/>
    <col min="17" max="19" width="22" customWidth="1"/>
    <col min="20" max="20" width="23" customWidth="1"/>
    <col min="21" max="21" width="15" customWidth="1"/>
  </cols>
  <sheetData>
    <row r="1" spans="1:21" ht="30" customHeight="1">
      <c r="A1" s="128" t="s">
        <v>186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</row>
    <row r="2" spans="1:21" ht="30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1:21" ht="43.95" customHeight="1">
      <c r="A3" s="129" t="s">
        <v>187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</row>
    <row r="4" spans="1:21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42" customHeight="1">
      <c r="A5" s="4" t="s">
        <v>188</v>
      </c>
      <c r="B5" s="4" t="s">
        <v>189</v>
      </c>
      <c r="C5" s="4" t="s">
        <v>190</v>
      </c>
      <c r="D5" s="4" t="s">
        <v>191</v>
      </c>
      <c r="E5" s="4" t="s">
        <v>192</v>
      </c>
      <c r="F5" s="4" t="s">
        <v>193</v>
      </c>
      <c r="G5" s="4" t="s">
        <v>194</v>
      </c>
      <c r="H5" s="4" t="s">
        <v>195</v>
      </c>
      <c r="I5" s="4" t="s">
        <v>196</v>
      </c>
      <c r="J5" s="4" t="s">
        <v>197</v>
      </c>
      <c r="K5" s="4" t="s">
        <v>198</v>
      </c>
      <c r="L5" s="4" t="s">
        <v>199</v>
      </c>
      <c r="M5" s="4" t="s">
        <v>200</v>
      </c>
      <c r="N5" s="4" t="s">
        <v>201</v>
      </c>
      <c r="O5" s="4" t="s">
        <v>202</v>
      </c>
      <c r="P5" s="4" t="s">
        <v>203</v>
      </c>
      <c r="Q5" s="4" t="s">
        <v>204</v>
      </c>
      <c r="R5" s="4" t="s">
        <v>205</v>
      </c>
      <c r="S5" s="4" t="s">
        <v>153</v>
      </c>
      <c r="T5" s="4" t="s">
        <v>206</v>
      </c>
      <c r="U5" s="4" t="s">
        <v>207</v>
      </c>
    </row>
    <row r="6" spans="1:21" ht="30" customHeight="1">
      <c r="A6" s="12" t="str">
        <f>물량원가기준!A6</f>
        <v>2027-01|A-a</v>
      </c>
      <c r="B6" s="23">
        <f>물량원가기준!B6</f>
        <v>46388</v>
      </c>
      <c r="C6" s="12" t="str">
        <f>물량원가기준!C6</f>
        <v>A-a</v>
      </c>
      <c r="D6" s="19">
        <f>물량원가기준!E6</f>
        <v>4080</v>
      </c>
      <c r="E6" s="19">
        <f>물량원가기준!F6</f>
        <v>4080</v>
      </c>
      <c r="F6" s="19">
        <f>물량원가기준!G6</f>
        <v>300000</v>
      </c>
      <c r="G6" s="19">
        <f>SUM(물량원가기준!H6:J6)</f>
        <v>270000</v>
      </c>
      <c r="H6" s="17">
        <f t="shared" ref="H6:H37" si="0">F6-G6</f>
        <v>30000</v>
      </c>
      <c r="I6" s="19">
        <f>부품모델매핑!D6</f>
        <v>1</v>
      </c>
      <c r="J6" s="19">
        <f>IF(ISNUMBER(물량원가기준!F6),E6*I6,"미산출")</f>
        <v>4080</v>
      </c>
      <c r="K6" s="17">
        <f t="shared" ref="K6:K37" si="1">D6*H6</f>
        <v>122400000</v>
      </c>
      <c r="L6" s="17">
        <f t="shared" ref="L6:L37" si="2">E6*H6</f>
        <v>122400000</v>
      </c>
      <c r="M6" s="17">
        <f t="shared" ref="M6:M37" si="3">L6-K6</f>
        <v>0</v>
      </c>
      <c r="N6" s="19">
        <f>IF(AND(B6&gt;=설정!$B$6,B6&lt;설정!$B$23),1,0)</f>
        <v>0</v>
      </c>
      <c r="O6" s="19">
        <f>IF(AND(B6&gt;=설정!$B$6,B6&lt;설정!$B$24),1,0)</f>
        <v>0</v>
      </c>
      <c r="P6" s="19">
        <f>IF(B6&gt;=설정!$B$6,J6*(설정!$B$18-설정!$B$13),0)</f>
        <v>0</v>
      </c>
      <c r="Q6" s="17">
        <f t="shared" ref="Q6:Q37" si="4">L6-P6</f>
        <v>122400000</v>
      </c>
      <c r="R6" s="19">
        <f>IF(물량원가기준!D6="","",물량원가기준!D6*H6)</f>
        <v>122400000</v>
      </c>
      <c r="S6" s="17">
        <f t="shared" ref="S6:S37" si="5">E6*F6</f>
        <v>1224000000</v>
      </c>
      <c r="T6" s="19">
        <f>물량원가기준!I6+IF(B6&gt;=설정!$B$6,I6*(설정!$B$18-설정!$B$13),0)</f>
        <v>75000</v>
      </c>
      <c r="U6" s="19">
        <f>IF(OR(COUNT(물량원가기준!E6:J6)&lt;&gt;6,COUNTIFS(물량원가기준!$A$6:$A$100,A6)&lt;&gt;1),0,1)</f>
        <v>1</v>
      </c>
    </row>
    <row r="7" spans="1:21" ht="30" customHeight="1">
      <c r="A7" s="11" t="str">
        <f>물량원가기준!A7</f>
        <v>2027-01|A-b</v>
      </c>
      <c r="B7" s="24">
        <f>물량원가기준!B7</f>
        <v>46388</v>
      </c>
      <c r="C7" s="11" t="str">
        <f>물량원가기준!C7</f>
        <v>A-b</v>
      </c>
      <c r="D7" s="20">
        <f>물량원가기준!E7</f>
        <v>10200</v>
      </c>
      <c r="E7" s="20">
        <f>물량원가기준!F7</f>
        <v>10200</v>
      </c>
      <c r="F7" s="20">
        <f>물량원가기준!G7</f>
        <v>180000</v>
      </c>
      <c r="G7" s="20">
        <f>SUM(물량원가기준!H7:J7)</f>
        <v>160000</v>
      </c>
      <c r="H7" s="18">
        <f t="shared" si="0"/>
        <v>20000</v>
      </c>
      <c r="I7" s="20">
        <f>부품모델매핑!D7</f>
        <v>1</v>
      </c>
      <c r="J7" s="20">
        <f>IF(ISNUMBER(물량원가기준!F7),E7*I7,"미산출")</f>
        <v>10200</v>
      </c>
      <c r="K7" s="18">
        <f t="shared" si="1"/>
        <v>204000000</v>
      </c>
      <c r="L7" s="18">
        <f t="shared" si="2"/>
        <v>204000000</v>
      </c>
      <c r="M7" s="18">
        <f t="shared" si="3"/>
        <v>0</v>
      </c>
      <c r="N7" s="20">
        <f>IF(AND(B7&gt;=설정!$B$6,B7&lt;설정!$B$23),1,0)</f>
        <v>0</v>
      </c>
      <c r="O7" s="20">
        <f>IF(AND(B7&gt;=설정!$B$6,B7&lt;설정!$B$24),1,0)</f>
        <v>0</v>
      </c>
      <c r="P7" s="20">
        <f>IF(B7&gt;=설정!$B$6,J7*(설정!$B$18-설정!$B$13),0)</f>
        <v>0</v>
      </c>
      <c r="Q7" s="18">
        <f t="shared" si="4"/>
        <v>204000000</v>
      </c>
      <c r="R7" s="20">
        <f>IF(물량원가기준!D7="","",물량원가기준!D7*H7)</f>
        <v>204000000</v>
      </c>
      <c r="S7" s="18">
        <f t="shared" si="5"/>
        <v>1836000000</v>
      </c>
      <c r="T7" s="20">
        <f>물량원가기준!I7+IF(B7&gt;=설정!$B$6,I7*(설정!$B$18-설정!$B$13),0)</f>
        <v>95000</v>
      </c>
      <c r="U7" s="20">
        <f>IF(OR(COUNT(물량원가기준!E7:J7)&lt;&gt;6,COUNTIFS(물량원가기준!$A$6:$A$100,A7)&lt;&gt;1),0,1)</f>
        <v>1</v>
      </c>
    </row>
    <row r="8" spans="1:21" ht="30" customHeight="1">
      <c r="A8" s="12" t="str">
        <f>물량원가기준!A8</f>
        <v>2027-01|A-c</v>
      </c>
      <c r="B8" s="23">
        <f>물량원가기준!B8</f>
        <v>46388</v>
      </c>
      <c r="C8" s="12" t="str">
        <f>물량원가기준!C8</f>
        <v>A-c</v>
      </c>
      <c r="D8" s="19">
        <f>물량원가기준!E8</f>
        <v>6059</v>
      </c>
      <c r="E8" s="19">
        <f>물량원가기준!F8</f>
        <v>6059</v>
      </c>
      <c r="F8" s="19">
        <f>물량원가기준!G8</f>
        <v>230000</v>
      </c>
      <c r="G8" s="19">
        <f>SUM(물량원가기준!H8:J8)</f>
        <v>202000</v>
      </c>
      <c r="H8" s="17">
        <f t="shared" si="0"/>
        <v>28000</v>
      </c>
      <c r="I8" s="19">
        <f>부품모델매핑!D8</f>
        <v>0</v>
      </c>
      <c r="J8" s="19">
        <f>IF(ISNUMBER(물량원가기준!F8),E8*I8,"미산출")</f>
        <v>0</v>
      </c>
      <c r="K8" s="17">
        <f t="shared" si="1"/>
        <v>169652000</v>
      </c>
      <c r="L8" s="17">
        <f t="shared" si="2"/>
        <v>169652000</v>
      </c>
      <c r="M8" s="17">
        <f t="shared" si="3"/>
        <v>0</v>
      </c>
      <c r="N8" s="19">
        <f>IF(AND(B8&gt;=설정!$B$6,B8&lt;설정!$B$23),1,0)</f>
        <v>0</v>
      </c>
      <c r="O8" s="19">
        <f>IF(AND(B8&gt;=설정!$B$6,B8&lt;설정!$B$24),1,0)</f>
        <v>0</v>
      </c>
      <c r="P8" s="19">
        <f>IF(B8&gt;=설정!$B$6,J8*(설정!$B$18-설정!$B$13),0)</f>
        <v>0</v>
      </c>
      <c r="Q8" s="17">
        <f t="shared" si="4"/>
        <v>169652000</v>
      </c>
      <c r="R8" s="19">
        <f>IF(물량원가기준!D8="","",물량원가기준!D8*H8)</f>
        <v>171360000</v>
      </c>
      <c r="S8" s="17">
        <f t="shared" si="5"/>
        <v>1393570000</v>
      </c>
      <c r="T8" s="19">
        <f>물량원가기준!I8+IF(B8&gt;=설정!$B$6,I8*(설정!$B$18-설정!$B$13),0)</f>
        <v>60000</v>
      </c>
      <c r="U8" s="19">
        <f>IF(OR(COUNT(물량원가기준!E8:J8)&lt;&gt;6,COUNTIFS(물량원가기준!$A$6:$A$100,A8)&lt;&gt;1),0,1)</f>
        <v>1</v>
      </c>
    </row>
    <row r="9" spans="1:21" ht="30" customHeight="1">
      <c r="A9" s="11" t="str">
        <f>물량원가기준!A9</f>
        <v>2027-01|A-d</v>
      </c>
      <c r="B9" s="24">
        <f>물량원가기준!B9</f>
        <v>46388</v>
      </c>
      <c r="C9" s="11" t="str">
        <f>물량원가기준!C9</f>
        <v>A-d</v>
      </c>
      <c r="D9" s="20">
        <f>물량원가기준!E9</f>
        <v>5151</v>
      </c>
      <c r="E9" s="20">
        <f>물량원가기준!F9</f>
        <v>5151</v>
      </c>
      <c r="F9" s="20">
        <f>물량원가기준!G9</f>
        <v>210000</v>
      </c>
      <c r="G9" s="20">
        <f>SUM(물량원가기준!H9:J9)</f>
        <v>185000</v>
      </c>
      <c r="H9" s="18">
        <f t="shared" si="0"/>
        <v>25000</v>
      </c>
      <c r="I9" s="20">
        <f>부품모델매핑!D9</f>
        <v>0</v>
      </c>
      <c r="J9" s="20">
        <f>IF(ISNUMBER(물량원가기준!F9),E9*I9,"미산출")</f>
        <v>0</v>
      </c>
      <c r="K9" s="18">
        <f t="shared" si="1"/>
        <v>128775000</v>
      </c>
      <c r="L9" s="18">
        <f t="shared" si="2"/>
        <v>128775000</v>
      </c>
      <c r="M9" s="18">
        <f t="shared" si="3"/>
        <v>0</v>
      </c>
      <c r="N9" s="20">
        <f>IF(AND(B9&gt;=설정!$B$6,B9&lt;설정!$B$23),1,0)</f>
        <v>0</v>
      </c>
      <c r="O9" s="20">
        <f>IF(AND(B9&gt;=설정!$B$6,B9&lt;설정!$B$24),1,0)</f>
        <v>0</v>
      </c>
      <c r="P9" s="20">
        <f>IF(B9&gt;=설정!$B$6,J9*(설정!$B$18-설정!$B$13),0)</f>
        <v>0</v>
      </c>
      <c r="Q9" s="18">
        <f t="shared" si="4"/>
        <v>128775000</v>
      </c>
      <c r="R9" s="20">
        <f>IF(물량원가기준!D9="","",물량원가기준!D9*H9)</f>
        <v>127500000</v>
      </c>
      <c r="S9" s="18">
        <f t="shared" si="5"/>
        <v>1081710000</v>
      </c>
      <c r="T9" s="20">
        <f>물량원가기준!I9+IF(B9&gt;=설정!$B$6,I9*(설정!$B$18-설정!$B$13),0)</f>
        <v>65000</v>
      </c>
      <c r="U9" s="20">
        <f>IF(OR(COUNT(물량원가기준!E9:J9)&lt;&gt;6,COUNTIFS(물량원가기준!$A$6:$A$100,A9)&lt;&gt;1),0,1)</f>
        <v>1</v>
      </c>
    </row>
    <row r="10" spans="1:21" ht="30" customHeight="1">
      <c r="A10" s="12" t="str">
        <f>물량원가기준!A10</f>
        <v>2027-01|A-e</v>
      </c>
      <c r="B10" s="23">
        <f>물량원가기준!B10</f>
        <v>46388</v>
      </c>
      <c r="C10" s="12" t="str">
        <f>물량원가기준!C10</f>
        <v>A-e</v>
      </c>
      <c r="D10" s="19">
        <f>물량원가기준!E10</f>
        <v>3029</v>
      </c>
      <c r="E10" s="19">
        <f>물량원가기준!F10</f>
        <v>3029</v>
      </c>
      <c r="F10" s="19">
        <f>물량원가기준!G10</f>
        <v>150000</v>
      </c>
      <c r="G10" s="19">
        <f>SUM(물량원가기준!H10:J10)</f>
        <v>132000</v>
      </c>
      <c r="H10" s="17">
        <f t="shared" si="0"/>
        <v>18000</v>
      </c>
      <c r="I10" s="19">
        <f>부품모델매핑!D10</f>
        <v>0</v>
      </c>
      <c r="J10" s="19">
        <f>IF(ISNUMBER(물량원가기준!F10),E10*I10,"미산출")</f>
        <v>0</v>
      </c>
      <c r="K10" s="17">
        <f t="shared" si="1"/>
        <v>54522000</v>
      </c>
      <c r="L10" s="17">
        <f t="shared" si="2"/>
        <v>54522000</v>
      </c>
      <c r="M10" s="17">
        <f t="shared" si="3"/>
        <v>0</v>
      </c>
      <c r="N10" s="19">
        <f>IF(AND(B10&gt;=설정!$B$6,B10&lt;설정!$B$23),1,0)</f>
        <v>0</v>
      </c>
      <c r="O10" s="19">
        <f>IF(AND(B10&gt;=설정!$B$6,B10&lt;설정!$B$24),1,0)</f>
        <v>0</v>
      </c>
      <c r="P10" s="19">
        <f>IF(B10&gt;=설정!$B$6,J10*(설정!$B$18-설정!$B$13),0)</f>
        <v>0</v>
      </c>
      <c r="Q10" s="17">
        <f t="shared" si="4"/>
        <v>54522000</v>
      </c>
      <c r="R10" s="19">
        <f>IF(물량원가기준!D10="","",물량원가기준!D10*H10)</f>
        <v>55080000</v>
      </c>
      <c r="S10" s="17">
        <f t="shared" si="5"/>
        <v>454350000</v>
      </c>
      <c r="T10" s="19">
        <f>물량원가기준!I10+IF(B10&gt;=설정!$B$6,I10*(설정!$B$18-설정!$B$13),0)</f>
        <v>50000</v>
      </c>
      <c r="U10" s="19">
        <f>IF(OR(COUNT(물량원가기준!E10:J10)&lt;&gt;6,COUNTIFS(물량원가기준!$A$6:$A$100,A10)&lt;&gt;1),0,1)</f>
        <v>1</v>
      </c>
    </row>
    <row r="11" spans="1:21" ht="30" customHeight="1">
      <c r="A11" s="11" t="str">
        <f>물량원가기준!A11</f>
        <v>2027-02|A-a</v>
      </c>
      <c r="B11" s="24">
        <f>물량원가기준!B11</f>
        <v>46419</v>
      </c>
      <c r="C11" s="11" t="str">
        <f>물량원가기준!C11</f>
        <v>A-a</v>
      </c>
      <c r="D11" s="20">
        <f>물량원가기준!E11</f>
        <v>3564</v>
      </c>
      <c r="E11" s="20">
        <f>물량원가기준!F11</f>
        <v>3564</v>
      </c>
      <c r="F11" s="20">
        <f>물량원가기준!G11</f>
        <v>300000</v>
      </c>
      <c r="G11" s="20">
        <f>SUM(물량원가기준!H11:J11)</f>
        <v>270000</v>
      </c>
      <c r="H11" s="18">
        <f t="shared" si="0"/>
        <v>30000</v>
      </c>
      <c r="I11" s="20">
        <f>부품모델매핑!D6</f>
        <v>1</v>
      </c>
      <c r="J11" s="20">
        <f>IF(ISNUMBER(물량원가기준!F11),E11*I11,"미산출")</f>
        <v>3564</v>
      </c>
      <c r="K11" s="18">
        <f t="shared" si="1"/>
        <v>106920000</v>
      </c>
      <c r="L11" s="18">
        <f t="shared" si="2"/>
        <v>106920000</v>
      </c>
      <c r="M11" s="18">
        <f t="shared" si="3"/>
        <v>0</v>
      </c>
      <c r="N11" s="20">
        <f>IF(AND(B11&gt;=설정!$B$6,B11&lt;설정!$B$23),1,0)</f>
        <v>0</v>
      </c>
      <c r="O11" s="20">
        <f>IF(AND(B11&gt;=설정!$B$6,B11&lt;설정!$B$24),1,0)</f>
        <v>0</v>
      </c>
      <c r="P11" s="20">
        <f>IF(B11&gt;=설정!$B$6,J11*(설정!$B$18-설정!$B$13),0)</f>
        <v>0</v>
      </c>
      <c r="Q11" s="18">
        <f t="shared" si="4"/>
        <v>106920000</v>
      </c>
      <c r="R11" s="20">
        <f>IF(물량원가기준!D11="","",물량원가기준!D11*H11)</f>
        <v>108000000</v>
      </c>
      <c r="S11" s="18">
        <f t="shared" si="5"/>
        <v>1069200000</v>
      </c>
      <c r="T11" s="20">
        <f>물량원가기준!I11+IF(B11&gt;=설정!$B$6,I11*(설정!$B$18-설정!$B$13),0)</f>
        <v>75000</v>
      </c>
      <c r="U11" s="20">
        <f>IF(OR(COUNT(물량원가기준!E11:J11)&lt;&gt;6,COUNTIFS(물량원가기준!$A$6:$A$100,A11)&lt;&gt;1),0,1)</f>
        <v>1</v>
      </c>
    </row>
    <row r="12" spans="1:21" ht="30" customHeight="1">
      <c r="A12" s="12" t="str">
        <f>물량원가기준!A12</f>
        <v>2027-02|A-b</v>
      </c>
      <c r="B12" s="23">
        <f>물량원가기준!B12</f>
        <v>46419</v>
      </c>
      <c r="C12" s="12" t="str">
        <f>물량원가기준!C12</f>
        <v>A-b</v>
      </c>
      <c r="D12" s="19">
        <f>물량원가기준!E12</f>
        <v>8910</v>
      </c>
      <c r="E12" s="19">
        <f>물량원가기준!F12</f>
        <v>8910</v>
      </c>
      <c r="F12" s="19">
        <f>물량원가기준!G12</f>
        <v>180000</v>
      </c>
      <c r="G12" s="19">
        <f>SUM(물량원가기준!H12:J12)</f>
        <v>160000</v>
      </c>
      <c r="H12" s="17">
        <f t="shared" si="0"/>
        <v>20000</v>
      </c>
      <c r="I12" s="19">
        <f>부품모델매핑!D7</f>
        <v>1</v>
      </c>
      <c r="J12" s="19">
        <f>IF(ISNUMBER(물량원가기준!F12),E12*I12,"미산출")</f>
        <v>8910</v>
      </c>
      <c r="K12" s="17">
        <f t="shared" si="1"/>
        <v>178200000</v>
      </c>
      <c r="L12" s="17">
        <f t="shared" si="2"/>
        <v>178200000</v>
      </c>
      <c r="M12" s="17">
        <f t="shared" si="3"/>
        <v>0</v>
      </c>
      <c r="N12" s="19">
        <f>IF(AND(B12&gt;=설정!$B$6,B12&lt;설정!$B$23),1,0)</f>
        <v>0</v>
      </c>
      <c r="O12" s="19">
        <f>IF(AND(B12&gt;=설정!$B$6,B12&lt;설정!$B$24),1,0)</f>
        <v>0</v>
      </c>
      <c r="P12" s="19">
        <f>IF(B12&gt;=설정!$B$6,J12*(설정!$B$18-설정!$B$13),0)</f>
        <v>0</v>
      </c>
      <c r="Q12" s="17">
        <f t="shared" si="4"/>
        <v>178200000</v>
      </c>
      <c r="R12" s="19">
        <f>IF(물량원가기준!D12="","",물량원가기준!D12*H12)</f>
        <v>180000000</v>
      </c>
      <c r="S12" s="17">
        <f t="shared" si="5"/>
        <v>1603800000</v>
      </c>
      <c r="T12" s="19">
        <f>물량원가기준!I12+IF(B12&gt;=설정!$B$6,I12*(설정!$B$18-설정!$B$13),0)</f>
        <v>95000</v>
      </c>
      <c r="U12" s="19">
        <f>IF(OR(COUNT(물량원가기준!E12:J12)&lt;&gt;6,COUNTIFS(물량원가기준!$A$6:$A$100,A12)&lt;&gt;1),0,1)</f>
        <v>1</v>
      </c>
    </row>
    <row r="13" spans="1:21" ht="30" customHeight="1">
      <c r="A13" s="11" t="str">
        <f>물량원가기준!A13</f>
        <v>2027-02|A-c</v>
      </c>
      <c r="B13" s="24">
        <f>물량원가기준!B13</f>
        <v>46419</v>
      </c>
      <c r="C13" s="11" t="str">
        <f>물량원가기준!C13</f>
        <v>A-c</v>
      </c>
      <c r="D13" s="20">
        <f>물량원가기준!E13</f>
        <v>5346</v>
      </c>
      <c r="E13" s="20">
        <f>물량원가기준!F13</f>
        <v>5346</v>
      </c>
      <c r="F13" s="20">
        <f>물량원가기준!G13</f>
        <v>230000</v>
      </c>
      <c r="G13" s="20">
        <f>SUM(물량원가기준!H13:J13)</f>
        <v>202000</v>
      </c>
      <c r="H13" s="18">
        <f t="shared" si="0"/>
        <v>28000</v>
      </c>
      <c r="I13" s="20">
        <f>부품모델매핑!D8</f>
        <v>0</v>
      </c>
      <c r="J13" s="20">
        <f>IF(ISNUMBER(물량원가기준!F13),E13*I13,"미산출")</f>
        <v>0</v>
      </c>
      <c r="K13" s="18">
        <f t="shared" si="1"/>
        <v>149688000</v>
      </c>
      <c r="L13" s="18">
        <f t="shared" si="2"/>
        <v>149688000</v>
      </c>
      <c r="M13" s="18">
        <f t="shared" si="3"/>
        <v>0</v>
      </c>
      <c r="N13" s="20">
        <f>IF(AND(B13&gt;=설정!$B$6,B13&lt;설정!$B$23),1,0)</f>
        <v>0</v>
      </c>
      <c r="O13" s="20">
        <f>IF(AND(B13&gt;=설정!$B$6,B13&lt;설정!$B$24),1,0)</f>
        <v>0</v>
      </c>
      <c r="P13" s="20">
        <f>IF(B13&gt;=설정!$B$6,J13*(설정!$B$18-설정!$B$13),0)</f>
        <v>0</v>
      </c>
      <c r="Q13" s="18">
        <f t="shared" si="4"/>
        <v>149688000</v>
      </c>
      <c r="R13" s="20">
        <f>IF(물량원가기준!D13="","",물량원가기준!D13*H13)</f>
        <v>151200000</v>
      </c>
      <c r="S13" s="18">
        <f t="shared" si="5"/>
        <v>1229580000</v>
      </c>
      <c r="T13" s="20">
        <f>물량원가기준!I13+IF(B13&gt;=설정!$B$6,I13*(설정!$B$18-설정!$B$13),0)</f>
        <v>60000</v>
      </c>
      <c r="U13" s="20">
        <f>IF(OR(COUNT(물량원가기준!E13:J13)&lt;&gt;6,COUNTIFS(물량원가기준!$A$6:$A$100,A13)&lt;&gt;1),0,1)</f>
        <v>1</v>
      </c>
    </row>
    <row r="14" spans="1:21" ht="30" customHeight="1">
      <c r="A14" s="12" t="str">
        <f>물량원가기준!A14</f>
        <v>2027-02|A-d</v>
      </c>
      <c r="B14" s="23">
        <f>물량원가기준!B14</f>
        <v>46419</v>
      </c>
      <c r="C14" s="12" t="str">
        <f>물량원가기준!C14</f>
        <v>A-d</v>
      </c>
      <c r="D14" s="19">
        <f>물량원가기준!E14</f>
        <v>4545</v>
      </c>
      <c r="E14" s="19">
        <f>물량원가기준!F14</f>
        <v>4545</v>
      </c>
      <c r="F14" s="19">
        <f>물량원가기준!G14</f>
        <v>210000</v>
      </c>
      <c r="G14" s="19">
        <f>SUM(물량원가기준!H14:J14)</f>
        <v>185000</v>
      </c>
      <c r="H14" s="17">
        <f t="shared" si="0"/>
        <v>25000</v>
      </c>
      <c r="I14" s="19">
        <f>부품모델매핑!D9</f>
        <v>0</v>
      </c>
      <c r="J14" s="19">
        <f>IF(ISNUMBER(물량원가기준!F14),E14*I14,"미산출")</f>
        <v>0</v>
      </c>
      <c r="K14" s="17">
        <f t="shared" si="1"/>
        <v>113625000</v>
      </c>
      <c r="L14" s="17">
        <f t="shared" si="2"/>
        <v>113625000</v>
      </c>
      <c r="M14" s="17">
        <f t="shared" si="3"/>
        <v>0</v>
      </c>
      <c r="N14" s="19">
        <f>IF(AND(B14&gt;=설정!$B$6,B14&lt;설정!$B$23),1,0)</f>
        <v>0</v>
      </c>
      <c r="O14" s="19">
        <f>IF(AND(B14&gt;=설정!$B$6,B14&lt;설정!$B$24),1,0)</f>
        <v>0</v>
      </c>
      <c r="P14" s="19">
        <f>IF(B14&gt;=설정!$B$6,J14*(설정!$B$18-설정!$B$13),0)</f>
        <v>0</v>
      </c>
      <c r="Q14" s="17">
        <f t="shared" si="4"/>
        <v>113625000</v>
      </c>
      <c r="R14" s="19">
        <f>IF(물량원가기준!D14="","",물량원가기준!D14*H14)</f>
        <v>112500000</v>
      </c>
      <c r="S14" s="17">
        <f t="shared" si="5"/>
        <v>954450000</v>
      </c>
      <c r="T14" s="19">
        <f>물량원가기준!I14+IF(B14&gt;=설정!$B$6,I14*(설정!$B$18-설정!$B$13),0)</f>
        <v>65000</v>
      </c>
      <c r="U14" s="19">
        <f>IF(OR(COUNT(물량원가기준!E14:J14)&lt;&gt;6,COUNTIFS(물량원가기준!$A$6:$A$100,A14)&lt;&gt;1),0,1)</f>
        <v>1</v>
      </c>
    </row>
    <row r="15" spans="1:21" ht="30" customHeight="1">
      <c r="A15" s="11" t="str">
        <f>물량원가기준!A15</f>
        <v>2027-02|A-e</v>
      </c>
      <c r="B15" s="24">
        <f>물량원가기준!B15</f>
        <v>46419</v>
      </c>
      <c r="C15" s="11" t="str">
        <f>물량원가기준!C15</f>
        <v>A-e</v>
      </c>
      <c r="D15" s="20">
        <f>물량원가기준!E15</f>
        <v>2673</v>
      </c>
      <c r="E15" s="20">
        <f>물량원가기준!F15</f>
        <v>2673</v>
      </c>
      <c r="F15" s="20">
        <f>물량원가기준!G15</f>
        <v>150000</v>
      </c>
      <c r="G15" s="20">
        <f>SUM(물량원가기준!H15:J15)</f>
        <v>132000</v>
      </c>
      <c r="H15" s="18">
        <f t="shared" si="0"/>
        <v>18000</v>
      </c>
      <c r="I15" s="20">
        <f>부품모델매핑!D10</f>
        <v>0</v>
      </c>
      <c r="J15" s="20">
        <f>IF(ISNUMBER(물량원가기준!F15),E15*I15,"미산출")</f>
        <v>0</v>
      </c>
      <c r="K15" s="18">
        <f t="shared" si="1"/>
        <v>48114000</v>
      </c>
      <c r="L15" s="18">
        <f t="shared" si="2"/>
        <v>48114000</v>
      </c>
      <c r="M15" s="18">
        <f t="shared" si="3"/>
        <v>0</v>
      </c>
      <c r="N15" s="20">
        <f>IF(AND(B15&gt;=설정!$B$6,B15&lt;설정!$B$23),1,0)</f>
        <v>0</v>
      </c>
      <c r="O15" s="20">
        <f>IF(AND(B15&gt;=설정!$B$6,B15&lt;설정!$B$24),1,0)</f>
        <v>0</v>
      </c>
      <c r="P15" s="20">
        <f>IF(B15&gt;=설정!$B$6,J15*(설정!$B$18-설정!$B$13),0)</f>
        <v>0</v>
      </c>
      <c r="Q15" s="18">
        <f t="shared" si="4"/>
        <v>48114000</v>
      </c>
      <c r="R15" s="20">
        <f>IF(물량원가기준!D15="","",물량원가기준!D15*H15)</f>
        <v>48600000</v>
      </c>
      <c r="S15" s="18">
        <f t="shared" si="5"/>
        <v>400950000</v>
      </c>
      <c r="T15" s="20">
        <f>물량원가기준!I15+IF(B15&gt;=설정!$B$6,I15*(설정!$B$18-설정!$B$13),0)</f>
        <v>50000</v>
      </c>
      <c r="U15" s="20">
        <f>IF(OR(COUNT(물량원가기준!E15:J15)&lt;&gt;6,COUNTIFS(물량원가기준!$A$6:$A$100,A15)&lt;&gt;1),0,1)</f>
        <v>1</v>
      </c>
    </row>
    <row r="16" spans="1:21" ht="30" customHeight="1">
      <c r="A16" s="12" t="str">
        <f>물량원가기준!A16</f>
        <v>2027-03|A-a</v>
      </c>
      <c r="B16" s="23">
        <f>물량원가기준!B16</f>
        <v>46447</v>
      </c>
      <c r="C16" s="12" t="str">
        <f>물량원가기준!C16</f>
        <v>A-a</v>
      </c>
      <c r="D16" s="19">
        <f>물량원가기준!E16</f>
        <v>4116</v>
      </c>
      <c r="E16" s="19">
        <f>물량원가기준!F16</f>
        <v>4116</v>
      </c>
      <c r="F16" s="19">
        <f>물량원가기준!G16</f>
        <v>300000</v>
      </c>
      <c r="G16" s="19">
        <f>SUM(물량원가기준!H16:J16)</f>
        <v>270000</v>
      </c>
      <c r="H16" s="17">
        <f t="shared" si="0"/>
        <v>30000</v>
      </c>
      <c r="I16" s="19">
        <f>부품모델매핑!D6</f>
        <v>1</v>
      </c>
      <c r="J16" s="19">
        <f>IF(ISNUMBER(물량원가기준!F16),E16*I16,"미산출")</f>
        <v>4116</v>
      </c>
      <c r="K16" s="17">
        <f t="shared" si="1"/>
        <v>123480000</v>
      </c>
      <c r="L16" s="17">
        <f t="shared" si="2"/>
        <v>123480000</v>
      </c>
      <c r="M16" s="17">
        <f t="shared" si="3"/>
        <v>0</v>
      </c>
      <c r="N16" s="19">
        <f>IF(AND(B16&gt;=설정!$B$6,B16&lt;설정!$B$23),1,0)</f>
        <v>0</v>
      </c>
      <c r="O16" s="19">
        <f>IF(AND(B16&gt;=설정!$B$6,B16&lt;설정!$B$24),1,0)</f>
        <v>0</v>
      </c>
      <c r="P16" s="19">
        <f>IF(B16&gt;=설정!$B$6,J16*(설정!$B$18-설정!$B$13),0)</f>
        <v>0</v>
      </c>
      <c r="Q16" s="17">
        <f t="shared" si="4"/>
        <v>123480000</v>
      </c>
      <c r="R16" s="19">
        <f>IF(물량원가기준!D16="","",물량원가기준!D16*H16)</f>
        <v>126000000</v>
      </c>
      <c r="S16" s="17">
        <f t="shared" si="5"/>
        <v>1234800000</v>
      </c>
      <c r="T16" s="19">
        <f>물량원가기준!I16+IF(B16&gt;=설정!$B$6,I16*(설정!$B$18-설정!$B$13),0)</f>
        <v>75000</v>
      </c>
      <c r="U16" s="19">
        <f>IF(OR(COUNT(물량원가기준!E16:J16)&lt;&gt;6,COUNTIFS(물량원가기준!$A$6:$A$100,A16)&lt;&gt;1),0,1)</f>
        <v>1</v>
      </c>
    </row>
    <row r="17" spans="1:21" ht="30" customHeight="1">
      <c r="A17" s="11" t="str">
        <f>물량원가기준!A17</f>
        <v>2027-03|A-b</v>
      </c>
      <c r="B17" s="24">
        <f>물량원가기준!B17</f>
        <v>46447</v>
      </c>
      <c r="C17" s="11" t="str">
        <f>물량원가기준!C17</f>
        <v>A-b</v>
      </c>
      <c r="D17" s="20">
        <f>물량원가기준!E17</f>
        <v>10290</v>
      </c>
      <c r="E17" s="20">
        <f>물량원가기준!F17</f>
        <v>10290</v>
      </c>
      <c r="F17" s="20">
        <f>물량원가기준!G17</f>
        <v>180000</v>
      </c>
      <c r="G17" s="20">
        <f>SUM(물량원가기준!H17:J17)</f>
        <v>160000</v>
      </c>
      <c r="H17" s="18">
        <f t="shared" si="0"/>
        <v>20000</v>
      </c>
      <c r="I17" s="20">
        <f>부품모델매핑!D7</f>
        <v>1</v>
      </c>
      <c r="J17" s="20">
        <f>IF(ISNUMBER(물량원가기준!F17),E17*I17,"미산출")</f>
        <v>10290</v>
      </c>
      <c r="K17" s="18">
        <f t="shared" si="1"/>
        <v>205800000</v>
      </c>
      <c r="L17" s="18">
        <f t="shared" si="2"/>
        <v>205800000</v>
      </c>
      <c r="M17" s="18">
        <f t="shared" si="3"/>
        <v>0</v>
      </c>
      <c r="N17" s="20">
        <f>IF(AND(B17&gt;=설정!$B$6,B17&lt;설정!$B$23),1,0)</f>
        <v>0</v>
      </c>
      <c r="O17" s="20">
        <f>IF(AND(B17&gt;=설정!$B$6,B17&lt;설정!$B$24),1,0)</f>
        <v>0</v>
      </c>
      <c r="P17" s="20">
        <f>IF(B17&gt;=설정!$B$6,J17*(설정!$B$18-설정!$B$13),0)</f>
        <v>0</v>
      </c>
      <c r="Q17" s="18">
        <f t="shared" si="4"/>
        <v>205800000</v>
      </c>
      <c r="R17" s="20">
        <f>IF(물량원가기준!D17="","",물량원가기준!D17*H17)</f>
        <v>210000000</v>
      </c>
      <c r="S17" s="18">
        <f t="shared" si="5"/>
        <v>1852200000</v>
      </c>
      <c r="T17" s="20">
        <f>물량원가기준!I17+IF(B17&gt;=설정!$B$6,I17*(설정!$B$18-설정!$B$13),0)</f>
        <v>95000</v>
      </c>
      <c r="U17" s="20">
        <f>IF(OR(COUNT(물량원가기준!E17:J17)&lt;&gt;6,COUNTIFS(물량원가기준!$A$6:$A$100,A17)&lt;&gt;1),0,1)</f>
        <v>1</v>
      </c>
    </row>
    <row r="18" spans="1:21" ht="30" customHeight="1">
      <c r="A18" s="12" t="str">
        <f>물량원가기준!A18</f>
        <v>2027-03|A-c</v>
      </c>
      <c r="B18" s="23">
        <f>물량원가기준!B18</f>
        <v>46447</v>
      </c>
      <c r="C18" s="12" t="str">
        <f>물량원가기준!C18</f>
        <v>A-c</v>
      </c>
      <c r="D18" s="19">
        <f>물량원가기준!E18</f>
        <v>6237</v>
      </c>
      <c r="E18" s="19">
        <f>물량원가기준!F18</f>
        <v>6237</v>
      </c>
      <c r="F18" s="19">
        <f>물량원가기준!G18</f>
        <v>230000</v>
      </c>
      <c r="G18" s="19">
        <f>SUM(물량원가기준!H18:J18)</f>
        <v>202000</v>
      </c>
      <c r="H18" s="17">
        <f t="shared" si="0"/>
        <v>28000</v>
      </c>
      <c r="I18" s="19">
        <f>부품모델매핑!D8</f>
        <v>0</v>
      </c>
      <c r="J18" s="19">
        <f>IF(ISNUMBER(물량원가기준!F18),E18*I18,"미산출")</f>
        <v>0</v>
      </c>
      <c r="K18" s="17">
        <f t="shared" si="1"/>
        <v>174636000</v>
      </c>
      <c r="L18" s="17">
        <f t="shared" si="2"/>
        <v>174636000</v>
      </c>
      <c r="M18" s="17">
        <f t="shared" si="3"/>
        <v>0</v>
      </c>
      <c r="N18" s="19">
        <f>IF(AND(B18&gt;=설정!$B$6,B18&lt;설정!$B$23),1,0)</f>
        <v>0</v>
      </c>
      <c r="O18" s="19">
        <f>IF(AND(B18&gt;=설정!$B$6,B18&lt;설정!$B$24),1,0)</f>
        <v>0</v>
      </c>
      <c r="P18" s="19">
        <f>IF(B18&gt;=설정!$B$6,J18*(설정!$B$18-설정!$B$13),0)</f>
        <v>0</v>
      </c>
      <c r="Q18" s="17">
        <f t="shared" si="4"/>
        <v>174636000</v>
      </c>
      <c r="R18" s="19">
        <f>IF(물량원가기준!D18="","",물량원가기준!D18*H18)</f>
        <v>176400000</v>
      </c>
      <c r="S18" s="17">
        <f t="shared" si="5"/>
        <v>1434510000</v>
      </c>
      <c r="T18" s="19">
        <f>물량원가기준!I18+IF(B18&gt;=설정!$B$6,I18*(설정!$B$18-설정!$B$13),0)</f>
        <v>60000</v>
      </c>
      <c r="U18" s="19">
        <f>IF(OR(COUNT(물량원가기준!E18:J18)&lt;&gt;6,COUNTIFS(물량원가기준!$A$6:$A$100,A18)&lt;&gt;1),0,1)</f>
        <v>1</v>
      </c>
    </row>
    <row r="19" spans="1:21" ht="30" customHeight="1">
      <c r="A19" s="11" t="str">
        <f>물량원가기준!A19</f>
        <v>2027-03|A-d</v>
      </c>
      <c r="B19" s="24">
        <f>물량원가기준!B19</f>
        <v>46447</v>
      </c>
      <c r="C19" s="11" t="str">
        <f>물량원가기준!C19</f>
        <v>A-d</v>
      </c>
      <c r="D19" s="20">
        <f>물량원가기준!E19</f>
        <v>5303</v>
      </c>
      <c r="E19" s="20">
        <f>물량원가기준!F19</f>
        <v>5303</v>
      </c>
      <c r="F19" s="20">
        <f>물량원가기준!G19</f>
        <v>210000</v>
      </c>
      <c r="G19" s="20">
        <f>SUM(물량원가기준!H19:J19)</f>
        <v>185000</v>
      </c>
      <c r="H19" s="18">
        <f t="shared" si="0"/>
        <v>25000</v>
      </c>
      <c r="I19" s="20">
        <f>부품모델매핑!D9</f>
        <v>0</v>
      </c>
      <c r="J19" s="20">
        <f>IF(ISNUMBER(물량원가기준!F19),E19*I19,"미산출")</f>
        <v>0</v>
      </c>
      <c r="K19" s="18">
        <f t="shared" si="1"/>
        <v>132575000</v>
      </c>
      <c r="L19" s="18">
        <f t="shared" si="2"/>
        <v>132575000</v>
      </c>
      <c r="M19" s="18">
        <f t="shared" si="3"/>
        <v>0</v>
      </c>
      <c r="N19" s="20">
        <f>IF(AND(B19&gt;=설정!$B$6,B19&lt;설정!$B$23),1,0)</f>
        <v>0</v>
      </c>
      <c r="O19" s="20">
        <f>IF(AND(B19&gt;=설정!$B$6,B19&lt;설정!$B$24),1,0)</f>
        <v>0</v>
      </c>
      <c r="P19" s="20">
        <f>IF(B19&gt;=설정!$B$6,J19*(설정!$B$18-설정!$B$13),0)</f>
        <v>0</v>
      </c>
      <c r="Q19" s="18">
        <f t="shared" si="4"/>
        <v>132575000</v>
      </c>
      <c r="R19" s="20">
        <f>IF(물량원가기준!D19="","",물량원가기준!D19*H19)</f>
        <v>131250000</v>
      </c>
      <c r="S19" s="18">
        <f t="shared" si="5"/>
        <v>1113630000</v>
      </c>
      <c r="T19" s="20">
        <f>물량원가기준!I19+IF(B19&gt;=설정!$B$6,I19*(설정!$B$18-설정!$B$13),0)</f>
        <v>65000</v>
      </c>
      <c r="U19" s="20">
        <f>IF(OR(COUNT(물량원가기준!E19:J19)&lt;&gt;6,COUNTIFS(물량원가기준!$A$6:$A$100,A19)&lt;&gt;1),0,1)</f>
        <v>1</v>
      </c>
    </row>
    <row r="20" spans="1:21" ht="30" customHeight="1">
      <c r="A20" s="12" t="str">
        <f>물량원가기준!A20</f>
        <v>2027-03|A-e</v>
      </c>
      <c r="B20" s="23">
        <f>물량원가기준!B20</f>
        <v>46447</v>
      </c>
      <c r="C20" s="12" t="str">
        <f>물량원가기준!C20</f>
        <v>A-e</v>
      </c>
      <c r="D20" s="19">
        <f>물량원가기준!E20</f>
        <v>3119</v>
      </c>
      <c r="E20" s="19">
        <f>물량원가기준!F20</f>
        <v>3119</v>
      </c>
      <c r="F20" s="19">
        <f>물량원가기준!G20</f>
        <v>150000</v>
      </c>
      <c r="G20" s="19">
        <f>SUM(물량원가기준!H20:J20)</f>
        <v>132000</v>
      </c>
      <c r="H20" s="17">
        <f t="shared" si="0"/>
        <v>18000</v>
      </c>
      <c r="I20" s="19">
        <f>부품모델매핑!D10</f>
        <v>0</v>
      </c>
      <c r="J20" s="19">
        <f>IF(ISNUMBER(물량원가기준!F20),E20*I20,"미산출")</f>
        <v>0</v>
      </c>
      <c r="K20" s="17">
        <f t="shared" si="1"/>
        <v>56142000</v>
      </c>
      <c r="L20" s="17">
        <f t="shared" si="2"/>
        <v>56142000</v>
      </c>
      <c r="M20" s="17">
        <f t="shared" si="3"/>
        <v>0</v>
      </c>
      <c r="N20" s="19">
        <f>IF(AND(B20&gt;=설정!$B$6,B20&lt;설정!$B$23),1,0)</f>
        <v>0</v>
      </c>
      <c r="O20" s="19">
        <f>IF(AND(B20&gt;=설정!$B$6,B20&lt;설정!$B$24),1,0)</f>
        <v>0</v>
      </c>
      <c r="P20" s="19">
        <f>IF(B20&gt;=설정!$B$6,J20*(설정!$B$18-설정!$B$13),0)</f>
        <v>0</v>
      </c>
      <c r="Q20" s="17">
        <f t="shared" si="4"/>
        <v>56142000</v>
      </c>
      <c r="R20" s="19">
        <f>IF(물량원가기준!D20="","",물량원가기준!D20*H20)</f>
        <v>56700000</v>
      </c>
      <c r="S20" s="17">
        <f t="shared" si="5"/>
        <v>467850000</v>
      </c>
      <c r="T20" s="19">
        <f>물량원가기준!I20+IF(B20&gt;=설정!$B$6,I20*(설정!$B$18-설정!$B$13),0)</f>
        <v>50000</v>
      </c>
      <c r="U20" s="19">
        <f>IF(OR(COUNT(물량원가기준!E20:J20)&lt;&gt;6,COUNTIFS(물량원가기준!$A$6:$A$100,A20)&lt;&gt;1),0,1)</f>
        <v>1</v>
      </c>
    </row>
    <row r="21" spans="1:21" ht="30" customHeight="1">
      <c r="A21" s="11" t="str">
        <f>물량원가기준!A21</f>
        <v>2027-04|A-a</v>
      </c>
      <c r="B21" s="24">
        <f>물량원가기준!B21</f>
        <v>46478</v>
      </c>
      <c r="C21" s="11" t="str">
        <f>물량원가기준!C21</f>
        <v>A-a</v>
      </c>
      <c r="D21" s="20">
        <f>물량원가기준!E21</f>
        <v>3880</v>
      </c>
      <c r="E21" s="20">
        <f>물량원가기준!F21</f>
        <v>3880</v>
      </c>
      <c r="F21" s="20">
        <f>물량원가기준!G21</f>
        <v>300000</v>
      </c>
      <c r="G21" s="20">
        <f>SUM(물량원가기준!H21:J21)</f>
        <v>270000</v>
      </c>
      <c r="H21" s="18">
        <f t="shared" si="0"/>
        <v>30000</v>
      </c>
      <c r="I21" s="20">
        <f>부품모델매핑!D6</f>
        <v>1</v>
      </c>
      <c r="J21" s="20">
        <f>IF(ISNUMBER(물량원가기준!F21),E21*I21,"미산출")</f>
        <v>3880</v>
      </c>
      <c r="K21" s="18">
        <f t="shared" si="1"/>
        <v>116400000</v>
      </c>
      <c r="L21" s="18">
        <f t="shared" si="2"/>
        <v>116400000</v>
      </c>
      <c r="M21" s="18">
        <f t="shared" si="3"/>
        <v>0</v>
      </c>
      <c r="N21" s="20">
        <f>IF(AND(B21&gt;=설정!$B$6,B21&lt;설정!$B$23),1,0)</f>
        <v>0</v>
      </c>
      <c r="O21" s="20">
        <f>IF(AND(B21&gt;=설정!$B$6,B21&lt;설정!$B$24),1,0)</f>
        <v>0</v>
      </c>
      <c r="P21" s="20">
        <f>IF(B21&gt;=설정!$B$6,J21*(설정!$B$18-설정!$B$13),0)</f>
        <v>0</v>
      </c>
      <c r="Q21" s="18">
        <f t="shared" si="4"/>
        <v>116400000</v>
      </c>
      <c r="R21" s="20">
        <f>IF(물량원가기준!D21="","",물량원가기준!D21*H21)</f>
        <v>120000000</v>
      </c>
      <c r="S21" s="18">
        <f t="shared" si="5"/>
        <v>1164000000</v>
      </c>
      <c r="T21" s="20">
        <f>물량원가기준!I21+IF(B21&gt;=설정!$B$6,I21*(설정!$B$18-설정!$B$13),0)</f>
        <v>75000</v>
      </c>
      <c r="U21" s="20">
        <f>IF(OR(COUNT(물량원가기준!E21:J21)&lt;&gt;6,COUNTIFS(물량원가기준!$A$6:$A$100,A21)&lt;&gt;1),0,1)</f>
        <v>1</v>
      </c>
    </row>
    <row r="22" spans="1:21" ht="30" customHeight="1">
      <c r="A22" s="12" t="str">
        <f>물량원가기준!A22</f>
        <v>2027-04|A-b</v>
      </c>
      <c r="B22" s="23">
        <f>물량원가기준!B22</f>
        <v>46478</v>
      </c>
      <c r="C22" s="12" t="str">
        <f>물량원가기준!C22</f>
        <v>A-b</v>
      </c>
      <c r="D22" s="19">
        <f>물량원가기준!E22</f>
        <v>9700</v>
      </c>
      <c r="E22" s="19">
        <f>물량원가기준!F22</f>
        <v>9700</v>
      </c>
      <c r="F22" s="19">
        <f>물량원가기준!G22</f>
        <v>180000</v>
      </c>
      <c r="G22" s="19">
        <f>SUM(물량원가기준!H22:J22)</f>
        <v>160000</v>
      </c>
      <c r="H22" s="17">
        <f t="shared" si="0"/>
        <v>20000</v>
      </c>
      <c r="I22" s="19">
        <f>부품모델매핑!D7</f>
        <v>1</v>
      </c>
      <c r="J22" s="19">
        <f>IF(ISNUMBER(물량원가기준!F22),E22*I22,"미산출")</f>
        <v>9700</v>
      </c>
      <c r="K22" s="17">
        <f t="shared" si="1"/>
        <v>194000000</v>
      </c>
      <c r="L22" s="17">
        <f t="shared" si="2"/>
        <v>194000000</v>
      </c>
      <c r="M22" s="17">
        <f t="shared" si="3"/>
        <v>0</v>
      </c>
      <c r="N22" s="19">
        <f>IF(AND(B22&gt;=설정!$B$6,B22&lt;설정!$B$23),1,0)</f>
        <v>0</v>
      </c>
      <c r="O22" s="19">
        <f>IF(AND(B22&gt;=설정!$B$6,B22&lt;설정!$B$24),1,0)</f>
        <v>0</v>
      </c>
      <c r="P22" s="19">
        <f>IF(B22&gt;=설정!$B$6,J22*(설정!$B$18-설정!$B$13),0)</f>
        <v>0</v>
      </c>
      <c r="Q22" s="17">
        <f t="shared" si="4"/>
        <v>194000000</v>
      </c>
      <c r="R22" s="19">
        <f>IF(물량원가기준!D22="","",물량원가기준!D22*H22)</f>
        <v>200000000</v>
      </c>
      <c r="S22" s="17">
        <f t="shared" si="5"/>
        <v>1746000000</v>
      </c>
      <c r="T22" s="19">
        <f>물량원가기준!I22+IF(B22&gt;=설정!$B$6,I22*(설정!$B$18-설정!$B$13),0)</f>
        <v>95000</v>
      </c>
      <c r="U22" s="19">
        <f>IF(OR(COUNT(물량원가기준!E22:J22)&lt;&gt;6,COUNTIFS(물량원가기준!$A$6:$A$100,A22)&lt;&gt;1),0,1)</f>
        <v>1</v>
      </c>
    </row>
    <row r="23" spans="1:21" ht="30" customHeight="1">
      <c r="A23" s="11" t="str">
        <f>물량원가기준!A23</f>
        <v>2027-04|A-c</v>
      </c>
      <c r="B23" s="24">
        <f>물량원가기준!B23</f>
        <v>46478</v>
      </c>
      <c r="C23" s="11" t="str">
        <f>물량원가기준!C23</f>
        <v>A-c</v>
      </c>
      <c r="D23" s="20">
        <f>물량원가기준!E23</f>
        <v>5940</v>
      </c>
      <c r="E23" s="20">
        <f>물량원가기준!F23</f>
        <v>5940</v>
      </c>
      <c r="F23" s="20">
        <f>물량원가기준!G23</f>
        <v>230000</v>
      </c>
      <c r="G23" s="20">
        <f>SUM(물량원가기준!H23:J23)</f>
        <v>202000</v>
      </c>
      <c r="H23" s="18">
        <f t="shared" si="0"/>
        <v>28000</v>
      </c>
      <c r="I23" s="20">
        <f>부품모델매핑!D8</f>
        <v>0</v>
      </c>
      <c r="J23" s="20">
        <f>IF(ISNUMBER(물량원가기준!F23),E23*I23,"미산출")</f>
        <v>0</v>
      </c>
      <c r="K23" s="18">
        <f t="shared" si="1"/>
        <v>166320000</v>
      </c>
      <c r="L23" s="18">
        <f t="shared" si="2"/>
        <v>166320000</v>
      </c>
      <c r="M23" s="18">
        <f t="shared" si="3"/>
        <v>0</v>
      </c>
      <c r="N23" s="20">
        <f>IF(AND(B23&gt;=설정!$B$6,B23&lt;설정!$B$23),1,0)</f>
        <v>0</v>
      </c>
      <c r="O23" s="20">
        <f>IF(AND(B23&gt;=설정!$B$6,B23&lt;설정!$B$24),1,0)</f>
        <v>0</v>
      </c>
      <c r="P23" s="20">
        <f>IF(B23&gt;=설정!$B$6,J23*(설정!$B$18-설정!$B$13),0)</f>
        <v>0</v>
      </c>
      <c r="Q23" s="18">
        <f t="shared" si="4"/>
        <v>166320000</v>
      </c>
      <c r="R23" s="20">
        <f>IF(물량원가기준!D23="","",물량원가기준!D23*H23)</f>
        <v>168000000</v>
      </c>
      <c r="S23" s="18">
        <f t="shared" si="5"/>
        <v>1366200000</v>
      </c>
      <c r="T23" s="20">
        <f>물량원가기준!I23+IF(B23&gt;=설정!$B$6,I23*(설정!$B$18-설정!$B$13),0)</f>
        <v>60000</v>
      </c>
      <c r="U23" s="20">
        <f>IF(OR(COUNT(물량원가기준!E23:J23)&lt;&gt;6,COUNTIFS(물량원가기준!$A$6:$A$100,A23)&lt;&gt;1),0,1)</f>
        <v>1</v>
      </c>
    </row>
    <row r="24" spans="1:21" ht="30" customHeight="1">
      <c r="A24" s="12" t="str">
        <f>물량원가기준!A24</f>
        <v>2027-04|A-d</v>
      </c>
      <c r="B24" s="23">
        <f>물량원가기준!B24</f>
        <v>46478</v>
      </c>
      <c r="C24" s="12" t="str">
        <f>물량원가기준!C24</f>
        <v>A-d</v>
      </c>
      <c r="D24" s="19">
        <f>물량원가기준!E24</f>
        <v>5050</v>
      </c>
      <c r="E24" s="19">
        <f>물량원가기준!F24</f>
        <v>5050</v>
      </c>
      <c r="F24" s="19">
        <f>물량원가기준!G24</f>
        <v>210000</v>
      </c>
      <c r="G24" s="19">
        <f>SUM(물량원가기준!H24:J24)</f>
        <v>185000</v>
      </c>
      <c r="H24" s="17">
        <f t="shared" si="0"/>
        <v>25000</v>
      </c>
      <c r="I24" s="19">
        <f>부품모델매핑!D9</f>
        <v>0</v>
      </c>
      <c r="J24" s="19">
        <f>IF(ISNUMBER(물량원가기준!F24),E24*I24,"미산출")</f>
        <v>0</v>
      </c>
      <c r="K24" s="17">
        <f t="shared" si="1"/>
        <v>126250000</v>
      </c>
      <c r="L24" s="17">
        <f t="shared" si="2"/>
        <v>126250000</v>
      </c>
      <c r="M24" s="17">
        <f t="shared" si="3"/>
        <v>0</v>
      </c>
      <c r="N24" s="19">
        <f>IF(AND(B24&gt;=설정!$B$6,B24&lt;설정!$B$23),1,0)</f>
        <v>0</v>
      </c>
      <c r="O24" s="19">
        <f>IF(AND(B24&gt;=설정!$B$6,B24&lt;설정!$B$24),1,0)</f>
        <v>0</v>
      </c>
      <c r="P24" s="19">
        <f>IF(B24&gt;=설정!$B$6,J24*(설정!$B$18-설정!$B$13),0)</f>
        <v>0</v>
      </c>
      <c r="Q24" s="17">
        <f t="shared" si="4"/>
        <v>126250000</v>
      </c>
      <c r="R24" s="19">
        <f>IF(물량원가기준!D24="","",물량원가기준!D24*H24)</f>
        <v>125000000</v>
      </c>
      <c r="S24" s="17">
        <f t="shared" si="5"/>
        <v>1060500000</v>
      </c>
      <c r="T24" s="19">
        <f>물량원가기준!I24+IF(B24&gt;=설정!$B$6,I24*(설정!$B$18-설정!$B$13),0)</f>
        <v>65000</v>
      </c>
      <c r="U24" s="19">
        <f>IF(OR(COUNT(물량원가기준!E24:J24)&lt;&gt;6,COUNTIFS(물량원가기준!$A$6:$A$100,A24)&lt;&gt;1),0,1)</f>
        <v>1</v>
      </c>
    </row>
    <row r="25" spans="1:21" ht="30" customHeight="1">
      <c r="A25" s="11" t="str">
        <f>물량원가기준!A25</f>
        <v>2027-04|A-e</v>
      </c>
      <c r="B25" s="24">
        <f>물량원가기준!B25</f>
        <v>46478</v>
      </c>
      <c r="C25" s="11" t="str">
        <f>물량원가기준!C25</f>
        <v>A-e</v>
      </c>
      <c r="D25" s="20">
        <f>물량원가기준!E25</f>
        <v>2970</v>
      </c>
      <c r="E25" s="20">
        <f>물량원가기준!F25</f>
        <v>2970</v>
      </c>
      <c r="F25" s="20">
        <f>물량원가기준!G25</f>
        <v>150000</v>
      </c>
      <c r="G25" s="20">
        <f>SUM(물량원가기준!H25:J25)</f>
        <v>132000</v>
      </c>
      <c r="H25" s="18">
        <f t="shared" si="0"/>
        <v>18000</v>
      </c>
      <c r="I25" s="20">
        <f>부품모델매핑!D10</f>
        <v>0</v>
      </c>
      <c r="J25" s="20">
        <f>IF(ISNUMBER(물량원가기준!F25),E25*I25,"미산출")</f>
        <v>0</v>
      </c>
      <c r="K25" s="18">
        <f t="shared" si="1"/>
        <v>53460000</v>
      </c>
      <c r="L25" s="18">
        <f t="shared" si="2"/>
        <v>53460000</v>
      </c>
      <c r="M25" s="18">
        <f t="shared" si="3"/>
        <v>0</v>
      </c>
      <c r="N25" s="20">
        <f>IF(AND(B25&gt;=설정!$B$6,B25&lt;설정!$B$23),1,0)</f>
        <v>0</v>
      </c>
      <c r="O25" s="20">
        <f>IF(AND(B25&gt;=설정!$B$6,B25&lt;설정!$B$24),1,0)</f>
        <v>0</v>
      </c>
      <c r="P25" s="20">
        <f>IF(B25&gt;=설정!$B$6,J25*(설정!$B$18-설정!$B$13),0)</f>
        <v>0</v>
      </c>
      <c r="Q25" s="18">
        <f t="shared" si="4"/>
        <v>53460000</v>
      </c>
      <c r="R25" s="20">
        <f>IF(물량원가기준!D25="","",물량원가기준!D25*H25)</f>
        <v>54000000</v>
      </c>
      <c r="S25" s="18">
        <f t="shared" si="5"/>
        <v>445500000</v>
      </c>
      <c r="T25" s="20">
        <f>물량원가기준!I25+IF(B25&gt;=설정!$B$6,I25*(설정!$B$18-설정!$B$13),0)</f>
        <v>50000</v>
      </c>
      <c r="U25" s="20">
        <f>IF(OR(COUNT(물량원가기준!E25:J25)&lt;&gt;6,COUNTIFS(물량원가기준!$A$6:$A$100,A25)&lt;&gt;1),0,1)</f>
        <v>1</v>
      </c>
    </row>
    <row r="26" spans="1:21" ht="30" customHeight="1">
      <c r="A26" s="12" t="str">
        <f>물량원가기준!A26</f>
        <v>2027-05|A-a</v>
      </c>
      <c r="B26" s="23">
        <f>물량원가기준!B26</f>
        <v>46508</v>
      </c>
      <c r="C26" s="12" t="str">
        <f>물량원가기준!C26</f>
        <v>A-a</v>
      </c>
      <c r="D26" s="19">
        <f>물량원가기준!E26</f>
        <v>3763</v>
      </c>
      <c r="E26" s="19">
        <f>물량원가기준!F26</f>
        <v>3763</v>
      </c>
      <c r="F26" s="19">
        <f>물량원가기준!G26</f>
        <v>300000</v>
      </c>
      <c r="G26" s="19">
        <f>SUM(물량원가기준!H26:J26)</f>
        <v>270000</v>
      </c>
      <c r="H26" s="17">
        <f t="shared" si="0"/>
        <v>30000</v>
      </c>
      <c r="I26" s="19">
        <f>부품모델매핑!D6</f>
        <v>1</v>
      </c>
      <c r="J26" s="19">
        <f>IF(ISNUMBER(물량원가기준!F26),E26*I26,"미산출")</f>
        <v>3763</v>
      </c>
      <c r="K26" s="17">
        <f t="shared" si="1"/>
        <v>112890000</v>
      </c>
      <c r="L26" s="17">
        <f t="shared" si="2"/>
        <v>112890000</v>
      </c>
      <c r="M26" s="17">
        <f t="shared" si="3"/>
        <v>0</v>
      </c>
      <c r="N26" s="19">
        <f>IF(AND(B26&gt;=설정!$B$6,B26&lt;설정!$B$23),1,0)</f>
        <v>0</v>
      </c>
      <c r="O26" s="19">
        <f>IF(AND(B26&gt;=설정!$B$6,B26&lt;설정!$B$24),1,0)</f>
        <v>0</v>
      </c>
      <c r="P26" s="19">
        <f>IF(B26&gt;=설정!$B$6,J26*(설정!$B$18-설정!$B$13),0)</f>
        <v>0</v>
      </c>
      <c r="Q26" s="17">
        <f t="shared" si="4"/>
        <v>112890000</v>
      </c>
      <c r="R26" s="19">
        <f>IF(물량원가기준!D26="","",물량원가기준!D26*H26)</f>
        <v>117600000</v>
      </c>
      <c r="S26" s="17">
        <f t="shared" si="5"/>
        <v>1128900000</v>
      </c>
      <c r="T26" s="19">
        <f>물량원가기준!I26+IF(B26&gt;=설정!$B$6,I26*(설정!$B$18-설정!$B$13),0)</f>
        <v>75000</v>
      </c>
      <c r="U26" s="19">
        <f>IF(OR(COUNT(물량원가기준!E26:J26)&lt;&gt;6,COUNTIFS(물량원가기준!$A$6:$A$100,A26)&lt;&gt;1),0,1)</f>
        <v>1</v>
      </c>
    </row>
    <row r="27" spans="1:21" ht="30" customHeight="1">
      <c r="A27" s="11" t="str">
        <f>물량원가기준!A27</f>
        <v>2027-05|A-b</v>
      </c>
      <c r="B27" s="24">
        <f>물량원가기준!B27</f>
        <v>46508</v>
      </c>
      <c r="C27" s="11" t="str">
        <f>물량원가기준!C27</f>
        <v>A-b</v>
      </c>
      <c r="D27" s="20">
        <f>물량원가기준!E27</f>
        <v>9408</v>
      </c>
      <c r="E27" s="20">
        <f>물량원가기준!F27</f>
        <v>9408</v>
      </c>
      <c r="F27" s="20">
        <f>물량원가기준!G27</f>
        <v>180000</v>
      </c>
      <c r="G27" s="20">
        <f>SUM(물량원가기준!H27:J27)</f>
        <v>160000</v>
      </c>
      <c r="H27" s="18">
        <f t="shared" si="0"/>
        <v>20000</v>
      </c>
      <c r="I27" s="20">
        <f>부품모델매핑!D7</f>
        <v>1</v>
      </c>
      <c r="J27" s="20">
        <f>IF(ISNUMBER(물량원가기준!F27),E27*I27,"미산출")</f>
        <v>9408</v>
      </c>
      <c r="K27" s="18">
        <f t="shared" si="1"/>
        <v>188160000</v>
      </c>
      <c r="L27" s="18">
        <f t="shared" si="2"/>
        <v>188160000</v>
      </c>
      <c r="M27" s="18">
        <f t="shared" si="3"/>
        <v>0</v>
      </c>
      <c r="N27" s="20">
        <f>IF(AND(B27&gt;=설정!$B$6,B27&lt;설정!$B$23),1,0)</f>
        <v>0</v>
      </c>
      <c r="O27" s="20">
        <f>IF(AND(B27&gt;=설정!$B$6,B27&lt;설정!$B$24),1,0)</f>
        <v>0</v>
      </c>
      <c r="P27" s="20">
        <f>IF(B27&gt;=설정!$B$6,J27*(설정!$B$18-설정!$B$13),0)</f>
        <v>0</v>
      </c>
      <c r="Q27" s="18">
        <f t="shared" si="4"/>
        <v>188160000</v>
      </c>
      <c r="R27" s="20">
        <f>IF(물량원가기준!D27="","",물량원가기준!D27*H27)</f>
        <v>196000000</v>
      </c>
      <c r="S27" s="18">
        <f t="shared" si="5"/>
        <v>1693440000</v>
      </c>
      <c r="T27" s="20">
        <f>물량원가기준!I27+IF(B27&gt;=설정!$B$6,I27*(설정!$B$18-설정!$B$13),0)</f>
        <v>95000</v>
      </c>
      <c r="U27" s="20">
        <f>IF(OR(COUNT(물량원가기준!E27:J27)&lt;&gt;6,COUNTIFS(물량원가기준!$A$6:$A$100,A27)&lt;&gt;1),0,1)</f>
        <v>1</v>
      </c>
    </row>
    <row r="28" spans="1:21" ht="30" customHeight="1">
      <c r="A28" s="12" t="str">
        <f>물량원가기준!A28</f>
        <v>2027-05|A-c</v>
      </c>
      <c r="B28" s="23">
        <f>물량원가기준!B28</f>
        <v>46508</v>
      </c>
      <c r="C28" s="12" t="str">
        <f>물량원가기준!C28</f>
        <v>A-c</v>
      </c>
      <c r="D28" s="19">
        <f>물량원가기준!E28</f>
        <v>5821</v>
      </c>
      <c r="E28" s="19">
        <f>물량원가기준!F28</f>
        <v>5821</v>
      </c>
      <c r="F28" s="19">
        <f>물량원가기준!G28</f>
        <v>230000</v>
      </c>
      <c r="G28" s="19">
        <f>SUM(물량원가기준!H28:J28)</f>
        <v>202000</v>
      </c>
      <c r="H28" s="17">
        <f t="shared" si="0"/>
        <v>28000</v>
      </c>
      <c r="I28" s="19">
        <f>부품모델매핑!D8</f>
        <v>0</v>
      </c>
      <c r="J28" s="19">
        <f>IF(ISNUMBER(물량원가기준!F28),E28*I28,"미산출")</f>
        <v>0</v>
      </c>
      <c r="K28" s="17">
        <f t="shared" si="1"/>
        <v>162988000</v>
      </c>
      <c r="L28" s="17">
        <f t="shared" si="2"/>
        <v>162988000</v>
      </c>
      <c r="M28" s="17">
        <f t="shared" si="3"/>
        <v>0</v>
      </c>
      <c r="N28" s="19">
        <f>IF(AND(B28&gt;=설정!$B$6,B28&lt;설정!$B$23),1,0)</f>
        <v>0</v>
      </c>
      <c r="O28" s="19">
        <f>IF(AND(B28&gt;=설정!$B$6,B28&lt;설정!$B$24),1,0)</f>
        <v>0</v>
      </c>
      <c r="P28" s="19">
        <f>IF(B28&gt;=설정!$B$6,J28*(설정!$B$18-설정!$B$13),0)</f>
        <v>0</v>
      </c>
      <c r="Q28" s="17">
        <f t="shared" si="4"/>
        <v>162988000</v>
      </c>
      <c r="R28" s="19">
        <f>IF(물량원가기준!D28="","",물량원가기준!D28*H28)</f>
        <v>164640000</v>
      </c>
      <c r="S28" s="17">
        <f t="shared" si="5"/>
        <v>1338830000</v>
      </c>
      <c r="T28" s="19">
        <f>물량원가기준!I28+IF(B28&gt;=설정!$B$6,I28*(설정!$B$18-설정!$B$13),0)</f>
        <v>60000</v>
      </c>
      <c r="U28" s="19">
        <f>IF(OR(COUNT(물량원가기준!E28:J28)&lt;&gt;6,COUNTIFS(물량원가기준!$A$6:$A$100,A28)&lt;&gt;1),0,1)</f>
        <v>1</v>
      </c>
    </row>
    <row r="29" spans="1:21" ht="30" customHeight="1">
      <c r="A29" s="11" t="str">
        <f>물량원가기준!A29</f>
        <v>2027-05|A-d</v>
      </c>
      <c r="B29" s="24">
        <f>물량원가기준!B29</f>
        <v>46508</v>
      </c>
      <c r="C29" s="11" t="str">
        <f>물량원가기준!C29</f>
        <v>A-d</v>
      </c>
      <c r="D29" s="20">
        <f>물량원가기준!E29</f>
        <v>4949</v>
      </c>
      <c r="E29" s="20">
        <f>물량원가기준!F29</f>
        <v>4949</v>
      </c>
      <c r="F29" s="20">
        <f>물량원가기준!G29</f>
        <v>210000</v>
      </c>
      <c r="G29" s="20">
        <f>SUM(물량원가기준!H29:J29)</f>
        <v>185000</v>
      </c>
      <c r="H29" s="18">
        <f t="shared" si="0"/>
        <v>25000</v>
      </c>
      <c r="I29" s="20">
        <f>부품모델매핑!D9</f>
        <v>0</v>
      </c>
      <c r="J29" s="20">
        <f>IF(ISNUMBER(물량원가기준!F29),E29*I29,"미산출")</f>
        <v>0</v>
      </c>
      <c r="K29" s="18">
        <f t="shared" si="1"/>
        <v>123725000</v>
      </c>
      <c r="L29" s="18">
        <f t="shared" si="2"/>
        <v>123725000</v>
      </c>
      <c r="M29" s="18">
        <f t="shared" si="3"/>
        <v>0</v>
      </c>
      <c r="N29" s="20">
        <f>IF(AND(B29&gt;=설정!$B$6,B29&lt;설정!$B$23),1,0)</f>
        <v>0</v>
      </c>
      <c r="O29" s="20">
        <f>IF(AND(B29&gt;=설정!$B$6,B29&lt;설정!$B$24),1,0)</f>
        <v>0</v>
      </c>
      <c r="P29" s="20">
        <f>IF(B29&gt;=설정!$B$6,J29*(설정!$B$18-설정!$B$13),0)</f>
        <v>0</v>
      </c>
      <c r="Q29" s="18">
        <f t="shared" si="4"/>
        <v>123725000</v>
      </c>
      <c r="R29" s="20">
        <f>IF(물량원가기준!D29="","",물량원가기준!D29*H29)</f>
        <v>122500000</v>
      </c>
      <c r="S29" s="18">
        <f t="shared" si="5"/>
        <v>1039290000</v>
      </c>
      <c r="T29" s="20">
        <f>물량원가기준!I29+IF(B29&gt;=설정!$B$6,I29*(설정!$B$18-설정!$B$13),0)</f>
        <v>65000</v>
      </c>
      <c r="U29" s="20">
        <f>IF(OR(COUNT(물량원가기준!E29:J29)&lt;&gt;6,COUNTIFS(물량원가기준!$A$6:$A$100,A29)&lt;&gt;1),0,1)</f>
        <v>1</v>
      </c>
    </row>
    <row r="30" spans="1:21" ht="30" customHeight="1">
      <c r="A30" s="12" t="str">
        <f>물량원가기준!A30</f>
        <v>2027-05|A-e</v>
      </c>
      <c r="B30" s="23">
        <f>물량원가기준!B30</f>
        <v>46508</v>
      </c>
      <c r="C30" s="12" t="str">
        <f>물량원가기준!C30</f>
        <v>A-e</v>
      </c>
      <c r="D30" s="19">
        <f>물량원가기준!E30</f>
        <v>2911</v>
      </c>
      <c r="E30" s="19">
        <f>물량원가기준!F30</f>
        <v>2911</v>
      </c>
      <c r="F30" s="19">
        <f>물량원가기준!G30</f>
        <v>150000</v>
      </c>
      <c r="G30" s="19">
        <f>SUM(물량원가기준!H30:J30)</f>
        <v>132000</v>
      </c>
      <c r="H30" s="17">
        <f t="shared" si="0"/>
        <v>18000</v>
      </c>
      <c r="I30" s="19">
        <f>부품모델매핑!D10</f>
        <v>0</v>
      </c>
      <c r="J30" s="19">
        <f>IF(ISNUMBER(물량원가기준!F30),E30*I30,"미산출")</f>
        <v>0</v>
      </c>
      <c r="K30" s="17">
        <f t="shared" si="1"/>
        <v>52398000</v>
      </c>
      <c r="L30" s="17">
        <f t="shared" si="2"/>
        <v>52398000</v>
      </c>
      <c r="M30" s="17">
        <f t="shared" si="3"/>
        <v>0</v>
      </c>
      <c r="N30" s="19">
        <f>IF(AND(B30&gt;=설정!$B$6,B30&lt;설정!$B$23),1,0)</f>
        <v>0</v>
      </c>
      <c r="O30" s="19">
        <f>IF(AND(B30&gt;=설정!$B$6,B30&lt;설정!$B$24),1,0)</f>
        <v>0</v>
      </c>
      <c r="P30" s="19">
        <f>IF(B30&gt;=설정!$B$6,J30*(설정!$B$18-설정!$B$13),0)</f>
        <v>0</v>
      </c>
      <c r="Q30" s="17">
        <f t="shared" si="4"/>
        <v>52398000</v>
      </c>
      <c r="R30" s="19">
        <f>IF(물량원가기준!D30="","",물량원가기준!D30*H30)</f>
        <v>52920000</v>
      </c>
      <c r="S30" s="17">
        <f t="shared" si="5"/>
        <v>436650000</v>
      </c>
      <c r="T30" s="19">
        <f>물량원가기준!I30+IF(B30&gt;=설정!$B$6,I30*(설정!$B$18-설정!$B$13),0)</f>
        <v>50000</v>
      </c>
      <c r="U30" s="19">
        <f>IF(OR(COUNT(물량원가기준!E30:J30)&lt;&gt;6,COUNTIFS(물량원가기준!$A$6:$A$100,A30)&lt;&gt;1),0,1)</f>
        <v>1</v>
      </c>
    </row>
    <row r="31" spans="1:21" ht="30" customHeight="1">
      <c r="A31" s="11" t="str">
        <f>물량원가기준!A31</f>
        <v>2027-06|A-a</v>
      </c>
      <c r="B31" s="24">
        <f>물량원가기준!B31</f>
        <v>46539</v>
      </c>
      <c r="C31" s="11" t="str">
        <f>물량원가기준!C31</f>
        <v>A-a</v>
      </c>
      <c r="D31" s="20">
        <f>물량원가기준!E31</f>
        <v>3800</v>
      </c>
      <c r="E31" s="20">
        <f>물량원가기준!F31</f>
        <v>3800</v>
      </c>
      <c r="F31" s="20">
        <f>물량원가기준!G31</f>
        <v>300000</v>
      </c>
      <c r="G31" s="20">
        <f>SUM(물량원가기준!H31:J31)</f>
        <v>270000</v>
      </c>
      <c r="H31" s="18">
        <f t="shared" si="0"/>
        <v>30000</v>
      </c>
      <c r="I31" s="20">
        <f>부품모델매핑!D6</f>
        <v>1</v>
      </c>
      <c r="J31" s="20">
        <f>IF(ISNUMBER(물량원가기준!F31),E31*I31,"미산출")</f>
        <v>3800</v>
      </c>
      <c r="K31" s="18">
        <f t="shared" si="1"/>
        <v>114000000</v>
      </c>
      <c r="L31" s="18">
        <f t="shared" si="2"/>
        <v>114000000</v>
      </c>
      <c r="M31" s="18">
        <f t="shared" si="3"/>
        <v>0</v>
      </c>
      <c r="N31" s="20">
        <f>IF(AND(B31&gt;=설정!$B$6,B31&lt;설정!$B$23),1,0)</f>
        <v>0</v>
      </c>
      <c r="O31" s="20">
        <f>IF(AND(B31&gt;=설정!$B$6,B31&lt;설정!$B$24),1,0)</f>
        <v>0</v>
      </c>
      <c r="P31" s="20">
        <f>IF(B31&gt;=설정!$B$6,J31*(설정!$B$18-설정!$B$13),0)</f>
        <v>0</v>
      </c>
      <c r="Q31" s="18">
        <f t="shared" si="4"/>
        <v>114000000</v>
      </c>
      <c r="R31" s="20">
        <f>IF(물량원가기준!D31="","",물량원가기준!D31*H31)</f>
        <v>120000000</v>
      </c>
      <c r="S31" s="18">
        <f t="shared" si="5"/>
        <v>1140000000</v>
      </c>
      <c r="T31" s="20">
        <f>물량원가기준!I31+IF(B31&gt;=설정!$B$6,I31*(설정!$B$18-설정!$B$13),0)</f>
        <v>75000</v>
      </c>
      <c r="U31" s="20">
        <f>IF(OR(COUNT(물량원가기준!E31:J31)&lt;&gt;6,COUNTIFS(물량원가기준!$A$6:$A$100,A31)&lt;&gt;1),0,1)</f>
        <v>1</v>
      </c>
    </row>
    <row r="32" spans="1:21" ht="30" customHeight="1">
      <c r="A32" s="12" t="str">
        <f>물량원가기준!A32</f>
        <v>2027-06|A-b</v>
      </c>
      <c r="B32" s="23">
        <f>물량원가기준!B32</f>
        <v>46539</v>
      </c>
      <c r="C32" s="12" t="str">
        <f>물량원가기준!C32</f>
        <v>A-b</v>
      </c>
      <c r="D32" s="19">
        <f>물량원가기준!E32</f>
        <v>9500</v>
      </c>
      <c r="E32" s="19">
        <f>물량원가기준!F32</f>
        <v>9500</v>
      </c>
      <c r="F32" s="19">
        <f>물량원가기준!G32</f>
        <v>180000</v>
      </c>
      <c r="G32" s="19">
        <f>SUM(물량원가기준!H32:J32)</f>
        <v>160000</v>
      </c>
      <c r="H32" s="17">
        <f t="shared" si="0"/>
        <v>20000</v>
      </c>
      <c r="I32" s="19">
        <f>부품모델매핑!D7</f>
        <v>1</v>
      </c>
      <c r="J32" s="19">
        <f>IF(ISNUMBER(물량원가기준!F32),E32*I32,"미산출")</f>
        <v>9500</v>
      </c>
      <c r="K32" s="17">
        <f t="shared" si="1"/>
        <v>190000000</v>
      </c>
      <c r="L32" s="17">
        <f t="shared" si="2"/>
        <v>190000000</v>
      </c>
      <c r="M32" s="17">
        <f t="shared" si="3"/>
        <v>0</v>
      </c>
      <c r="N32" s="19">
        <f>IF(AND(B32&gt;=설정!$B$6,B32&lt;설정!$B$23),1,0)</f>
        <v>0</v>
      </c>
      <c r="O32" s="19">
        <f>IF(AND(B32&gt;=설정!$B$6,B32&lt;설정!$B$24),1,0)</f>
        <v>0</v>
      </c>
      <c r="P32" s="19">
        <f>IF(B32&gt;=설정!$B$6,J32*(설정!$B$18-설정!$B$13),0)</f>
        <v>0</v>
      </c>
      <c r="Q32" s="17">
        <f t="shared" si="4"/>
        <v>190000000</v>
      </c>
      <c r="R32" s="19">
        <f>IF(물량원가기준!D32="","",물량원가기준!D32*H32)</f>
        <v>200000000</v>
      </c>
      <c r="S32" s="17">
        <f t="shared" si="5"/>
        <v>1710000000</v>
      </c>
      <c r="T32" s="19">
        <f>물량원가기준!I32+IF(B32&gt;=설정!$B$6,I32*(설정!$B$18-설정!$B$13),0)</f>
        <v>95000</v>
      </c>
      <c r="U32" s="19">
        <f>IF(OR(COUNT(물량원가기준!E32:J32)&lt;&gt;6,COUNTIFS(물량원가기준!$A$6:$A$100,A32)&lt;&gt;1),0,1)</f>
        <v>1</v>
      </c>
    </row>
    <row r="33" spans="1:21" ht="30" customHeight="1">
      <c r="A33" s="11" t="str">
        <f>물량원가기준!A33</f>
        <v>2027-06|A-c</v>
      </c>
      <c r="B33" s="24">
        <f>물량원가기준!B33</f>
        <v>46539</v>
      </c>
      <c r="C33" s="11" t="str">
        <f>물량원가기준!C33</f>
        <v>A-c</v>
      </c>
      <c r="D33" s="20">
        <f>물량원가기준!E33</f>
        <v>5940</v>
      </c>
      <c r="E33" s="20">
        <f>물량원가기준!F33</f>
        <v>5940</v>
      </c>
      <c r="F33" s="20">
        <f>물량원가기준!G33</f>
        <v>230000</v>
      </c>
      <c r="G33" s="20">
        <f>SUM(물량원가기준!H33:J33)</f>
        <v>202000</v>
      </c>
      <c r="H33" s="18">
        <f t="shared" si="0"/>
        <v>28000</v>
      </c>
      <c r="I33" s="20">
        <f>부품모델매핑!D8</f>
        <v>0</v>
      </c>
      <c r="J33" s="20">
        <f>IF(ISNUMBER(물량원가기준!F33),E33*I33,"미산출")</f>
        <v>0</v>
      </c>
      <c r="K33" s="18">
        <f t="shared" si="1"/>
        <v>166320000</v>
      </c>
      <c r="L33" s="18">
        <f t="shared" si="2"/>
        <v>166320000</v>
      </c>
      <c r="M33" s="18">
        <f t="shared" si="3"/>
        <v>0</v>
      </c>
      <c r="N33" s="20">
        <f>IF(AND(B33&gt;=설정!$B$6,B33&lt;설정!$B$23),1,0)</f>
        <v>0</v>
      </c>
      <c r="O33" s="20">
        <f>IF(AND(B33&gt;=설정!$B$6,B33&lt;설정!$B$24),1,0)</f>
        <v>0</v>
      </c>
      <c r="P33" s="20">
        <f>IF(B33&gt;=설정!$B$6,J33*(설정!$B$18-설정!$B$13),0)</f>
        <v>0</v>
      </c>
      <c r="Q33" s="18">
        <f t="shared" si="4"/>
        <v>166320000</v>
      </c>
      <c r="R33" s="20">
        <f>IF(물량원가기준!D33="","",물량원가기준!D33*H33)</f>
        <v>168000000</v>
      </c>
      <c r="S33" s="18">
        <f t="shared" si="5"/>
        <v>1366200000</v>
      </c>
      <c r="T33" s="20">
        <f>물량원가기준!I33+IF(B33&gt;=설정!$B$6,I33*(설정!$B$18-설정!$B$13),0)</f>
        <v>60000</v>
      </c>
      <c r="U33" s="20">
        <f>IF(OR(COUNT(물량원가기준!E33:J33)&lt;&gt;6,COUNTIFS(물량원가기준!$A$6:$A$100,A33)&lt;&gt;1),0,1)</f>
        <v>1</v>
      </c>
    </row>
    <row r="34" spans="1:21" ht="30" customHeight="1">
      <c r="A34" s="12" t="str">
        <f>물량원가기준!A34</f>
        <v>2027-06|A-d</v>
      </c>
      <c r="B34" s="23">
        <f>물량원가기준!B34</f>
        <v>46539</v>
      </c>
      <c r="C34" s="12" t="str">
        <f>물량원가기준!C34</f>
        <v>A-d</v>
      </c>
      <c r="D34" s="19">
        <f>물량원가기준!E34</f>
        <v>5050</v>
      </c>
      <c r="E34" s="19">
        <f>물량원가기준!F34</f>
        <v>5050</v>
      </c>
      <c r="F34" s="19">
        <f>물량원가기준!G34</f>
        <v>210000</v>
      </c>
      <c r="G34" s="19">
        <f>SUM(물량원가기준!H34:J34)</f>
        <v>185000</v>
      </c>
      <c r="H34" s="17">
        <f t="shared" si="0"/>
        <v>25000</v>
      </c>
      <c r="I34" s="19">
        <f>부품모델매핑!D9</f>
        <v>0</v>
      </c>
      <c r="J34" s="19">
        <f>IF(ISNUMBER(물량원가기준!F34),E34*I34,"미산출")</f>
        <v>0</v>
      </c>
      <c r="K34" s="17">
        <f t="shared" si="1"/>
        <v>126250000</v>
      </c>
      <c r="L34" s="17">
        <f t="shared" si="2"/>
        <v>126250000</v>
      </c>
      <c r="M34" s="17">
        <f t="shared" si="3"/>
        <v>0</v>
      </c>
      <c r="N34" s="19">
        <f>IF(AND(B34&gt;=설정!$B$6,B34&lt;설정!$B$23),1,0)</f>
        <v>0</v>
      </c>
      <c r="O34" s="19">
        <f>IF(AND(B34&gt;=설정!$B$6,B34&lt;설정!$B$24),1,0)</f>
        <v>0</v>
      </c>
      <c r="P34" s="19">
        <f>IF(B34&gt;=설정!$B$6,J34*(설정!$B$18-설정!$B$13),0)</f>
        <v>0</v>
      </c>
      <c r="Q34" s="17">
        <f t="shared" si="4"/>
        <v>126250000</v>
      </c>
      <c r="R34" s="19">
        <f>IF(물량원가기준!D34="","",물량원가기준!D34*H34)</f>
        <v>125000000</v>
      </c>
      <c r="S34" s="17">
        <f t="shared" si="5"/>
        <v>1060500000</v>
      </c>
      <c r="T34" s="19">
        <f>물량원가기준!I34+IF(B34&gt;=설정!$B$6,I34*(설정!$B$18-설정!$B$13),0)</f>
        <v>65000</v>
      </c>
      <c r="U34" s="19">
        <f>IF(OR(COUNT(물량원가기준!E34:J34)&lt;&gt;6,COUNTIFS(물량원가기준!$A$6:$A$100,A34)&lt;&gt;1),0,1)</f>
        <v>1</v>
      </c>
    </row>
    <row r="35" spans="1:21" ht="30" customHeight="1">
      <c r="A35" s="11" t="str">
        <f>물량원가기준!A35</f>
        <v>2027-06|A-e</v>
      </c>
      <c r="B35" s="24">
        <f>물량원가기준!B35</f>
        <v>46539</v>
      </c>
      <c r="C35" s="11" t="str">
        <f>물량원가기준!C35</f>
        <v>A-e</v>
      </c>
      <c r="D35" s="20">
        <f>물량원가기준!E35</f>
        <v>2970</v>
      </c>
      <c r="E35" s="20">
        <f>물량원가기준!F35</f>
        <v>2970</v>
      </c>
      <c r="F35" s="20">
        <f>물량원가기준!G35</f>
        <v>150000</v>
      </c>
      <c r="G35" s="20">
        <f>SUM(물량원가기준!H35:J35)</f>
        <v>132000</v>
      </c>
      <c r="H35" s="18">
        <f t="shared" si="0"/>
        <v>18000</v>
      </c>
      <c r="I35" s="20">
        <f>부품모델매핑!D10</f>
        <v>0</v>
      </c>
      <c r="J35" s="20">
        <f>IF(ISNUMBER(물량원가기준!F35),E35*I35,"미산출")</f>
        <v>0</v>
      </c>
      <c r="K35" s="18">
        <f t="shared" si="1"/>
        <v>53460000</v>
      </c>
      <c r="L35" s="18">
        <f t="shared" si="2"/>
        <v>53460000</v>
      </c>
      <c r="M35" s="18">
        <f t="shared" si="3"/>
        <v>0</v>
      </c>
      <c r="N35" s="20">
        <f>IF(AND(B35&gt;=설정!$B$6,B35&lt;설정!$B$23),1,0)</f>
        <v>0</v>
      </c>
      <c r="O35" s="20">
        <f>IF(AND(B35&gt;=설정!$B$6,B35&lt;설정!$B$24),1,0)</f>
        <v>0</v>
      </c>
      <c r="P35" s="20">
        <f>IF(B35&gt;=설정!$B$6,J35*(설정!$B$18-설정!$B$13),0)</f>
        <v>0</v>
      </c>
      <c r="Q35" s="18">
        <f t="shared" si="4"/>
        <v>53460000</v>
      </c>
      <c r="R35" s="20">
        <f>IF(물량원가기준!D35="","",물량원가기준!D35*H35)</f>
        <v>54000000</v>
      </c>
      <c r="S35" s="18">
        <f t="shared" si="5"/>
        <v>445500000</v>
      </c>
      <c r="T35" s="20">
        <f>물량원가기준!I35+IF(B35&gt;=설정!$B$6,I35*(설정!$B$18-설정!$B$13),0)</f>
        <v>50000</v>
      </c>
      <c r="U35" s="20">
        <f>IF(OR(COUNT(물량원가기준!E35:J35)&lt;&gt;6,COUNTIFS(물량원가기준!$A$6:$A$100,A35)&lt;&gt;1),0,1)</f>
        <v>1</v>
      </c>
    </row>
    <row r="36" spans="1:21" ht="30" customHeight="1">
      <c r="A36" s="12" t="str">
        <f>물량원가기준!A36</f>
        <v>2027-07|A-a</v>
      </c>
      <c r="B36" s="23">
        <f>물량원가기준!B36</f>
        <v>46569</v>
      </c>
      <c r="C36" s="12" t="str">
        <f>물량원가기준!C36</f>
        <v>A-a</v>
      </c>
      <c r="D36" s="19">
        <f>물량원가기준!E36</f>
        <v>3800</v>
      </c>
      <c r="E36" s="19">
        <f>물량원가기준!F36</f>
        <v>3800</v>
      </c>
      <c r="F36" s="19">
        <f>물량원가기준!G36</f>
        <v>300000</v>
      </c>
      <c r="G36" s="19">
        <f>SUM(물량원가기준!H36:J36)</f>
        <v>270000</v>
      </c>
      <c r="H36" s="17">
        <f t="shared" si="0"/>
        <v>30000</v>
      </c>
      <c r="I36" s="19">
        <f>부품모델매핑!D6</f>
        <v>1</v>
      </c>
      <c r="J36" s="19">
        <f>IF(ISNUMBER(물량원가기준!F36),E36*I36,"미산출")</f>
        <v>3800</v>
      </c>
      <c r="K36" s="17">
        <f t="shared" si="1"/>
        <v>114000000</v>
      </c>
      <c r="L36" s="17">
        <f t="shared" si="2"/>
        <v>114000000</v>
      </c>
      <c r="M36" s="17">
        <f t="shared" si="3"/>
        <v>0</v>
      </c>
      <c r="N36" s="19">
        <f>IF(AND(B36&gt;=설정!$B$6,B36&lt;설정!$B$23),1,0)</f>
        <v>1</v>
      </c>
      <c r="O36" s="19">
        <f>IF(AND(B36&gt;=설정!$B$6,B36&lt;설정!$B$24),1,0)</f>
        <v>1</v>
      </c>
      <c r="P36" s="19">
        <f>IF(B36&gt;=설정!$B$6,J36*(설정!$B$18-설정!$B$13),0)</f>
        <v>456000</v>
      </c>
      <c r="Q36" s="17">
        <f t="shared" si="4"/>
        <v>113544000</v>
      </c>
      <c r="R36" s="19">
        <f>IF(물량원가기준!D36="","",물량원가기준!D36*H36)</f>
        <v>120000000</v>
      </c>
      <c r="S36" s="17">
        <f t="shared" si="5"/>
        <v>1140000000</v>
      </c>
      <c r="T36" s="19">
        <f>물량원가기준!I36+IF(B36&gt;=설정!$B$6,I36*(설정!$B$18-설정!$B$13),0)</f>
        <v>75120</v>
      </c>
      <c r="U36" s="19">
        <f>IF(OR(COUNT(물량원가기준!E36:J36)&lt;&gt;6,COUNTIFS(물량원가기준!$A$6:$A$100,A36)&lt;&gt;1),0,1)</f>
        <v>1</v>
      </c>
    </row>
    <row r="37" spans="1:21" ht="30" customHeight="1">
      <c r="A37" s="11" t="str">
        <f>물량원가기준!A37</f>
        <v>2027-07|A-b</v>
      </c>
      <c r="B37" s="24">
        <f>물량원가기준!B37</f>
        <v>46569</v>
      </c>
      <c r="C37" s="11" t="str">
        <f>물량원가기준!C37</f>
        <v>A-b</v>
      </c>
      <c r="D37" s="20">
        <f>물량원가기준!E37</f>
        <v>9500</v>
      </c>
      <c r="E37" s="20">
        <f>물량원가기준!F37</f>
        <v>8800</v>
      </c>
      <c r="F37" s="20">
        <f>물량원가기준!G37</f>
        <v>180000</v>
      </c>
      <c r="G37" s="20">
        <f>SUM(물량원가기준!H37:J37)</f>
        <v>160000</v>
      </c>
      <c r="H37" s="18">
        <f t="shared" si="0"/>
        <v>20000</v>
      </c>
      <c r="I37" s="20">
        <f>부품모델매핑!D7</f>
        <v>1</v>
      </c>
      <c r="J37" s="20">
        <f>IF(ISNUMBER(물량원가기준!F37),E37*I37,"미산출")</f>
        <v>8800</v>
      </c>
      <c r="K37" s="18">
        <f t="shared" si="1"/>
        <v>190000000</v>
      </c>
      <c r="L37" s="18">
        <f t="shared" si="2"/>
        <v>176000000</v>
      </c>
      <c r="M37" s="18">
        <f t="shared" si="3"/>
        <v>-14000000</v>
      </c>
      <c r="N37" s="20">
        <f>IF(AND(B37&gt;=설정!$B$6,B37&lt;설정!$B$23),1,0)</f>
        <v>1</v>
      </c>
      <c r="O37" s="20">
        <f>IF(AND(B37&gt;=설정!$B$6,B37&lt;설정!$B$24),1,0)</f>
        <v>1</v>
      </c>
      <c r="P37" s="20">
        <f>IF(B37&gt;=설정!$B$6,J37*(설정!$B$18-설정!$B$13),0)</f>
        <v>1056000</v>
      </c>
      <c r="Q37" s="18">
        <f t="shared" si="4"/>
        <v>174944000</v>
      </c>
      <c r="R37" s="20">
        <f>IF(물량원가기준!D37="","",물량원가기준!D37*H37)</f>
        <v>200000000</v>
      </c>
      <c r="S37" s="18">
        <f t="shared" si="5"/>
        <v>1584000000</v>
      </c>
      <c r="T37" s="20">
        <f>물량원가기준!I37+IF(B37&gt;=설정!$B$6,I37*(설정!$B$18-설정!$B$13),0)</f>
        <v>95120</v>
      </c>
      <c r="U37" s="20">
        <f>IF(OR(COUNT(물량원가기준!E37:J37)&lt;&gt;6,COUNTIFS(물량원가기준!$A$6:$A$100,A37)&lt;&gt;1),0,1)</f>
        <v>1</v>
      </c>
    </row>
    <row r="38" spans="1:21" ht="30" customHeight="1">
      <c r="A38" s="12" t="str">
        <f>물량원가기준!A38</f>
        <v>2027-07|A-c</v>
      </c>
      <c r="B38" s="23">
        <f>물량원가기준!B38</f>
        <v>46569</v>
      </c>
      <c r="C38" s="12" t="str">
        <f>물량원가기준!C38</f>
        <v>A-c</v>
      </c>
      <c r="D38" s="19">
        <f>물량원가기준!E38</f>
        <v>5940</v>
      </c>
      <c r="E38" s="19">
        <f>물량원가기준!F38</f>
        <v>5940</v>
      </c>
      <c r="F38" s="19">
        <f>물량원가기준!G38</f>
        <v>230000</v>
      </c>
      <c r="G38" s="19">
        <f>SUM(물량원가기준!H38:J38)</f>
        <v>202000</v>
      </c>
      <c r="H38" s="17">
        <f t="shared" ref="H38:H69" si="6">F38-G38</f>
        <v>28000</v>
      </c>
      <c r="I38" s="19">
        <f>부품모델매핑!D8</f>
        <v>0</v>
      </c>
      <c r="J38" s="19">
        <f>IF(ISNUMBER(물량원가기준!F38),E38*I38,"미산출")</f>
        <v>0</v>
      </c>
      <c r="K38" s="17">
        <f t="shared" ref="K38:K69" si="7">D38*H38</f>
        <v>166320000</v>
      </c>
      <c r="L38" s="17">
        <f t="shared" ref="L38:L69" si="8">E38*H38</f>
        <v>166320000</v>
      </c>
      <c r="M38" s="17">
        <f t="shared" ref="M38:M69" si="9">L38-K38</f>
        <v>0</v>
      </c>
      <c r="N38" s="19">
        <f>IF(AND(B38&gt;=설정!$B$6,B38&lt;설정!$B$23),1,0)</f>
        <v>1</v>
      </c>
      <c r="O38" s="19">
        <f>IF(AND(B38&gt;=설정!$B$6,B38&lt;설정!$B$24),1,0)</f>
        <v>1</v>
      </c>
      <c r="P38" s="19">
        <f>IF(B38&gt;=설정!$B$6,J38*(설정!$B$18-설정!$B$13),0)</f>
        <v>0</v>
      </c>
      <c r="Q38" s="17">
        <f t="shared" ref="Q38:Q69" si="10">L38-P38</f>
        <v>166320000</v>
      </c>
      <c r="R38" s="19">
        <f>IF(물량원가기준!D38="","",물량원가기준!D38*H38)</f>
        <v>168000000</v>
      </c>
      <c r="S38" s="17">
        <f t="shared" ref="S38:S69" si="11">E38*F38</f>
        <v>1366200000</v>
      </c>
      <c r="T38" s="19">
        <f>물량원가기준!I38+IF(B38&gt;=설정!$B$6,I38*(설정!$B$18-설정!$B$13),0)</f>
        <v>60000</v>
      </c>
      <c r="U38" s="19">
        <f>IF(OR(COUNT(물량원가기준!E38:J38)&lt;&gt;6,COUNTIFS(물량원가기준!$A$6:$A$100,A38)&lt;&gt;1),0,1)</f>
        <v>1</v>
      </c>
    </row>
    <row r="39" spans="1:21" ht="30" customHeight="1">
      <c r="A39" s="11" t="str">
        <f>물량원가기준!A39</f>
        <v>2027-07|A-d</v>
      </c>
      <c r="B39" s="24">
        <f>물량원가기준!B39</f>
        <v>46569</v>
      </c>
      <c r="C39" s="11" t="str">
        <f>물량원가기준!C39</f>
        <v>A-d</v>
      </c>
      <c r="D39" s="20">
        <f>물량원가기준!E39</f>
        <v>5050</v>
      </c>
      <c r="E39" s="20">
        <f>물량원가기준!F39</f>
        <v>5050</v>
      </c>
      <c r="F39" s="20">
        <f>물량원가기준!G39</f>
        <v>210000</v>
      </c>
      <c r="G39" s="20">
        <f>SUM(물량원가기준!H39:J39)</f>
        <v>185000</v>
      </c>
      <c r="H39" s="18">
        <f t="shared" si="6"/>
        <v>25000</v>
      </c>
      <c r="I39" s="20">
        <f>부품모델매핑!D9</f>
        <v>0</v>
      </c>
      <c r="J39" s="20">
        <f>IF(ISNUMBER(물량원가기준!F39),E39*I39,"미산출")</f>
        <v>0</v>
      </c>
      <c r="K39" s="18">
        <f t="shared" si="7"/>
        <v>126250000</v>
      </c>
      <c r="L39" s="18">
        <f t="shared" si="8"/>
        <v>126250000</v>
      </c>
      <c r="M39" s="18">
        <f t="shared" si="9"/>
        <v>0</v>
      </c>
      <c r="N39" s="20">
        <f>IF(AND(B39&gt;=설정!$B$6,B39&lt;설정!$B$23),1,0)</f>
        <v>1</v>
      </c>
      <c r="O39" s="20">
        <f>IF(AND(B39&gt;=설정!$B$6,B39&lt;설정!$B$24),1,0)</f>
        <v>1</v>
      </c>
      <c r="P39" s="20">
        <f>IF(B39&gt;=설정!$B$6,J39*(설정!$B$18-설정!$B$13),0)</f>
        <v>0</v>
      </c>
      <c r="Q39" s="18">
        <f t="shared" si="10"/>
        <v>126250000</v>
      </c>
      <c r="R39" s="20">
        <f>IF(물량원가기준!D39="","",물량원가기준!D39*H39)</f>
        <v>125000000</v>
      </c>
      <c r="S39" s="18">
        <f t="shared" si="11"/>
        <v>1060500000</v>
      </c>
      <c r="T39" s="20">
        <f>물량원가기준!I39+IF(B39&gt;=설정!$B$6,I39*(설정!$B$18-설정!$B$13),0)</f>
        <v>65000</v>
      </c>
      <c r="U39" s="20">
        <f>IF(OR(COUNT(물량원가기준!E39:J39)&lt;&gt;6,COUNTIFS(물량원가기준!$A$6:$A$100,A39)&lt;&gt;1),0,1)</f>
        <v>1</v>
      </c>
    </row>
    <row r="40" spans="1:21" ht="30" customHeight="1">
      <c r="A40" s="12" t="str">
        <f>물량원가기준!A40</f>
        <v>2027-07|A-e</v>
      </c>
      <c r="B40" s="23">
        <f>물량원가기준!B40</f>
        <v>46569</v>
      </c>
      <c r="C40" s="12" t="str">
        <f>물량원가기준!C40</f>
        <v>A-e</v>
      </c>
      <c r="D40" s="19">
        <f>물량원가기준!E40</f>
        <v>2970</v>
      </c>
      <c r="E40" s="19">
        <f>물량원가기준!F40</f>
        <v>2970</v>
      </c>
      <c r="F40" s="19">
        <f>물량원가기준!G40</f>
        <v>150000</v>
      </c>
      <c r="G40" s="19">
        <f>SUM(물량원가기준!H40:J40)</f>
        <v>132000</v>
      </c>
      <c r="H40" s="17">
        <f t="shared" si="6"/>
        <v>18000</v>
      </c>
      <c r="I40" s="19">
        <f>부품모델매핑!D10</f>
        <v>0</v>
      </c>
      <c r="J40" s="19">
        <f>IF(ISNUMBER(물량원가기준!F40),E40*I40,"미산출")</f>
        <v>0</v>
      </c>
      <c r="K40" s="17">
        <f t="shared" si="7"/>
        <v>53460000</v>
      </c>
      <c r="L40" s="17">
        <f t="shared" si="8"/>
        <v>53460000</v>
      </c>
      <c r="M40" s="17">
        <f t="shared" si="9"/>
        <v>0</v>
      </c>
      <c r="N40" s="19">
        <f>IF(AND(B40&gt;=설정!$B$6,B40&lt;설정!$B$23),1,0)</f>
        <v>1</v>
      </c>
      <c r="O40" s="19">
        <f>IF(AND(B40&gt;=설정!$B$6,B40&lt;설정!$B$24),1,0)</f>
        <v>1</v>
      </c>
      <c r="P40" s="19">
        <f>IF(B40&gt;=설정!$B$6,J40*(설정!$B$18-설정!$B$13),0)</f>
        <v>0</v>
      </c>
      <c r="Q40" s="17">
        <f t="shared" si="10"/>
        <v>53460000</v>
      </c>
      <c r="R40" s="19">
        <f>IF(물량원가기준!D40="","",물량원가기준!D40*H40)</f>
        <v>54000000</v>
      </c>
      <c r="S40" s="17">
        <f t="shared" si="11"/>
        <v>445500000</v>
      </c>
      <c r="T40" s="19">
        <f>물량원가기준!I40+IF(B40&gt;=설정!$B$6,I40*(설정!$B$18-설정!$B$13),0)</f>
        <v>50000</v>
      </c>
      <c r="U40" s="19">
        <f>IF(OR(COUNT(물량원가기준!E40:J40)&lt;&gt;6,COUNTIFS(물량원가기준!$A$6:$A$100,A40)&lt;&gt;1),0,1)</f>
        <v>1</v>
      </c>
    </row>
    <row r="41" spans="1:21" ht="30" customHeight="1">
      <c r="A41" s="11" t="str">
        <f>물량원가기준!A41</f>
        <v>2027-08|A-a</v>
      </c>
      <c r="B41" s="24">
        <f>물량원가기준!B41</f>
        <v>46600</v>
      </c>
      <c r="C41" s="11" t="str">
        <f>물량원가기준!C41</f>
        <v>A-a</v>
      </c>
      <c r="D41" s="20">
        <f>물량원가기준!E41</f>
        <v>3496</v>
      </c>
      <c r="E41" s="20">
        <f>물량원가기준!F41</f>
        <v>3496</v>
      </c>
      <c r="F41" s="20">
        <f>물량원가기준!G41</f>
        <v>300000</v>
      </c>
      <c r="G41" s="20">
        <f>SUM(물량원가기준!H41:J41)</f>
        <v>270000</v>
      </c>
      <c r="H41" s="18">
        <f t="shared" si="6"/>
        <v>30000</v>
      </c>
      <c r="I41" s="20">
        <f>부품모델매핑!D6</f>
        <v>1</v>
      </c>
      <c r="J41" s="20">
        <f>IF(ISNUMBER(물량원가기준!F41),E41*I41,"미산출")</f>
        <v>3496</v>
      </c>
      <c r="K41" s="18">
        <f t="shared" si="7"/>
        <v>104880000</v>
      </c>
      <c r="L41" s="18">
        <f t="shared" si="8"/>
        <v>104880000</v>
      </c>
      <c r="M41" s="18">
        <f t="shared" si="9"/>
        <v>0</v>
      </c>
      <c r="N41" s="20">
        <f>IF(AND(B41&gt;=설정!$B$6,B41&lt;설정!$B$23),1,0)</f>
        <v>1</v>
      </c>
      <c r="O41" s="20">
        <f>IF(AND(B41&gt;=설정!$B$6,B41&lt;설정!$B$24),1,0)</f>
        <v>1</v>
      </c>
      <c r="P41" s="20">
        <f>IF(B41&gt;=설정!$B$6,J41*(설정!$B$18-설정!$B$13),0)</f>
        <v>419520</v>
      </c>
      <c r="Q41" s="18">
        <f t="shared" si="10"/>
        <v>104460480</v>
      </c>
      <c r="R41" s="20">
        <f>IF(물량원가기준!D41="","",물량원가기준!D41*H41)</f>
        <v>110400000</v>
      </c>
      <c r="S41" s="18">
        <f t="shared" si="11"/>
        <v>1048800000</v>
      </c>
      <c r="T41" s="20">
        <f>물량원가기준!I41+IF(B41&gt;=설정!$B$6,I41*(설정!$B$18-설정!$B$13),0)</f>
        <v>75120</v>
      </c>
      <c r="U41" s="20">
        <f>IF(OR(COUNT(물량원가기준!E41:J41)&lt;&gt;6,COUNTIFS(물량원가기준!$A$6:$A$100,A41)&lt;&gt;1),0,1)</f>
        <v>1</v>
      </c>
    </row>
    <row r="42" spans="1:21" ht="30" customHeight="1">
      <c r="A42" s="12" t="str">
        <f>물량원가기준!A42</f>
        <v>2027-08|A-b</v>
      </c>
      <c r="B42" s="23">
        <f>물량원가기준!B42</f>
        <v>46600</v>
      </c>
      <c r="C42" s="12" t="str">
        <f>물량원가기준!C42</f>
        <v>A-b</v>
      </c>
      <c r="D42" s="19">
        <f>물량원가기준!E42</f>
        <v>8740</v>
      </c>
      <c r="E42" s="19">
        <f>물량원가기준!F42</f>
        <v>8740</v>
      </c>
      <c r="F42" s="19">
        <f>물량원가기준!G42</f>
        <v>180000</v>
      </c>
      <c r="G42" s="19">
        <f>SUM(물량원가기준!H42:J42)</f>
        <v>160000</v>
      </c>
      <c r="H42" s="17">
        <f t="shared" si="6"/>
        <v>20000</v>
      </c>
      <c r="I42" s="19">
        <f>부품모델매핑!D7</f>
        <v>1</v>
      </c>
      <c r="J42" s="19">
        <f>IF(ISNUMBER(물량원가기준!F42),E42*I42,"미산출")</f>
        <v>8740</v>
      </c>
      <c r="K42" s="17">
        <f t="shared" si="7"/>
        <v>174800000</v>
      </c>
      <c r="L42" s="17">
        <f t="shared" si="8"/>
        <v>174800000</v>
      </c>
      <c r="M42" s="17">
        <f t="shared" si="9"/>
        <v>0</v>
      </c>
      <c r="N42" s="19">
        <f>IF(AND(B42&gt;=설정!$B$6,B42&lt;설정!$B$23),1,0)</f>
        <v>1</v>
      </c>
      <c r="O42" s="19">
        <f>IF(AND(B42&gt;=설정!$B$6,B42&lt;설정!$B$24),1,0)</f>
        <v>1</v>
      </c>
      <c r="P42" s="19">
        <f>IF(B42&gt;=설정!$B$6,J42*(설정!$B$18-설정!$B$13),0)</f>
        <v>1048800</v>
      </c>
      <c r="Q42" s="17">
        <f t="shared" si="10"/>
        <v>173751200</v>
      </c>
      <c r="R42" s="19">
        <f>IF(물량원가기준!D42="","",물량원가기준!D42*H42)</f>
        <v>184000000</v>
      </c>
      <c r="S42" s="17">
        <f t="shared" si="11"/>
        <v>1573200000</v>
      </c>
      <c r="T42" s="19">
        <f>물량원가기준!I42+IF(B42&gt;=설정!$B$6,I42*(설정!$B$18-설정!$B$13),0)</f>
        <v>95120</v>
      </c>
      <c r="U42" s="19">
        <f>IF(OR(COUNT(물량원가기준!E42:J42)&lt;&gt;6,COUNTIFS(물량원가기준!$A$6:$A$100,A42)&lt;&gt;1),0,1)</f>
        <v>1</v>
      </c>
    </row>
    <row r="43" spans="1:21" ht="30" customHeight="1">
      <c r="A43" s="11" t="str">
        <f>물량원가기준!A43</f>
        <v>2027-08|A-c</v>
      </c>
      <c r="B43" s="24">
        <f>물량원가기준!B43</f>
        <v>46600</v>
      </c>
      <c r="C43" s="11" t="str">
        <f>물량원가기준!C43</f>
        <v>A-c</v>
      </c>
      <c r="D43" s="20">
        <f>물량원가기준!E43</f>
        <v>5465</v>
      </c>
      <c r="E43" s="20">
        <f>물량원가기준!F43</f>
        <v>5465</v>
      </c>
      <c r="F43" s="20">
        <f>물량원가기준!G43</f>
        <v>230000</v>
      </c>
      <c r="G43" s="20">
        <f>SUM(물량원가기준!H43:J43)</f>
        <v>202000</v>
      </c>
      <c r="H43" s="18">
        <f t="shared" si="6"/>
        <v>28000</v>
      </c>
      <c r="I43" s="20">
        <f>부품모델매핑!D8</f>
        <v>0</v>
      </c>
      <c r="J43" s="20">
        <f>IF(ISNUMBER(물량원가기준!F43),E43*I43,"미산출")</f>
        <v>0</v>
      </c>
      <c r="K43" s="18">
        <f t="shared" si="7"/>
        <v>153020000</v>
      </c>
      <c r="L43" s="18">
        <f t="shared" si="8"/>
        <v>153020000</v>
      </c>
      <c r="M43" s="18">
        <f t="shared" si="9"/>
        <v>0</v>
      </c>
      <c r="N43" s="20">
        <f>IF(AND(B43&gt;=설정!$B$6,B43&lt;설정!$B$23),1,0)</f>
        <v>1</v>
      </c>
      <c r="O43" s="20">
        <f>IF(AND(B43&gt;=설정!$B$6,B43&lt;설정!$B$24),1,0)</f>
        <v>1</v>
      </c>
      <c r="P43" s="20">
        <f>IF(B43&gt;=설정!$B$6,J43*(설정!$B$18-설정!$B$13),0)</f>
        <v>0</v>
      </c>
      <c r="Q43" s="18">
        <f t="shared" si="10"/>
        <v>153020000</v>
      </c>
      <c r="R43" s="20">
        <f>IF(물량원가기준!D43="","",물량원가기준!D43*H43)</f>
        <v>154560000</v>
      </c>
      <c r="S43" s="18">
        <f t="shared" si="11"/>
        <v>1256950000</v>
      </c>
      <c r="T43" s="20">
        <f>물량원가기준!I43+IF(B43&gt;=설정!$B$6,I43*(설정!$B$18-설정!$B$13),0)</f>
        <v>60000</v>
      </c>
      <c r="U43" s="20">
        <f>IF(OR(COUNT(물량원가기준!E43:J43)&lt;&gt;6,COUNTIFS(물량원가기준!$A$6:$A$100,A43)&lt;&gt;1),0,1)</f>
        <v>1</v>
      </c>
    </row>
    <row r="44" spans="1:21" ht="30" customHeight="1">
      <c r="A44" s="12" t="str">
        <f>물량원가기준!A44</f>
        <v>2027-08|A-d</v>
      </c>
      <c r="B44" s="23">
        <f>물량원가기준!B44</f>
        <v>46600</v>
      </c>
      <c r="C44" s="12" t="str">
        <f>물량원가기준!C44</f>
        <v>A-d</v>
      </c>
      <c r="D44" s="19">
        <f>물량원가기준!E44</f>
        <v>4646</v>
      </c>
      <c r="E44" s="19">
        <f>물량원가기준!F44</f>
        <v>4646</v>
      </c>
      <c r="F44" s="19">
        <f>물량원가기준!G44</f>
        <v>210000</v>
      </c>
      <c r="G44" s="19">
        <f>SUM(물량원가기준!H44:J44)</f>
        <v>185000</v>
      </c>
      <c r="H44" s="17">
        <f t="shared" si="6"/>
        <v>25000</v>
      </c>
      <c r="I44" s="19">
        <f>부품모델매핑!D9</f>
        <v>0</v>
      </c>
      <c r="J44" s="19">
        <f>IF(ISNUMBER(물량원가기준!F44),E44*I44,"미산출")</f>
        <v>0</v>
      </c>
      <c r="K44" s="17">
        <f t="shared" si="7"/>
        <v>116150000</v>
      </c>
      <c r="L44" s="17">
        <f t="shared" si="8"/>
        <v>116150000</v>
      </c>
      <c r="M44" s="17">
        <f t="shared" si="9"/>
        <v>0</v>
      </c>
      <c r="N44" s="19">
        <f>IF(AND(B44&gt;=설정!$B$6,B44&lt;설정!$B$23),1,0)</f>
        <v>1</v>
      </c>
      <c r="O44" s="19">
        <f>IF(AND(B44&gt;=설정!$B$6,B44&lt;설정!$B$24),1,0)</f>
        <v>1</v>
      </c>
      <c r="P44" s="19">
        <f>IF(B44&gt;=설정!$B$6,J44*(설정!$B$18-설정!$B$13),0)</f>
        <v>0</v>
      </c>
      <c r="Q44" s="17">
        <f t="shared" si="10"/>
        <v>116150000</v>
      </c>
      <c r="R44" s="19">
        <f>IF(물량원가기준!D44="","",물량원가기준!D44*H44)</f>
        <v>115000000</v>
      </c>
      <c r="S44" s="17">
        <f t="shared" si="11"/>
        <v>975660000</v>
      </c>
      <c r="T44" s="19">
        <f>물량원가기준!I44+IF(B44&gt;=설정!$B$6,I44*(설정!$B$18-설정!$B$13),0)</f>
        <v>65000</v>
      </c>
      <c r="U44" s="19">
        <f>IF(OR(COUNT(물량원가기준!E44:J44)&lt;&gt;6,COUNTIFS(물량원가기준!$A$6:$A$100,A44)&lt;&gt;1),0,1)</f>
        <v>1</v>
      </c>
    </row>
    <row r="45" spans="1:21" ht="30" customHeight="1">
      <c r="A45" s="11" t="str">
        <f>물량원가기준!A45</f>
        <v>2027-08|A-e</v>
      </c>
      <c r="B45" s="24">
        <f>물량원가기준!B45</f>
        <v>46600</v>
      </c>
      <c r="C45" s="11" t="str">
        <f>물량원가기준!C45</f>
        <v>A-e</v>
      </c>
      <c r="D45" s="20">
        <f>물량원가기준!E45</f>
        <v>2732</v>
      </c>
      <c r="E45" s="20">
        <f>물량원가기준!F45</f>
        <v>2732</v>
      </c>
      <c r="F45" s="20">
        <f>물량원가기준!G45</f>
        <v>150000</v>
      </c>
      <c r="G45" s="20">
        <f>SUM(물량원가기준!H45:J45)</f>
        <v>132000</v>
      </c>
      <c r="H45" s="18">
        <f t="shared" si="6"/>
        <v>18000</v>
      </c>
      <c r="I45" s="20">
        <f>부품모델매핑!D10</f>
        <v>0</v>
      </c>
      <c r="J45" s="20">
        <f>IF(ISNUMBER(물량원가기준!F45),E45*I45,"미산출")</f>
        <v>0</v>
      </c>
      <c r="K45" s="18">
        <f t="shared" si="7"/>
        <v>49176000</v>
      </c>
      <c r="L45" s="18">
        <f t="shared" si="8"/>
        <v>49176000</v>
      </c>
      <c r="M45" s="18">
        <f t="shared" si="9"/>
        <v>0</v>
      </c>
      <c r="N45" s="20">
        <f>IF(AND(B45&gt;=설정!$B$6,B45&lt;설정!$B$23),1,0)</f>
        <v>1</v>
      </c>
      <c r="O45" s="20">
        <f>IF(AND(B45&gt;=설정!$B$6,B45&lt;설정!$B$24),1,0)</f>
        <v>1</v>
      </c>
      <c r="P45" s="20">
        <f>IF(B45&gt;=설정!$B$6,J45*(설정!$B$18-설정!$B$13),0)</f>
        <v>0</v>
      </c>
      <c r="Q45" s="18">
        <f t="shared" si="10"/>
        <v>49176000</v>
      </c>
      <c r="R45" s="20">
        <f>IF(물량원가기준!D45="","",물량원가기준!D45*H45)</f>
        <v>49680000</v>
      </c>
      <c r="S45" s="18">
        <f t="shared" si="11"/>
        <v>409800000</v>
      </c>
      <c r="T45" s="20">
        <f>물량원가기준!I45+IF(B45&gt;=설정!$B$6,I45*(설정!$B$18-설정!$B$13),0)</f>
        <v>50000</v>
      </c>
      <c r="U45" s="20">
        <f>IF(OR(COUNT(물량원가기준!E45:J45)&lt;&gt;6,COUNTIFS(물량원가기준!$A$6:$A$100,A45)&lt;&gt;1),0,1)</f>
        <v>1</v>
      </c>
    </row>
    <row r="46" spans="1:21" ht="30" customHeight="1">
      <c r="A46" s="12" t="str">
        <f>물량원가기준!A46</f>
        <v>2027-09|A-a</v>
      </c>
      <c r="B46" s="23">
        <f>물량원가기준!B46</f>
        <v>46631</v>
      </c>
      <c r="C46" s="12" t="str">
        <f>물량원가기준!C46</f>
        <v>A-a</v>
      </c>
      <c r="D46" s="19">
        <f>물량원가기준!E46</f>
        <v>3914</v>
      </c>
      <c r="E46" s="19">
        <f>물량원가기준!F46</f>
        <v>3914</v>
      </c>
      <c r="F46" s="19">
        <f>물량원가기준!G46</f>
        <v>300000</v>
      </c>
      <c r="G46" s="19">
        <f>SUM(물량원가기준!H46:J46)</f>
        <v>270000</v>
      </c>
      <c r="H46" s="17">
        <f t="shared" si="6"/>
        <v>30000</v>
      </c>
      <c r="I46" s="19">
        <f>부품모델매핑!D6</f>
        <v>1</v>
      </c>
      <c r="J46" s="19">
        <f>IF(ISNUMBER(물량원가기준!F46),E46*I46,"미산출")</f>
        <v>3914</v>
      </c>
      <c r="K46" s="17">
        <f t="shared" si="7"/>
        <v>117420000</v>
      </c>
      <c r="L46" s="17">
        <f t="shared" si="8"/>
        <v>117420000</v>
      </c>
      <c r="M46" s="17">
        <f t="shared" si="9"/>
        <v>0</v>
      </c>
      <c r="N46" s="19">
        <f>IF(AND(B46&gt;=설정!$B$6,B46&lt;설정!$B$23),1,0)</f>
        <v>1</v>
      </c>
      <c r="O46" s="19">
        <f>IF(AND(B46&gt;=설정!$B$6,B46&lt;설정!$B$24),1,0)</f>
        <v>1</v>
      </c>
      <c r="P46" s="19">
        <f>IF(B46&gt;=설정!$B$6,J46*(설정!$B$18-설정!$B$13),0)</f>
        <v>469680</v>
      </c>
      <c r="Q46" s="17">
        <f t="shared" si="10"/>
        <v>116950320</v>
      </c>
      <c r="R46" s="19">
        <f>IF(물량원가기준!D46="","",물량원가기준!D46*H46)</f>
        <v>123600000</v>
      </c>
      <c r="S46" s="17">
        <f t="shared" si="11"/>
        <v>1174200000</v>
      </c>
      <c r="T46" s="19">
        <f>물량원가기준!I46+IF(B46&gt;=설정!$B$6,I46*(설정!$B$18-설정!$B$13),0)</f>
        <v>75120</v>
      </c>
      <c r="U46" s="19">
        <f>IF(OR(COUNT(물량원가기준!E46:J46)&lt;&gt;6,COUNTIFS(물량원가기준!$A$6:$A$100,A46)&lt;&gt;1),0,1)</f>
        <v>1</v>
      </c>
    </row>
    <row r="47" spans="1:21" ht="30" customHeight="1">
      <c r="A47" s="11" t="str">
        <f>물량원가기준!A47</f>
        <v>2027-09|A-b</v>
      </c>
      <c r="B47" s="24">
        <f>물량원가기준!B47</f>
        <v>46631</v>
      </c>
      <c r="C47" s="11" t="str">
        <f>물량원가기준!C47</f>
        <v>A-b</v>
      </c>
      <c r="D47" s="20">
        <f>물량원가기준!E47</f>
        <v>9785</v>
      </c>
      <c r="E47" s="20">
        <f>물량원가기준!F47</f>
        <v>9785</v>
      </c>
      <c r="F47" s="20">
        <f>물량원가기준!G47</f>
        <v>180000</v>
      </c>
      <c r="G47" s="20">
        <f>SUM(물량원가기준!H47:J47)</f>
        <v>160000</v>
      </c>
      <c r="H47" s="18">
        <f t="shared" si="6"/>
        <v>20000</v>
      </c>
      <c r="I47" s="20">
        <f>부품모델매핑!D7</f>
        <v>1</v>
      </c>
      <c r="J47" s="20">
        <f>IF(ISNUMBER(물량원가기준!F47),E47*I47,"미산출")</f>
        <v>9785</v>
      </c>
      <c r="K47" s="18">
        <f t="shared" si="7"/>
        <v>195700000</v>
      </c>
      <c r="L47" s="18">
        <f t="shared" si="8"/>
        <v>195700000</v>
      </c>
      <c r="M47" s="18">
        <f t="shared" si="9"/>
        <v>0</v>
      </c>
      <c r="N47" s="20">
        <f>IF(AND(B47&gt;=설정!$B$6,B47&lt;설정!$B$23),1,0)</f>
        <v>1</v>
      </c>
      <c r="O47" s="20">
        <f>IF(AND(B47&gt;=설정!$B$6,B47&lt;설정!$B$24),1,0)</f>
        <v>1</v>
      </c>
      <c r="P47" s="20">
        <f>IF(B47&gt;=설정!$B$6,J47*(설정!$B$18-설정!$B$13),0)</f>
        <v>1174200</v>
      </c>
      <c r="Q47" s="18">
        <f t="shared" si="10"/>
        <v>194525800</v>
      </c>
      <c r="R47" s="20">
        <f>IF(물량원가기준!D47="","",물량원가기준!D47*H47)</f>
        <v>206000000</v>
      </c>
      <c r="S47" s="18">
        <f t="shared" si="11"/>
        <v>1761300000</v>
      </c>
      <c r="T47" s="20">
        <f>물량원가기준!I47+IF(B47&gt;=설정!$B$6,I47*(설정!$B$18-설정!$B$13),0)</f>
        <v>95120</v>
      </c>
      <c r="U47" s="20">
        <f>IF(OR(COUNT(물량원가기준!E47:J47)&lt;&gt;6,COUNTIFS(물량원가기준!$A$6:$A$100,A47)&lt;&gt;1),0,1)</f>
        <v>1</v>
      </c>
    </row>
    <row r="48" spans="1:21" ht="30" customHeight="1">
      <c r="A48" s="12" t="str">
        <f>물량원가기준!A48</f>
        <v>2027-09|A-c</v>
      </c>
      <c r="B48" s="23">
        <f>물량원가기준!B48</f>
        <v>46631</v>
      </c>
      <c r="C48" s="12" t="str">
        <f>물량원가기준!C48</f>
        <v>A-c</v>
      </c>
      <c r="D48" s="19">
        <f>물량원가기준!E48</f>
        <v>6118</v>
      </c>
      <c r="E48" s="19">
        <f>물량원가기준!F48</f>
        <v>6118</v>
      </c>
      <c r="F48" s="19">
        <f>물량원가기준!G48</f>
        <v>230000</v>
      </c>
      <c r="G48" s="19">
        <f>SUM(물량원가기준!H48:J48)</f>
        <v>202000</v>
      </c>
      <c r="H48" s="17">
        <f t="shared" si="6"/>
        <v>28000</v>
      </c>
      <c r="I48" s="19">
        <f>부품모델매핑!D8</f>
        <v>0</v>
      </c>
      <c r="J48" s="19">
        <f>IF(ISNUMBER(물량원가기준!F48),E48*I48,"미산출")</f>
        <v>0</v>
      </c>
      <c r="K48" s="17">
        <f t="shared" si="7"/>
        <v>171304000</v>
      </c>
      <c r="L48" s="17">
        <f t="shared" si="8"/>
        <v>171304000</v>
      </c>
      <c r="M48" s="17">
        <f t="shared" si="9"/>
        <v>0</v>
      </c>
      <c r="N48" s="19">
        <f>IF(AND(B48&gt;=설정!$B$6,B48&lt;설정!$B$23),1,0)</f>
        <v>1</v>
      </c>
      <c r="O48" s="19">
        <f>IF(AND(B48&gt;=설정!$B$6,B48&lt;설정!$B$24),1,0)</f>
        <v>1</v>
      </c>
      <c r="P48" s="19">
        <f>IF(B48&gt;=설정!$B$6,J48*(설정!$B$18-설정!$B$13),0)</f>
        <v>0</v>
      </c>
      <c r="Q48" s="17">
        <f t="shared" si="10"/>
        <v>171304000</v>
      </c>
      <c r="R48" s="19">
        <f>IF(물량원가기준!D48="","",물량원가기준!D48*H48)</f>
        <v>173040000</v>
      </c>
      <c r="S48" s="17">
        <f t="shared" si="11"/>
        <v>1407140000</v>
      </c>
      <c r="T48" s="19">
        <f>물량원가기준!I48+IF(B48&gt;=설정!$B$6,I48*(설정!$B$18-설정!$B$13),0)</f>
        <v>60000</v>
      </c>
      <c r="U48" s="19">
        <f>IF(OR(COUNT(물량원가기준!E48:J48)&lt;&gt;6,COUNTIFS(물량원가기준!$A$6:$A$100,A48)&lt;&gt;1),0,1)</f>
        <v>1</v>
      </c>
    </row>
    <row r="49" spans="1:21" ht="30" customHeight="1">
      <c r="A49" s="11" t="str">
        <f>물량원가기준!A49</f>
        <v>2027-09|A-d</v>
      </c>
      <c r="B49" s="24">
        <f>물량원가기준!B49</f>
        <v>46631</v>
      </c>
      <c r="C49" s="11" t="str">
        <f>물량원가기준!C49</f>
        <v>A-d</v>
      </c>
      <c r="D49" s="20">
        <f>물량원가기준!E49</f>
        <v>5202</v>
      </c>
      <c r="E49" s="20">
        <f>물량원가기준!F49</f>
        <v>5202</v>
      </c>
      <c r="F49" s="20">
        <f>물량원가기준!G49</f>
        <v>210000</v>
      </c>
      <c r="G49" s="20">
        <f>SUM(물량원가기준!H49:J49)</f>
        <v>185000</v>
      </c>
      <c r="H49" s="18">
        <f t="shared" si="6"/>
        <v>25000</v>
      </c>
      <c r="I49" s="20">
        <f>부품모델매핑!D9</f>
        <v>0</v>
      </c>
      <c r="J49" s="20">
        <f>IF(ISNUMBER(물량원가기준!F49),E49*I49,"미산출")</f>
        <v>0</v>
      </c>
      <c r="K49" s="18">
        <f t="shared" si="7"/>
        <v>130050000</v>
      </c>
      <c r="L49" s="18">
        <f t="shared" si="8"/>
        <v>130050000</v>
      </c>
      <c r="M49" s="18">
        <f t="shared" si="9"/>
        <v>0</v>
      </c>
      <c r="N49" s="20">
        <f>IF(AND(B49&gt;=설정!$B$6,B49&lt;설정!$B$23),1,0)</f>
        <v>1</v>
      </c>
      <c r="O49" s="20">
        <f>IF(AND(B49&gt;=설정!$B$6,B49&lt;설정!$B$24),1,0)</f>
        <v>1</v>
      </c>
      <c r="P49" s="20">
        <f>IF(B49&gt;=설정!$B$6,J49*(설정!$B$18-설정!$B$13),0)</f>
        <v>0</v>
      </c>
      <c r="Q49" s="18">
        <f t="shared" si="10"/>
        <v>130050000</v>
      </c>
      <c r="R49" s="20">
        <f>IF(물량원가기준!D49="","",물량원가기준!D49*H49)</f>
        <v>128750000</v>
      </c>
      <c r="S49" s="18">
        <f t="shared" si="11"/>
        <v>1092420000</v>
      </c>
      <c r="T49" s="20">
        <f>물량원가기준!I49+IF(B49&gt;=설정!$B$6,I49*(설정!$B$18-설정!$B$13),0)</f>
        <v>65000</v>
      </c>
      <c r="U49" s="20">
        <f>IF(OR(COUNT(물량원가기준!E49:J49)&lt;&gt;6,COUNTIFS(물량원가기준!$A$6:$A$100,A49)&lt;&gt;1),0,1)</f>
        <v>1</v>
      </c>
    </row>
    <row r="50" spans="1:21" ht="30" customHeight="1">
      <c r="A50" s="12" t="str">
        <f>물량원가기준!A50</f>
        <v>2027-09|A-e</v>
      </c>
      <c r="B50" s="23">
        <f>물량원가기준!B50</f>
        <v>46631</v>
      </c>
      <c r="C50" s="12" t="str">
        <f>물량원가기준!C50</f>
        <v>A-e</v>
      </c>
      <c r="D50" s="19">
        <f>물량원가기준!E50</f>
        <v>3059</v>
      </c>
      <c r="E50" s="19">
        <f>물량원가기준!F50</f>
        <v>3059</v>
      </c>
      <c r="F50" s="19">
        <f>물량원가기준!G50</f>
        <v>150000</v>
      </c>
      <c r="G50" s="19">
        <f>SUM(물량원가기준!H50:J50)</f>
        <v>132000</v>
      </c>
      <c r="H50" s="17">
        <f t="shared" si="6"/>
        <v>18000</v>
      </c>
      <c r="I50" s="19">
        <f>부품모델매핑!D10</f>
        <v>0</v>
      </c>
      <c r="J50" s="19">
        <f>IF(ISNUMBER(물량원가기준!F50),E50*I50,"미산출")</f>
        <v>0</v>
      </c>
      <c r="K50" s="17">
        <f t="shared" si="7"/>
        <v>55062000</v>
      </c>
      <c r="L50" s="17">
        <f t="shared" si="8"/>
        <v>55062000</v>
      </c>
      <c r="M50" s="17">
        <f t="shared" si="9"/>
        <v>0</v>
      </c>
      <c r="N50" s="19">
        <f>IF(AND(B50&gt;=설정!$B$6,B50&lt;설정!$B$23),1,0)</f>
        <v>1</v>
      </c>
      <c r="O50" s="19">
        <f>IF(AND(B50&gt;=설정!$B$6,B50&lt;설정!$B$24),1,0)</f>
        <v>1</v>
      </c>
      <c r="P50" s="19">
        <f>IF(B50&gt;=설정!$B$6,J50*(설정!$B$18-설정!$B$13),0)</f>
        <v>0</v>
      </c>
      <c r="Q50" s="17">
        <f t="shared" si="10"/>
        <v>55062000</v>
      </c>
      <c r="R50" s="19">
        <f>IF(물량원가기준!D50="","",물량원가기준!D50*H50)</f>
        <v>55620000</v>
      </c>
      <c r="S50" s="17">
        <f t="shared" si="11"/>
        <v>458850000</v>
      </c>
      <c r="T50" s="19">
        <f>물량원가기준!I50+IF(B50&gt;=설정!$B$6,I50*(설정!$B$18-설정!$B$13),0)</f>
        <v>50000</v>
      </c>
      <c r="U50" s="19">
        <f>IF(OR(COUNT(물량원가기준!E50:J50)&lt;&gt;6,COUNTIFS(물량원가기준!$A$6:$A$100,A50)&lt;&gt;1),0,1)</f>
        <v>1</v>
      </c>
    </row>
    <row r="51" spans="1:21" ht="30" customHeight="1">
      <c r="A51" s="11" t="str">
        <f>물량원가기준!A51</f>
        <v>2027-10|A-a</v>
      </c>
      <c r="B51" s="24">
        <f>물량원가기준!B51</f>
        <v>46661</v>
      </c>
      <c r="C51" s="11" t="str">
        <f>물량원가기준!C51</f>
        <v>A-a</v>
      </c>
      <c r="D51" s="20">
        <f>물량원가기준!E51</f>
        <v>3876</v>
      </c>
      <c r="E51" s="20">
        <f>물량원가기준!F51</f>
        <v>3876</v>
      </c>
      <c r="F51" s="20">
        <f>물량원가기준!G51</f>
        <v>300000</v>
      </c>
      <c r="G51" s="20">
        <f>SUM(물량원가기준!H51:J51)</f>
        <v>270000</v>
      </c>
      <c r="H51" s="18">
        <f t="shared" si="6"/>
        <v>30000</v>
      </c>
      <c r="I51" s="20">
        <f>부품모델매핑!D6</f>
        <v>1</v>
      </c>
      <c r="J51" s="20">
        <f>IF(ISNUMBER(물량원가기준!F51),E51*I51,"미산출")</f>
        <v>3876</v>
      </c>
      <c r="K51" s="18">
        <f t="shared" si="7"/>
        <v>116280000</v>
      </c>
      <c r="L51" s="18">
        <f t="shared" si="8"/>
        <v>116280000</v>
      </c>
      <c r="M51" s="18">
        <f t="shared" si="9"/>
        <v>0</v>
      </c>
      <c r="N51" s="20">
        <f>IF(AND(B51&gt;=설정!$B$6,B51&lt;설정!$B$23),1,0)</f>
        <v>1</v>
      </c>
      <c r="O51" s="20">
        <f>IF(AND(B51&gt;=설정!$B$6,B51&lt;설정!$B$24),1,0)</f>
        <v>1</v>
      </c>
      <c r="P51" s="20">
        <f>IF(B51&gt;=설정!$B$6,J51*(설정!$B$18-설정!$B$13),0)</f>
        <v>465120</v>
      </c>
      <c r="Q51" s="18">
        <f t="shared" si="10"/>
        <v>115814880</v>
      </c>
      <c r="R51" s="20">
        <f>IF(물량원가기준!D51="","",물량원가기준!D51*H51)</f>
        <v>122400000</v>
      </c>
      <c r="S51" s="18">
        <f t="shared" si="11"/>
        <v>1162800000</v>
      </c>
      <c r="T51" s="20">
        <f>물량원가기준!I51+IF(B51&gt;=설정!$B$6,I51*(설정!$B$18-설정!$B$13),0)</f>
        <v>75120</v>
      </c>
      <c r="U51" s="20">
        <f>IF(OR(COUNT(물량원가기준!E51:J51)&lt;&gt;6,COUNTIFS(물량원가기준!$A$6:$A$100,A51)&lt;&gt;1),0,1)</f>
        <v>1</v>
      </c>
    </row>
    <row r="52" spans="1:21" ht="30" customHeight="1">
      <c r="A52" s="12" t="str">
        <f>물량원가기준!A52</f>
        <v>2027-10|A-b</v>
      </c>
      <c r="B52" s="23">
        <f>물량원가기준!B52</f>
        <v>46661</v>
      </c>
      <c r="C52" s="12" t="str">
        <f>물량원가기준!C52</f>
        <v>A-b</v>
      </c>
      <c r="D52" s="19">
        <f>물량원가기준!E52</f>
        <v>9690</v>
      </c>
      <c r="E52" s="19">
        <f>물량원가기준!F52</f>
        <v>9690</v>
      </c>
      <c r="F52" s="19">
        <f>물량원가기준!G52</f>
        <v>180000</v>
      </c>
      <c r="G52" s="19">
        <f>SUM(물량원가기준!H52:J52)</f>
        <v>160000</v>
      </c>
      <c r="H52" s="17">
        <f t="shared" si="6"/>
        <v>20000</v>
      </c>
      <c r="I52" s="19">
        <f>부품모델매핑!D7</f>
        <v>1</v>
      </c>
      <c r="J52" s="19">
        <f>IF(ISNUMBER(물량원가기준!F52),E52*I52,"미산출")</f>
        <v>9690</v>
      </c>
      <c r="K52" s="17">
        <f t="shared" si="7"/>
        <v>193800000</v>
      </c>
      <c r="L52" s="17">
        <f t="shared" si="8"/>
        <v>193800000</v>
      </c>
      <c r="M52" s="17">
        <f t="shared" si="9"/>
        <v>0</v>
      </c>
      <c r="N52" s="19">
        <f>IF(AND(B52&gt;=설정!$B$6,B52&lt;설정!$B$23),1,0)</f>
        <v>1</v>
      </c>
      <c r="O52" s="19">
        <f>IF(AND(B52&gt;=설정!$B$6,B52&lt;설정!$B$24),1,0)</f>
        <v>1</v>
      </c>
      <c r="P52" s="19">
        <f>IF(B52&gt;=설정!$B$6,J52*(설정!$B$18-설정!$B$13),0)</f>
        <v>1162800</v>
      </c>
      <c r="Q52" s="17">
        <f t="shared" si="10"/>
        <v>192637200</v>
      </c>
      <c r="R52" s="19">
        <f>IF(물량원가기준!D52="","",물량원가기준!D52*H52)</f>
        <v>204000000</v>
      </c>
      <c r="S52" s="17">
        <f t="shared" si="11"/>
        <v>1744200000</v>
      </c>
      <c r="T52" s="19">
        <f>물량원가기준!I52+IF(B52&gt;=설정!$B$6,I52*(설정!$B$18-설정!$B$13),0)</f>
        <v>95120</v>
      </c>
      <c r="U52" s="19">
        <f>IF(OR(COUNT(물량원가기준!E52:J52)&lt;&gt;6,COUNTIFS(물량원가기준!$A$6:$A$100,A52)&lt;&gt;1),0,1)</f>
        <v>1</v>
      </c>
    </row>
    <row r="53" spans="1:21" ht="30" customHeight="1">
      <c r="A53" s="11" t="str">
        <f>물량원가기준!A53</f>
        <v>2027-10|A-c</v>
      </c>
      <c r="B53" s="24">
        <f>물량원가기준!B53</f>
        <v>46661</v>
      </c>
      <c r="C53" s="11" t="str">
        <f>물량원가기준!C53</f>
        <v>A-c</v>
      </c>
      <c r="D53" s="20">
        <f>물량원가기준!E53</f>
        <v>6059</v>
      </c>
      <c r="E53" s="20">
        <f>물량원가기준!F53</f>
        <v>6059</v>
      </c>
      <c r="F53" s="20">
        <f>물량원가기준!G53</f>
        <v>230000</v>
      </c>
      <c r="G53" s="20">
        <f>SUM(물량원가기준!H53:J53)</f>
        <v>202000</v>
      </c>
      <c r="H53" s="18">
        <f t="shared" si="6"/>
        <v>28000</v>
      </c>
      <c r="I53" s="20">
        <f>부품모델매핑!D8</f>
        <v>0</v>
      </c>
      <c r="J53" s="20">
        <f>IF(ISNUMBER(물량원가기준!F53),E53*I53,"미산출")</f>
        <v>0</v>
      </c>
      <c r="K53" s="18">
        <f t="shared" si="7"/>
        <v>169652000</v>
      </c>
      <c r="L53" s="18">
        <f t="shared" si="8"/>
        <v>169652000</v>
      </c>
      <c r="M53" s="18">
        <f t="shared" si="9"/>
        <v>0</v>
      </c>
      <c r="N53" s="20">
        <f>IF(AND(B53&gt;=설정!$B$6,B53&lt;설정!$B$23),1,0)</f>
        <v>1</v>
      </c>
      <c r="O53" s="20">
        <f>IF(AND(B53&gt;=설정!$B$6,B53&lt;설정!$B$24),1,0)</f>
        <v>1</v>
      </c>
      <c r="P53" s="20">
        <f>IF(B53&gt;=설정!$B$6,J53*(설정!$B$18-설정!$B$13),0)</f>
        <v>0</v>
      </c>
      <c r="Q53" s="18">
        <f t="shared" si="10"/>
        <v>169652000</v>
      </c>
      <c r="R53" s="20">
        <f>IF(물량원가기준!D53="","",물량원가기준!D53*H53)</f>
        <v>171360000</v>
      </c>
      <c r="S53" s="18">
        <f t="shared" si="11"/>
        <v>1393570000</v>
      </c>
      <c r="T53" s="20">
        <f>물량원가기준!I53+IF(B53&gt;=설정!$B$6,I53*(설정!$B$18-설정!$B$13),0)</f>
        <v>60000</v>
      </c>
      <c r="U53" s="20">
        <f>IF(OR(COUNT(물량원가기준!E53:J53)&lt;&gt;6,COUNTIFS(물량원가기준!$A$6:$A$100,A53)&lt;&gt;1),0,1)</f>
        <v>1</v>
      </c>
    </row>
    <row r="54" spans="1:21" ht="30" customHeight="1">
      <c r="A54" s="12" t="str">
        <f>물량원가기준!A54</f>
        <v>2027-10|A-d</v>
      </c>
      <c r="B54" s="23">
        <f>물량원가기준!B54</f>
        <v>46661</v>
      </c>
      <c r="C54" s="12" t="str">
        <f>물량원가기준!C54</f>
        <v>A-d</v>
      </c>
      <c r="D54" s="19">
        <f>물량원가기준!E54</f>
        <v>5151</v>
      </c>
      <c r="E54" s="19">
        <f>물량원가기준!F54</f>
        <v>5151</v>
      </c>
      <c r="F54" s="19">
        <f>물량원가기준!G54</f>
        <v>210000</v>
      </c>
      <c r="G54" s="19">
        <f>SUM(물량원가기준!H54:J54)</f>
        <v>185000</v>
      </c>
      <c r="H54" s="17">
        <f t="shared" si="6"/>
        <v>25000</v>
      </c>
      <c r="I54" s="19">
        <f>부품모델매핑!D9</f>
        <v>0</v>
      </c>
      <c r="J54" s="19">
        <f>IF(ISNUMBER(물량원가기준!F54),E54*I54,"미산출")</f>
        <v>0</v>
      </c>
      <c r="K54" s="17">
        <f t="shared" si="7"/>
        <v>128775000</v>
      </c>
      <c r="L54" s="17">
        <f t="shared" si="8"/>
        <v>128775000</v>
      </c>
      <c r="M54" s="17">
        <f t="shared" si="9"/>
        <v>0</v>
      </c>
      <c r="N54" s="19">
        <f>IF(AND(B54&gt;=설정!$B$6,B54&lt;설정!$B$23),1,0)</f>
        <v>1</v>
      </c>
      <c r="O54" s="19">
        <f>IF(AND(B54&gt;=설정!$B$6,B54&lt;설정!$B$24),1,0)</f>
        <v>1</v>
      </c>
      <c r="P54" s="19">
        <f>IF(B54&gt;=설정!$B$6,J54*(설정!$B$18-설정!$B$13),0)</f>
        <v>0</v>
      </c>
      <c r="Q54" s="17">
        <f t="shared" si="10"/>
        <v>128775000</v>
      </c>
      <c r="R54" s="19">
        <f>IF(물량원가기준!D54="","",물량원가기준!D54*H54)</f>
        <v>127500000</v>
      </c>
      <c r="S54" s="17">
        <f t="shared" si="11"/>
        <v>1081710000</v>
      </c>
      <c r="T54" s="19">
        <f>물량원가기준!I54+IF(B54&gt;=설정!$B$6,I54*(설정!$B$18-설정!$B$13),0)</f>
        <v>65000</v>
      </c>
      <c r="U54" s="19">
        <f>IF(OR(COUNT(물량원가기준!E54:J54)&lt;&gt;6,COUNTIFS(물량원가기준!$A$6:$A$100,A54)&lt;&gt;1),0,1)</f>
        <v>1</v>
      </c>
    </row>
    <row r="55" spans="1:21" ht="30" customHeight="1">
      <c r="A55" s="11" t="str">
        <f>물량원가기준!A55</f>
        <v>2027-10|A-e</v>
      </c>
      <c r="B55" s="24">
        <f>물량원가기준!B55</f>
        <v>46661</v>
      </c>
      <c r="C55" s="11" t="str">
        <f>물량원가기준!C55</f>
        <v>A-e</v>
      </c>
      <c r="D55" s="20">
        <f>물량원가기준!E55</f>
        <v>3029</v>
      </c>
      <c r="E55" s="20">
        <f>물량원가기준!F55</f>
        <v>3029</v>
      </c>
      <c r="F55" s="20">
        <f>물량원가기준!G55</f>
        <v>150000</v>
      </c>
      <c r="G55" s="20">
        <f>SUM(물량원가기준!H55:J55)</f>
        <v>132000</v>
      </c>
      <c r="H55" s="18">
        <f t="shared" si="6"/>
        <v>18000</v>
      </c>
      <c r="I55" s="20">
        <f>부품모델매핑!D10</f>
        <v>0</v>
      </c>
      <c r="J55" s="20">
        <f>IF(ISNUMBER(물량원가기준!F55),E55*I55,"미산출")</f>
        <v>0</v>
      </c>
      <c r="K55" s="18">
        <f t="shared" si="7"/>
        <v>54522000</v>
      </c>
      <c r="L55" s="18">
        <f t="shared" si="8"/>
        <v>54522000</v>
      </c>
      <c r="M55" s="18">
        <f t="shared" si="9"/>
        <v>0</v>
      </c>
      <c r="N55" s="20">
        <f>IF(AND(B55&gt;=설정!$B$6,B55&lt;설정!$B$23),1,0)</f>
        <v>1</v>
      </c>
      <c r="O55" s="20">
        <f>IF(AND(B55&gt;=설정!$B$6,B55&lt;설정!$B$24),1,0)</f>
        <v>1</v>
      </c>
      <c r="P55" s="20">
        <f>IF(B55&gt;=설정!$B$6,J55*(설정!$B$18-설정!$B$13),0)</f>
        <v>0</v>
      </c>
      <c r="Q55" s="18">
        <f t="shared" si="10"/>
        <v>54522000</v>
      </c>
      <c r="R55" s="20">
        <f>IF(물량원가기준!D55="","",물량원가기준!D55*H55)</f>
        <v>55080000</v>
      </c>
      <c r="S55" s="18">
        <f t="shared" si="11"/>
        <v>454350000</v>
      </c>
      <c r="T55" s="20">
        <f>물량원가기준!I55+IF(B55&gt;=설정!$B$6,I55*(설정!$B$18-설정!$B$13),0)</f>
        <v>50000</v>
      </c>
      <c r="U55" s="20">
        <f>IF(OR(COUNT(물량원가기준!E55:J55)&lt;&gt;6,COUNTIFS(물량원가기준!$A$6:$A$100,A55)&lt;&gt;1),0,1)</f>
        <v>1</v>
      </c>
    </row>
    <row r="56" spans="1:21" ht="30" customHeight="1">
      <c r="A56" s="12" t="str">
        <f>물량원가기준!A56</f>
        <v>2027-11|A-a</v>
      </c>
      <c r="B56" s="23">
        <f>물량원가기준!B56</f>
        <v>46692</v>
      </c>
      <c r="C56" s="12" t="str">
        <f>물량원가기준!C56</f>
        <v>A-a</v>
      </c>
      <c r="D56" s="19">
        <f>물량원가기준!E56</f>
        <v>3800</v>
      </c>
      <c r="E56" s="19">
        <f>물량원가기준!F56</f>
        <v>3800</v>
      </c>
      <c r="F56" s="19">
        <f>물량원가기준!G56</f>
        <v>300000</v>
      </c>
      <c r="G56" s="19">
        <f>SUM(물량원가기준!H56:J56)</f>
        <v>270000</v>
      </c>
      <c r="H56" s="17">
        <f t="shared" si="6"/>
        <v>30000</v>
      </c>
      <c r="I56" s="19">
        <f>부품모델매핑!D6</f>
        <v>1</v>
      </c>
      <c r="J56" s="19">
        <f>IF(ISNUMBER(물량원가기준!F56),E56*I56,"미산출")</f>
        <v>3800</v>
      </c>
      <c r="K56" s="17">
        <f t="shared" si="7"/>
        <v>114000000</v>
      </c>
      <c r="L56" s="17">
        <f t="shared" si="8"/>
        <v>114000000</v>
      </c>
      <c r="M56" s="17">
        <f t="shared" si="9"/>
        <v>0</v>
      </c>
      <c r="N56" s="19">
        <f>IF(AND(B56&gt;=설정!$B$6,B56&lt;설정!$B$23),1,0)</f>
        <v>1</v>
      </c>
      <c r="O56" s="19">
        <f>IF(AND(B56&gt;=설정!$B$6,B56&lt;설정!$B$24),1,0)</f>
        <v>1</v>
      </c>
      <c r="P56" s="19">
        <f>IF(B56&gt;=설정!$B$6,J56*(설정!$B$18-설정!$B$13),0)</f>
        <v>456000</v>
      </c>
      <c r="Q56" s="17">
        <f t="shared" si="10"/>
        <v>113544000</v>
      </c>
      <c r="R56" s="19">
        <f>IF(물량원가기준!D56="","",물량원가기준!D56*H56)</f>
        <v>120000000</v>
      </c>
      <c r="S56" s="17">
        <f t="shared" si="11"/>
        <v>1140000000</v>
      </c>
      <c r="T56" s="19">
        <f>물량원가기준!I56+IF(B56&gt;=설정!$B$6,I56*(설정!$B$18-설정!$B$13),0)</f>
        <v>75120</v>
      </c>
      <c r="U56" s="19">
        <f>IF(OR(COUNT(물량원가기준!E56:J56)&lt;&gt;6,COUNTIFS(물량원가기준!$A$6:$A$100,A56)&lt;&gt;1),0,1)</f>
        <v>1</v>
      </c>
    </row>
    <row r="57" spans="1:21" ht="30" customHeight="1">
      <c r="A57" s="11" t="str">
        <f>물량원가기준!A57</f>
        <v>2027-11|A-b</v>
      </c>
      <c r="B57" s="24">
        <f>물량원가기준!B57</f>
        <v>46692</v>
      </c>
      <c r="C57" s="11" t="str">
        <f>물량원가기준!C57</f>
        <v>A-b</v>
      </c>
      <c r="D57" s="20">
        <f>물량원가기준!E57</f>
        <v>9500</v>
      </c>
      <c r="E57" s="20">
        <f>물량원가기준!F57</f>
        <v>9500</v>
      </c>
      <c r="F57" s="20">
        <f>물량원가기준!G57</f>
        <v>180000</v>
      </c>
      <c r="G57" s="20">
        <f>SUM(물량원가기준!H57:J57)</f>
        <v>160000</v>
      </c>
      <c r="H57" s="18">
        <f t="shared" si="6"/>
        <v>20000</v>
      </c>
      <c r="I57" s="20">
        <f>부품모델매핑!D7</f>
        <v>1</v>
      </c>
      <c r="J57" s="20">
        <f>IF(ISNUMBER(물량원가기준!F57),E57*I57,"미산출")</f>
        <v>9500</v>
      </c>
      <c r="K57" s="18">
        <f t="shared" si="7"/>
        <v>190000000</v>
      </c>
      <c r="L57" s="18">
        <f t="shared" si="8"/>
        <v>190000000</v>
      </c>
      <c r="M57" s="18">
        <f t="shared" si="9"/>
        <v>0</v>
      </c>
      <c r="N57" s="20">
        <f>IF(AND(B57&gt;=설정!$B$6,B57&lt;설정!$B$23),1,0)</f>
        <v>1</v>
      </c>
      <c r="O57" s="20">
        <f>IF(AND(B57&gt;=설정!$B$6,B57&lt;설정!$B$24),1,0)</f>
        <v>1</v>
      </c>
      <c r="P57" s="20">
        <f>IF(B57&gt;=설정!$B$6,J57*(설정!$B$18-설정!$B$13),0)</f>
        <v>1140000</v>
      </c>
      <c r="Q57" s="18">
        <f t="shared" si="10"/>
        <v>188860000</v>
      </c>
      <c r="R57" s="20">
        <f>IF(물량원가기준!D57="","",물량원가기준!D57*H57)</f>
        <v>200000000</v>
      </c>
      <c r="S57" s="18">
        <f t="shared" si="11"/>
        <v>1710000000</v>
      </c>
      <c r="T57" s="20">
        <f>물량원가기준!I57+IF(B57&gt;=설정!$B$6,I57*(설정!$B$18-설정!$B$13),0)</f>
        <v>95120</v>
      </c>
      <c r="U57" s="20">
        <f>IF(OR(COUNT(물량원가기준!E57:J57)&lt;&gt;6,COUNTIFS(물량원가기준!$A$6:$A$100,A57)&lt;&gt;1),0,1)</f>
        <v>1</v>
      </c>
    </row>
    <row r="58" spans="1:21" ht="30" customHeight="1">
      <c r="A58" s="12" t="str">
        <f>물량원가기준!A58</f>
        <v>2027-11|A-c</v>
      </c>
      <c r="B58" s="23">
        <f>물량원가기준!B58</f>
        <v>46692</v>
      </c>
      <c r="C58" s="12" t="str">
        <f>물량원가기준!C58</f>
        <v>A-c</v>
      </c>
      <c r="D58" s="19">
        <f>물량원가기준!E58</f>
        <v>5940</v>
      </c>
      <c r="E58" s="19">
        <f>물량원가기준!F58</f>
        <v>5940</v>
      </c>
      <c r="F58" s="19">
        <f>물량원가기준!G58</f>
        <v>230000</v>
      </c>
      <c r="G58" s="19">
        <f>SUM(물량원가기준!H58:J58)</f>
        <v>202000</v>
      </c>
      <c r="H58" s="17">
        <f t="shared" si="6"/>
        <v>28000</v>
      </c>
      <c r="I58" s="19">
        <f>부품모델매핑!D8</f>
        <v>0</v>
      </c>
      <c r="J58" s="19">
        <f>IF(ISNUMBER(물량원가기준!F58),E58*I58,"미산출")</f>
        <v>0</v>
      </c>
      <c r="K58" s="17">
        <f t="shared" si="7"/>
        <v>166320000</v>
      </c>
      <c r="L58" s="17">
        <f t="shared" si="8"/>
        <v>166320000</v>
      </c>
      <c r="M58" s="17">
        <f t="shared" si="9"/>
        <v>0</v>
      </c>
      <c r="N58" s="19">
        <f>IF(AND(B58&gt;=설정!$B$6,B58&lt;설정!$B$23),1,0)</f>
        <v>1</v>
      </c>
      <c r="O58" s="19">
        <f>IF(AND(B58&gt;=설정!$B$6,B58&lt;설정!$B$24),1,0)</f>
        <v>1</v>
      </c>
      <c r="P58" s="19">
        <f>IF(B58&gt;=설정!$B$6,J58*(설정!$B$18-설정!$B$13),0)</f>
        <v>0</v>
      </c>
      <c r="Q58" s="17">
        <f t="shared" si="10"/>
        <v>166320000</v>
      </c>
      <c r="R58" s="19">
        <f>IF(물량원가기준!D58="","",물량원가기준!D58*H58)</f>
        <v>168000000</v>
      </c>
      <c r="S58" s="17">
        <f t="shared" si="11"/>
        <v>1366200000</v>
      </c>
      <c r="T58" s="19">
        <f>물량원가기준!I58+IF(B58&gt;=설정!$B$6,I58*(설정!$B$18-설정!$B$13),0)</f>
        <v>60000</v>
      </c>
      <c r="U58" s="19">
        <f>IF(OR(COUNT(물량원가기준!E58:J58)&lt;&gt;6,COUNTIFS(물량원가기준!$A$6:$A$100,A58)&lt;&gt;1),0,1)</f>
        <v>1</v>
      </c>
    </row>
    <row r="59" spans="1:21" ht="30" customHeight="1">
      <c r="A59" s="11" t="str">
        <f>물량원가기준!A59</f>
        <v>2027-11|A-d</v>
      </c>
      <c r="B59" s="24">
        <f>물량원가기준!B59</f>
        <v>46692</v>
      </c>
      <c r="C59" s="11" t="str">
        <f>물량원가기준!C59</f>
        <v>A-d</v>
      </c>
      <c r="D59" s="20">
        <f>물량원가기준!E59</f>
        <v>5050</v>
      </c>
      <c r="E59" s="20">
        <f>물량원가기준!F59</f>
        <v>5050</v>
      </c>
      <c r="F59" s="20">
        <f>물량원가기준!G59</f>
        <v>210000</v>
      </c>
      <c r="G59" s="20">
        <f>SUM(물량원가기준!H59:J59)</f>
        <v>185000</v>
      </c>
      <c r="H59" s="18">
        <f t="shared" si="6"/>
        <v>25000</v>
      </c>
      <c r="I59" s="20">
        <f>부품모델매핑!D9</f>
        <v>0</v>
      </c>
      <c r="J59" s="20">
        <f>IF(ISNUMBER(물량원가기준!F59),E59*I59,"미산출")</f>
        <v>0</v>
      </c>
      <c r="K59" s="18">
        <f t="shared" si="7"/>
        <v>126250000</v>
      </c>
      <c r="L59" s="18">
        <f t="shared" si="8"/>
        <v>126250000</v>
      </c>
      <c r="M59" s="18">
        <f t="shared" si="9"/>
        <v>0</v>
      </c>
      <c r="N59" s="20">
        <f>IF(AND(B59&gt;=설정!$B$6,B59&lt;설정!$B$23),1,0)</f>
        <v>1</v>
      </c>
      <c r="O59" s="20">
        <f>IF(AND(B59&gt;=설정!$B$6,B59&lt;설정!$B$24),1,0)</f>
        <v>1</v>
      </c>
      <c r="P59" s="20">
        <f>IF(B59&gt;=설정!$B$6,J59*(설정!$B$18-설정!$B$13),0)</f>
        <v>0</v>
      </c>
      <c r="Q59" s="18">
        <f t="shared" si="10"/>
        <v>126250000</v>
      </c>
      <c r="R59" s="20">
        <f>IF(물량원가기준!D59="","",물량원가기준!D59*H59)</f>
        <v>125000000</v>
      </c>
      <c r="S59" s="18">
        <f t="shared" si="11"/>
        <v>1060500000</v>
      </c>
      <c r="T59" s="20">
        <f>물량원가기준!I59+IF(B59&gt;=설정!$B$6,I59*(설정!$B$18-설정!$B$13),0)</f>
        <v>65000</v>
      </c>
      <c r="U59" s="20">
        <f>IF(OR(COUNT(물량원가기준!E59:J59)&lt;&gt;6,COUNTIFS(물량원가기준!$A$6:$A$100,A59)&lt;&gt;1),0,1)</f>
        <v>1</v>
      </c>
    </row>
    <row r="60" spans="1:21" ht="30" customHeight="1">
      <c r="A60" s="12" t="str">
        <f>물량원가기준!A60</f>
        <v>2027-11|A-e</v>
      </c>
      <c r="B60" s="23">
        <f>물량원가기준!B60</f>
        <v>46692</v>
      </c>
      <c r="C60" s="12" t="str">
        <f>물량원가기준!C60</f>
        <v>A-e</v>
      </c>
      <c r="D60" s="19">
        <f>물량원가기준!E60</f>
        <v>2970</v>
      </c>
      <c r="E60" s="19">
        <f>물량원가기준!F60</f>
        <v>2970</v>
      </c>
      <c r="F60" s="19">
        <f>물량원가기준!G60</f>
        <v>150000</v>
      </c>
      <c r="G60" s="19">
        <f>SUM(물량원가기준!H60:J60)</f>
        <v>132000</v>
      </c>
      <c r="H60" s="17">
        <f t="shared" si="6"/>
        <v>18000</v>
      </c>
      <c r="I60" s="19">
        <f>부품모델매핑!D10</f>
        <v>0</v>
      </c>
      <c r="J60" s="19">
        <f>IF(ISNUMBER(물량원가기준!F60),E60*I60,"미산출")</f>
        <v>0</v>
      </c>
      <c r="K60" s="17">
        <f t="shared" si="7"/>
        <v>53460000</v>
      </c>
      <c r="L60" s="17">
        <f t="shared" si="8"/>
        <v>53460000</v>
      </c>
      <c r="M60" s="17">
        <f t="shared" si="9"/>
        <v>0</v>
      </c>
      <c r="N60" s="19">
        <f>IF(AND(B60&gt;=설정!$B$6,B60&lt;설정!$B$23),1,0)</f>
        <v>1</v>
      </c>
      <c r="O60" s="19">
        <f>IF(AND(B60&gt;=설정!$B$6,B60&lt;설정!$B$24),1,0)</f>
        <v>1</v>
      </c>
      <c r="P60" s="19">
        <f>IF(B60&gt;=설정!$B$6,J60*(설정!$B$18-설정!$B$13),0)</f>
        <v>0</v>
      </c>
      <c r="Q60" s="17">
        <f t="shared" si="10"/>
        <v>53460000</v>
      </c>
      <c r="R60" s="19">
        <f>IF(물량원가기준!D60="","",물량원가기준!D60*H60)</f>
        <v>54000000</v>
      </c>
      <c r="S60" s="17">
        <f t="shared" si="11"/>
        <v>445500000</v>
      </c>
      <c r="T60" s="19">
        <f>물량원가기준!I60+IF(B60&gt;=설정!$B$6,I60*(설정!$B$18-설정!$B$13),0)</f>
        <v>50000</v>
      </c>
      <c r="U60" s="19">
        <f>IF(OR(COUNT(물량원가기준!E60:J60)&lt;&gt;6,COUNTIFS(물량원가기준!$A$6:$A$100,A60)&lt;&gt;1),0,1)</f>
        <v>1</v>
      </c>
    </row>
    <row r="61" spans="1:21" ht="30" customHeight="1">
      <c r="A61" s="11" t="str">
        <f>물량원가기준!A61</f>
        <v>2027-12|A-a</v>
      </c>
      <c r="B61" s="24">
        <f>물량원가기준!B61</f>
        <v>46722</v>
      </c>
      <c r="C61" s="11" t="str">
        <f>물량원가기준!C61</f>
        <v>A-a</v>
      </c>
      <c r="D61" s="20">
        <f>물량원가기준!E61</f>
        <v>3610</v>
      </c>
      <c r="E61" s="20">
        <f>물량원가기준!F61</f>
        <v>3610</v>
      </c>
      <c r="F61" s="20">
        <f>물량원가기준!G61</f>
        <v>300000</v>
      </c>
      <c r="G61" s="20">
        <f>SUM(물량원가기준!H61:J61)</f>
        <v>270000</v>
      </c>
      <c r="H61" s="18">
        <f t="shared" si="6"/>
        <v>30000</v>
      </c>
      <c r="I61" s="20">
        <f>부품모델매핑!D6</f>
        <v>1</v>
      </c>
      <c r="J61" s="20">
        <f>IF(ISNUMBER(물량원가기준!F61),E61*I61,"미산출")</f>
        <v>3610</v>
      </c>
      <c r="K61" s="18">
        <f t="shared" si="7"/>
        <v>108300000</v>
      </c>
      <c r="L61" s="18">
        <f t="shared" si="8"/>
        <v>108300000</v>
      </c>
      <c r="M61" s="18">
        <f t="shared" si="9"/>
        <v>0</v>
      </c>
      <c r="N61" s="20">
        <f>IF(AND(B61&gt;=설정!$B$6,B61&lt;설정!$B$23),1,0)</f>
        <v>1</v>
      </c>
      <c r="O61" s="20">
        <f>IF(AND(B61&gt;=설정!$B$6,B61&lt;설정!$B$24),1,0)</f>
        <v>1</v>
      </c>
      <c r="P61" s="20">
        <f>IF(B61&gt;=설정!$B$6,J61*(설정!$B$18-설정!$B$13),0)</f>
        <v>433200</v>
      </c>
      <c r="Q61" s="18">
        <f t="shared" si="10"/>
        <v>107866800</v>
      </c>
      <c r="R61" s="20">
        <f>IF(물량원가기준!D61="","",물량원가기준!D61*H61)</f>
        <v>114000000</v>
      </c>
      <c r="S61" s="18">
        <f t="shared" si="11"/>
        <v>1083000000</v>
      </c>
      <c r="T61" s="20">
        <f>물량원가기준!I61+IF(B61&gt;=설정!$B$6,I61*(설정!$B$18-설정!$B$13),0)</f>
        <v>75120</v>
      </c>
      <c r="U61" s="20">
        <f>IF(OR(COUNT(물량원가기준!E61:J61)&lt;&gt;6,COUNTIFS(물량원가기준!$A$6:$A$100,A61)&lt;&gt;1),0,1)</f>
        <v>1</v>
      </c>
    </row>
    <row r="62" spans="1:21" ht="30" customHeight="1">
      <c r="A62" s="12" t="str">
        <f>물량원가기준!A62</f>
        <v>2027-12|A-b</v>
      </c>
      <c r="B62" s="23">
        <f>물량원가기준!B62</f>
        <v>46722</v>
      </c>
      <c r="C62" s="12" t="str">
        <f>물량원가기준!C62</f>
        <v>A-b</v>
      </c>
      <c r="D62" s="19">
        <f>물량원가기준!E62</f>
        <v>9025</v>
      </c>
      <c r="E62" s="19">
        <f>물량원가기준!F62</f>
        <v>9025</v>
      </c>
      <c r="F62" s="19">
        <f>물량원가기준!G62</f>
        <v>180000</v>
      </c>
      <c r="G62" s="19">
        <f>SUM(물량원가기준!H62:J62)</f>
        <v>160000</v>
      </c>
      <c r="H62" s="17">
        <f t="shared" si="6"/>
        <v>20000</v>
      </c>
      <c r="I62" s="19">
        <f>부품모델매핑!D7</f>
        <v>1</v>
      </c>
      <c r="J62" s="19">
        <f>IF(ISNUMBER(물량원가기준!F62),E62*I62,"미산출")</f>
        <v>9025</v>
      </c>
      <c r="K62" s="17">
        <f t="shared" si="7"/>
        <v>180500000</v>
      </c>
      <c r="L62" s="17">
        <f t="shared" si="8"/>
        <v>180500000</v>
      </c>
      <c r="M62" s="17">
        <f t="shared" si="9"/>
        <v>0</v>
      </c>
      <c r="N62" s="19">
        <f>IF(AND(B62&gt;=설정!$B$6,B62&lt;설정!$B$23),1,0)</f>
        <v>1</v>
      </c>
      <c r="O62" s="19">
        <f>IF(AND(B62&gt;=설정!$B$6,B62&lt;설정!$B$24),1,0)</f>
        <v>1</v>
      </c>
      <c r="P62" s="19">
        <f>IF(B62&gt;=설정!$B$6,J62*(설정!$B$18-설정!$B$13),0)</f>
        <v>1083000</v>
      </c>
      <c r="Q62" s="17">
        <f t="shared" si="10"/>
        <v>179417000</v>
      </c>
      <c r="R62" s="19">
        <f>IF(물량원가기준!D62="","",물량원가기준!D62*H62)</f>
        <v>190000000</v>
      </c>
      <c r="S62" s="17">
        <f t="shared" si="11"/>
        <v>1624500000</v>
      </c>
      <c r="T62" s="19">
        <f>물량원가기준!I62+IF(B62&gt;=설정!$B$6,I62*(설정!$B$18-설정!$B$13),0)</f>
        <v>95120</v>
      </c>
      <c r="U62" s="19">
        <f>IF(OR(COUNT(물량원가기준!E62:J62)&lt;&gt;6,COUNTIFS(물량원가기준!$A$6:$A$100,A62)&lt;&gt;1),0,1)</f>
        <v>1</v>
      </c>
    </row>
    <row r="63" spans="1:21" ht="30" customHeight="1">
      <c r="A63" s="11" t="str">
        <f>물량원가기준!A63</f>
        <v>2027-12|A-c</v>
      </c>
      <c r="B63" s="24">
        <f>물량원가기준!B63</f>
        <v>46722</v>
      </c>
      <c r="C63" s="11" t="str">
        <f>물량원가기준!C63</f>
        <v>A-c</v>
      </c>
      <c r="D63" s="20">
        <f>물량원가기준!E63</f>
        <v>5643</v>
      </c>
      <c r="E63" s="20">
        <f>물량원가기준!F63</f>
        <v>5643</v>
      </c>
      <c r="F63" s="20">
        <f>물량원가기준!G63</f>
        <v>230000</v>
      </c>
      <c r="G63" s="20">
        <f>SUM(물량원가기준!H63:J63)</f>
        <v>202000</v>
      </c>
      <c r="H63" s="18">
        <f t="shared" si="6"/>
        <v>28000</v>
      </c>
      <c r="I63" s="20">
        <f>부품모델매핑!D8</f>
        <v>0</v>
      </c>
      <c r="J63" s="20">
        <f>IF(ISNUMBER(물량원가기준!F63),E63*I63,"미산출")</f>
        <v>0</v>
      </c>
      <c r="K63" s="18">
        <f t="shared" si="7"/>
        <v>158004000</v>
      </c>
      <c r="L63" s="18">
        <f t="shared" si="8"/>
        <v>158004000</v>
      </c>
      <c r="M63" s="18">
        <f t="shared" si="9"/>
        <v>0</v>
      </c>
      <c r="N63" s="20">
        <f>IF(AND(B63&gt;=설정!$B$6,B63&lt;설정!$B$23),1,0)</f>
        <v>1</v>
      </c>
      <c r="O63" s="20">
        <f>IF(AND(B63&gt;=설정!$B$6,B63&lt;설정!$B$24),1,0)</f>
        <v>1</v>
      </c>
      <c r="P63" s="20">
        <f>IF(B63&gt;=설정!$B$6,J63*(설정!$B$18-설정!$B$13),0)</f>
        <v>0</v>
      </c>
      <c r="Q63" s="18">
        <f t="shared" si="10"/>
        <v>158004000</v>
      </c>
      <c r="R63" s="20">
        <f>IF(물량원가기준!D63="","",물량원가기준!D63*H63)</f>
        <v>159600000</v>
      </c>
      <c r="S63" s="18">
        <f t="shared" si="11"/>
        <v>1297890000</v>
      </c>
      <c r="T63" s="20">
        <f>물량원가기준!I63+IF(B63&gt;=설정!$B$6,I63*(설정!$B$18-설정!$B$13),0)</f>
        <v>60000</v>
      </c>
      <c r="U63" s="20">
        <f>IF(OR(COUNT(물량원가기준!E63:J63)&lt;&gt;6,COUNTIFS(물량원가기준!$A$6:$A$100,A63)&lt;&gt;1),0,1)</f>
        <v>1</v>
      </c>
    </row>
    <row r="64" spans="1:21" ht="30" customHeight="1">
      <c r="A64" s="12" t="str">
        <f>물량원가기준!A64</f>
        <v>2027-12|A-d</v>
      </c>
      <c r="B64" s="23">
        <f>물량원가기준!B64</f>
        <v>46722</v>
      </c>
      <c r="C64" s="12" t="str">
        <f>물량원가기준!C64</f>
        <v>A-d</v>
      </c>
      <c r="D64" s="19">
        <f>물량원가기준!E64</f>
        <v>4798</v>
      </c>
      <c r="E64" s="19">
        <f>물량원가기준!F64</f>
        <v>4798</v>
      </c>
      <c r="F64" s="19">
        <f>물량원가기준!G64</f>
        <v>210000</v>
      </c>
      <c r="G64" s="19">
        <f>SUM(물량원가기준!H64:J64)</f>
        <v>185000</v>
      </c>
      <c r="H64" s="17">
        <f t="shared" si="6"/>
        <v>25000</v>
      </c>
      <c r="I64" s="19">
        <f>부품모델매핑!D9</f>
        <v>0</v>
      </c>
      <c r="J64" s="19">
        <f>IF(ISNUMBER(물량원가기준!F64),E64*I64,"미산출")</f>
        <v>0</v>
      </c>
      <c r="K64" s="17">
        <f t="shared" si="7"/>
        <v>119950000</v>
      </c>
      <c r="L64" s="17">
        <f t="shared" si="8"/>
        <v>119950000</v>
      </c>
      <c r="M64" s="17">
        <f t="shared" si="9"/>
        <v>0</v>
      </c>
      <c r="N64" s="19">
        <f>IF(AND(B64&gt;=설정!$B$6,B64&lt;설정!$B$23),1,0)</f>
        <v>1</v>
      </c>
      <c r="O64" s="19">
        <f>IF(AND(B64&gt;=설정!$B$6,B64&lt;설정!$B$24),1,0)</f>
        <v>1</v>
      </c>
      <c r="P64" s="19">
        <f>IF(B64&gt;=설정!$B$6,J64*(설정!$B$18-설정!$B$13),0)</f>
        <v>0</v>
      </c>
      <c r="Q64" s="17">
        <f t="shared" si="10"/>
        <v>119950000</v>
      </c>
      <c r="R64" s="19">
        <f>IF(물량원가기준!D64="","",물량원가기준!D64*H64)</f>
        <v>118750000</v>
      </c>
      <c r="S64" s="17">
        <f t="shared" si="11"/>
        <v>1007580000</v>
      </c>
      <c r="T64" s="19">
        <f>물량원가기준!I64+IF(B64&gt;=설정!$B$6,I64*(설정!$B$18-설정!$B$13),0)</f>
        <v>65000</v>
      </c>
      <c r="U64" s="19">
        <f>IF(OR(COUNT(물량원가기준!E64:J64)&lt;&gt;6,COUNTIFS(물량원가기준!$A$6:$A$100,A64)&lt;&gt;1),0,1)</f>
        <v>1</v>
      </c>
    </row>
    <row r="65" spans="1:21" ht="30" customHeight="1">
      <c r="A65" s="11" t="str">
        <f>물량원가기준!A65</f>
        <v>2027-12|A-e</v>
      </c>
      <c r="B65" s="24">
        <f>물량원가기준!B65</f>
        <v>46722</v>
      </c>
      <c r="C65" s="11" t="str">
        <f>물량원가기준!C65</f>
        <v>A-e</v>
      </c>
      <c r="D65" s="20">
        <f>물량원가기준!E65</f>
        <v>2822</v>
      </c>
      <c r="E65" s="20">
        <f>물량원가기준!F65</f>
        <v>2822</v>
      </c>
      <c r="F65" s="20">
        <f>물량원가기준!G65</f>
        <v>150000</v>
      </c>
      <c r="G65" s="20">
        <f>SUM(물량원가기준!H65:J65)</f>
        <v>132000</v>
      </c>
      <c r="H65" s="18">
        <f t="shared" si="6"/>
        <v>18000</v>
      </c>
      <c r="I65" s="20">
        <f>부품모델매핑!D10</f>
        <v>0</v>
      </c>
      <c r="J65" s="20">
        <f>IF(ISNUMBER(물량원가기준!F65),E65*I65,"미산출")</f>
        <v>0</v>
      </c>
      <c r="K65" s="18">
        <f t="shared" si="7"/>
        <v>50796000</v>
      </c>
      <c r="L65" s="18">
        <f t="shared" si="8"/>
        <v>50796000</v>
      </c>
      <c r="M65" s="18">
        <f t="shared" si="9"/>
        <v>0</v>
      </c>
      <c r="N65" s="20">
        <f>IF(AND(B65&gt;=설정!$B$6,B65&lt;설정!$B$23),1,0)</f>
        <v>1</v>
      </c>
      <c r="O65" s="20">
        <f>IF(AND(B65&gt;=설정!$B$6,B65&lt;설정!$B$24),1,0)</f>
        <v>1</v>
      </c>
      <c r="P65" s="20">
        <f>IF(B65&gt;=설정!$B$6,J65*(설정!$B$18-설정!$B$13),0)</f>
        <v>0</v>
      </c>
      <c r="Q65" s="18">
        <f t="shared" si="10"/>
        <v>50796000</v>
      </c>
      <c r="R65" s="20">
        <f>IF(물량원가기준!D65="","",물량원가기준!D65*H65)</f>
        <v>51300000</v>
      </c>
      <c r="S65" s="18">
        <f t="shared" si="11"/>
        <v>423300000</v>
      </c>
      <c r="T65" s="20">
        <f>물량원가기준!I65+IF(B65&gt;=설정!$B$6,I65*(설정!$B$18-설정!$B$13),0)</f>
        <v>50000</v>
      </c>
      <c r="U65" s="20">
        <f>IF(OR(COUNT(물량원가기준!E65:J65)&lt;&gt;6,COUNTIFS(물량원가기준!$A$6:$A$100,A65)&lt;&gt;1),0,1)</f>
        <v>1</v>
      </c>
    </row>
    <row r="66" spans="1:21" ht="30" customHeight="1">
      <c r="A66" s="12" t="str">
        <f>물량원가기준!A66</f>
        <v>2028-01|A-a</v>
      </c>
      <c r="B66" s="23">
        <f>물량원가기준!B66</f>
        <v>46753</v>
      </c>
      <c r="C66" s="12" t="str">
        <f>물량원가기준!C66</f>
        <v>A-a</v>
      </c>
      <c r="D66" s="19">
        <f>물량원가기준!E66</f>
        <v>3958</v>
      </c>
      <c r="E66" s="19">
        <f>물량원가기준!F66</f>
        <v>3958</v>
      </c>
      <c r="F66" s="19">
        <f>물량원가기준!G66</f>
        <v>300000</v>
      </c>
      <c r="G66" s="19">
        <f>SUM(물량원가기준!H66:J66)</f>
        <v>270000</v>
      </c>
      <c r="H66" s="17">
        <f t="shared" si="6"/>
        <v>30000</v>
      </c>
      <c r="I66" s="19">
        <f>부품모델매핑!D6</f>
        <v>1</v>
      </c>
      <c r="J66" s="19">
        <f>IF(ISNUMBER(물량원가기준!F66),E66*I66,"미산출")</f>
        <v>3958</v>
      </c>
      <c r="K66" s="17">
        <f t="shared" si="7"/>
        <v>118740000</v>
      </c>
      <c r="L66" s="17">
        <f t="shared" si="8"/>
        <v>118740000</v>
      </c>
      <c r="M66" s="17">
        <f t="shared" si="9"/>
        <v>0</v>
      </c>
      <c r="N66" s="19">
        <f>IF(AND(B66&gt;=설정!$B$6,B66&lt;설정!$B$23),1,0)</f>
        <v>1</v>
      </c>
      <c r="O66" s="19">
        <f>IF(AND(B66&gt;=설정!$B$6,B66&lt;설정!$B$24),1,0)</f>
        <v>0</v>
      </c>
      <c r="P66" s="19">
        <f>IF(B66&gt;=설정!$B$6,J66*(설정!$B$18-설정!$B$13),0)</f>
        <v>474960</v>
      </c>
      <c r="Q66" s="17">
        <f t="shared" si="10"/>
        <v>118265040</v>
      </c>
      <c r="R66" s="19" t="str">
        <f>IF(물량원가기준!D66="","",물량원가기준!D66*H66)</f>
        <v/>
      </c>
      <c r="S66" s="17">
        <f t="shared" si="11"/>
        <v>1187400000</v>
      </c>
      <c r="T66" s="19">
        <f>물량원가기준!I66+IF(B66&gt;=설정!$B$6,I66*(설정!$B$18-설정!$B$13),0)</f>
        <v>75120</v>
      </c>
      <c r="U66" s="19">
        <f>IF(OR(COUNT(물량원가기준!E66:J66)&lt;&gt;6,COUNTIFS(물량원가기준!$A$6:$A$100,A66)&lt;&gt;1),0,1)</f>
        <v>1</v>
      </c>
    </row>
    <row r="67" spans="1:21" ht="30" customHeight="1">
      <c r="A67" s="11" t="str">
        <f>물량원가기준!A67</f>
        <v>2028-01|A-b</v>
      </c>
      <c r="B67" s="24">
        <f>물량원가기준!B67</f>
        <v>46753</v>
      </c>
      <c r="C67" s="11" t="str">
        <f>물량원가기준!C67</f>
        <v>A-b</v>
      </c>
      <c r="D67" s="20">
        <f>물량원가기준!E67</f>
        <v>9894</v>
      </c>
      <c r="E67" s="20">
        <f>물량원가기준!F67</f>
        <v>9894</v>
      </c>
      <c r="F67" s="20">
        <f>물량원가기준!G67</f>
        <v>180000</v>
      </c>
      <c r="G67" s="20">
        <f>SUM(물량원가기준!H67:J67)</f>
        <v>160000</v>
      </c>
      <c r="H67" s="18">
        <f t="shared" si="6"/>
        <v>20000</v>
      </c>
      <c r="I67" s="20">
        <f>부품모델매핑!D7</f>
        <v>1</v>
      </c>
      <c r="J67" s="20">
        <f>IF(ISNUMBER(물량원가기준!F67),E67*I67,"미산출")</f>
        <v>9894</v>
      </c>
      <c r="K67" s="18">
        <f t="shared" si="7"/>
        <v>197880000</v>
      </c>
      <c r="L67" s="18">
        <f t="shared" si="8"/>
        <v>197880000</v>
      </c>
      <c r="M67" s="18">
        <f t="shared" si="9"/>
        <v>0</v>
      </c>
      <c r="N67" s="20">
        <f>IF(AND(B67&gt;=설정!$B$6,B67&lt;설정!$B$23),1,0)</f>
        <v>1</v>
      </c>
      <c r="O67" s="20">
        <f>IF(AND(B67&gt;=설정!$B$6,B67&lt;설정!$B$24),1,0)</f>
        <v>0</v>
      </c>
      <c r="P67" s="20">
        <f>IF(B67&gt;=설정!$B$6,J67*(설정!$B$18-설정!$B$13),0)</f>
        <v>1187280</v>
      </c>
      <c r="Q67" s="18">
        <f t="shared" si="10"/>
        <v>196692720</v>
      </c>
      <c r="R67" s="20" t="str">
        <f>IF(물량원가기준!D67="","",물량원가기준!D67*H67)</f>
        <v/>
      </c>
      <c r="S67" s="18">
        <f t="shared" si="11"/>
        <v>1780920000</v>
      </c>
      <c r="T67" s="20">
        <f>물량원가기준!I67+IF(B67&gt;=설정!$B$6,I67*(설정!$B$18-설정!$B$13),0)</f>
        <v>95120</v>
      </c>
      <c r="U67" s="20">
        <f>IF(OR(COUNT(물량원가기준!E67:J67)&lt;&gt;6,COUNTIFS(물량원가기준!$A$6:$A$100,A67)&lt;&gt;1),0,1)</f>
        <v>1</v>
      </c>
    </row>
    <row r="68" spans="1:21" ht="30" customHeight="1">
      <c r="A68" s="12" t="str">
        <f>물량원가기준!A68</f>
        <v>2028-01|A-c</v>
      </c>
      <c r="B68" s="23">
        <f>물량원가기준!B68</f>
        <v>46753</v>
      </c>
      <c r="C68" s="12" t="str">
        <f>물량원가기준!C68</f>
        <v>A-c</v>
      </c>
      <c r="D68" s="19">
        <f>물량원가기준!E68</f>
        <v>5877</v>
      </c>
      <c r="E68" s="19">
        <f>물량원가기준!F68</f>
        <v>5877</v>
      </c>
      <c r="F68" s="19">
        <f>물량원가기준!G68</f>
        <v>230000</v>
      </c>
      <c r="G68" s="19">
        <f>SUM(물량원가기준!H68:J68)</f>
        <v>202000</v>
      </c>
      <c r="H68" s="17">
        <f t="shared" si="6"/>
        <v>28000</v>
      </c>
      <c r="I68" s="19">
        <f>부품모델매핑!D8</f>
        <v>0</v>
      </c>
      <c r="J68" s="19">
        <f>IF(ISNUMBER(물량원가기준!F68),E68*I68,"미산출")</f>
        <v>0</v>
      </c>
      <c r="K68" s="17">
        <f t="shared" si="7"/>
        <v>164556000</v>
      </c>
      <c r="L68" s="17">
        <f t="shared" si="8"/>
        <v>164556000</v>
      </c>
      <c r="M68" s="17">
        <f t="shared" si="9"/>
        <v>0</v>
      </c>
      <c r="N68" s="19">
        <f>IF(AND(B68&gt;=설정!$B$6,B68&lt;설정!$B$23),1,0)</f>
        <v>1</v>
      </c>
      <c r="O68" s="19">
        <f>IF(AND(B68&gt;=설정!$B$6,B68&lt;설정!$B$24),1,0)</f>
        <v>0</v>
      </c>
      <c r="P68" s="19">
        <f>IF(B68&gt;=설정!$B$6,J68*(설정!$B$18-설정!$B$13),0)</f>
        <v>0</v>
      </c>
      <c r="Q68" s="17">
        <f t="shared" si="10"/>
        <v>164556000</v>
      </c>
      <c r="R68" s="19" t="str">
        <f>IF(물량원가기준!D68="","",물량원가기준!D68*H68)</f>
        <v/>
      </c>
      <c r="S68" s="17">
        <f t="shared" si="11"/>
        <v>1351710000</v>
      </c>
      <c r="T68" s="19">
        <f>물량원가기준!I68+IF(B68&gt;=설정!$B$6,I68*(설정!$B$18-설정!$B$13),0)</f>
        <v>60000</v>
      </c>
      <c r="U68" s="19">
        <f>IF(OR(COUNT(물량원가기준!E68:J68)&lt;&gt;6,COUNTIFS(물량원가기준!$A$6:$A$100,A68)&lt;&gt;1),0,1)</f>
        <v>1</v>
      </c>
    </row>
    <row r="69" spans="1:21" ht="30" customHeight="1">
      <c r="A69" s="11" t="str">
        <f>물량원가기준!A69</f>
        <v>2028-01|A-d</v>
      </c>
      <c r="B69" s="24">
        <f>물량원가기준!B69</f>
        <v>46753</v>
      </c>
      <c r="C69" s="11" t="str">
        <f>물량원가기준!C69</f>
        <v>A-d</v>
      </c>
      <c r="D69" s="20">
        <f>물량원가기준!E69</f>
        <v>4996</v>
      </c>
      <c r="E69" s="20">
        <f>물량원가기준!F69</f>
        <v>4996</v>
      </c>
      <c r="F69" s="20">
        <f>물량원가기준!G69</f>
        <v>210000</v>
      </c>
      <c r="G69" s="20">
        <f>SUM(물량원가기준!H69:J69)</f>
        <v>185000</v>
      </c>
      <c r="H69" s="18">
        <f t="shared" si="6"/>
        <v>25000</v>
      </c>
      <c r="I69" s="20">
        <f>부품모델매핑!D9</f>
        <v>0</v>
      </c>
      <c r="J69" s="20">
        <f>IF(ISNUMBER(물량원가기준!F69),E69*I69,"미산출")</f>
        <v>0</v>
      </c>
      <c r="K69" s="18">
        <f t="shared" si="7"/>
        <v>124900000</v>
      </c>
      <c r="L69" s="18">
        <f t="shared" si="8"/>
        <v>124900000</v>
      </c>
      <c r="M69" s="18">
        <f t="shared" si="9"/>
        <v>0</v>
      </c>
      <c r="N69" s="20">
        <f>IF(AND(B69&gt;=설정!$B$6,B69&lt;설정!$B$23),1,0)</f>
        <v>1</v>
      </c>
      <c r="O69" s="20">
        <f>IF(AND(B69&gt;=설정!$B$6,B69&lt;설정!$B$24),1,0)</f>
        <v>0</v>
      </c>
      <c r="P69" s="20">
        <f>IF(B69&gt;=설정!$B$6,J69*(설정!$B$18-설정!$B$13),0)</f>
        <v>0</v>
      </c>
      <c r="Q69" s="18">
        <f t="shared" si="10"/>
        <v>124900000</v>
      </c>
      <c r="R69" s="20" t="str">
        <f>IF(물량원가기준!D69="","",물량원가기준!D69*H69)</f>
        <v/>
      </c>
      <c r="S69" s="18">
        <f t="shared" si="11"/>
        <v>1049160000</v>
      </c>
      <c r="T69" s="20">
        <f>물량원가기준!I69+IF(B69&gt;=설정!$B$6,I69*(설정!$B$18-설정!$B$13),0)</f>
        <v>65000</v>
      </c>
      <c r="U69" s="20">
        <f>IF(OR(COUNT(물량원가기준!E69:J69)&lt;&gt;6,COUNTIFS(물량원가기준!$A$6:$A$100,A69)&lt;&gt;1),0,1)</f>
        <v>1</v>
      </c>
    </row>
    <row r="70" spans="1:21" ht="30" customHeight="1">
      <c r="A70" s="12" t="str">
        <f>물량원가기준!A70</f>
        <v>2028-01|A-e</v>
      </c>
      <c r="B70" s="23">
        <f>물량원가기준!B70</f>
        <v>46753</v>
      </c>
      <c r="C70" s="12" t="str">
        <f>물량원가기준!C70</f>
        <v>A-e</v>
      </c>
      <c r="D70" s="19">
        <f>물량원가기준!E70</f>
        <v>2938</v>
      </c>
      <c r="E70" s="19">
        <f>물량원가기준!F70</f>
        <v>2938</v>
      </c>
      <c r="F70" s="19">
        <f>물량원가기준!G70</f>
        <v>150000</v>
      </c>
      <c r="G70" s="19">
        <f>SUM(물량원가기준!H70:J70)</f>
        <v>132000</v>
      </c>
      <c r="H70" s="17">
        <f t="shared" ref="H70:H101" si="12">F70-G70</f>
        <v>18000</v>
      </c>
      <c r="I70" s="19">
        <f>부품모델매핑!D10</f>
        <v>0</v>
      </c>
      <c r="J70" s="19">
        <f>IF(ISNUMBER(물량원가기준!F70),E70*I70,"미산출")</f>
        <v>0</v>
      </c>
      <c r="K70" s="17">
        <f t="shared" ref="K70:K100" si="13">D70*H70</f>
        <v>52884000</v>
      </c>
      <c r="L70" s="17">
        <f t="shared" ref="L70:L100" si="14">E70*H70</f>
        <v>52884000</v>
      </c>
      <c r="M70" s="17">
        <f t="shared" ref="M70:M101" si="15">L70-K70</f>
        <v>0</v>
      </c>
      <c r="N70" s="19">
        <f>IF(AND(B70&gt;=설정!$B$6,B70&lt;설정!$B$23),1,0)</f>
        <v>1</v>
      </c>
      <c r="O70" s="19">
        <f>IF(AND(B70&gt;=설정!$B$6,B70&lt;설정!$B$24),1,0)</f>
        <v>0</v>
      </c>
      <c r="P70" s="19">
        <f>IF(B70&gt;=설정!$B$6,J70*(설정!$B$18-설정!$B$13),0)</f>
        <v>0</v>
      </c>
      <c r="Q70" s="17">
        <f t="shared" ref="Q70:Q101" si="16">L70-P70</f>
        <v>52884000</v>
      </c>
      <c r="R70" s="19" t="str">
        <f>IF(물량원가기준!D70="","",물량원가기준!D70*H70)</f>
        <v/>
      </c>
      <c r="S70" s="17">
        <f t="shared" ref="S70:S100" si="17">E70*F70</f>
        <v>440700000</v>
      </c>
      <c r="T70" s="19">
        <f>물량원가기준!I70+IF(B70&gt;=설정!$B$6,I70*(설정!$B$18-설정!$B$13),0)</f>
        <v>50000</v>
      </c>
      <c r="U70" s="19">
        <f>IF(OR(COUNT(물량원가기준!E70:J70)&lt;&gt;6,COUNTIFS(물량원가기준!$A$6:$A$100,A70)&lt;&gt;1),0,1)</f>
        <v>1</v>
      </c>
    </row>
    <row r="71" spans="1:21" ht="30" customHeight="1">
      <c r="A71" s="11" t="str">
        <f>물량원가기준!A71</f>
        <v>2028-02|A-a</v>
      </c>
      <c r="B71" s="24">
        <f>물량원가기준!B71</f>
        <v>46784</v>
      </c>
      <c r="C71" s="11" t="str">
        <f>물량원가기준!C71</f>
        <v>A-a</v>
      </c>
      <c r="D71" s="20">
        <f>물량원가기준!E71</f>
        <v>3457</v>
      </c>
      <c r="E71" s="20">
        <f>물량원가기준!F71</f>
        <v>3457</v>
      </c>
      <c r="F71" s="20">
        <f>물량원가기준!G71</f>
        <v>300000</v>
      </c>
      <c r="G71" s="20">
        <f>SUM(물량원가기준!H71:J71)</f>
        <v>270000</v>
      </c>
      <c r="H71" s="18">
        <f t="shared" si="12"/>
        <v>30000</v>
      </c>
      <c r="I71" s="20">
        <f>부품모델매핑!D6</f>
        <v>1</v>
      </c>
      <c r="J71" s="20">
        <f>IF(ISNUMBER(물량원가기준!F71),E71*I71,"미산출")</f>
        <v>3457</v>
      </c>
      <c r="K71" s="18">
        <f t="shared" si="13"/>
        <v>103710000</v>
      </c>
      <c r="L71" s="18">
        <f t="shared" si="14"/>
        <v>103710000</v>
      </c>
      <c r="M71" s="18">
        <f t="shared" si="15"/>
        <v>0</v>
      </c>
      <c r="N71" s="20">
        <f>IF(AND(B71&gt;=설정!$B$6,B71&lt;설정!$B$23),1,0)</f>
        <v>1</v>
      </c>
      <c r="O71" s="20">
        <f>IF(AND(B71&gt;=설정!$B$6,B71&lt;설정!$B$24),1,0)</f>
        <v>0</v>
      </c>
      <c r="P71" s="20">
        <f>IF(B71&gt;=설정!$B$6,J71*(설정!$B$18-설정!$B$13),0)</f>
        <v>414840</v>
      </c>
      <c r="Q71" s="18">
        <f t="shared" si="16"/>
        <v>103295160</v>
      </c>
      <c r="R71" s="20" t="str">
        <f>IF(물량원가기준!D71="","",물량원가기준!D71*H71)</f>
        <v/>
      </c>
      <c r="S71" s="18">
        <f t="shared" si="17"/>
        <v>1037100000</v>
      </c>
      <c r="T71" s="20">
        <f>물량원가기준!I71+IF(B71&gt;=설정!$B$6,I71*(설정!$B$18-설정!$B$13),0)</f>
        <v>75120</v>
      </c>
      <c r="U71" s="20">
        <f>IF(OR(COUNT(물량원가기준!E71:J71)&lt;&gt;6,COUNTIFS(물량원가기준!$A$6:$A$100,A71)&lt;&gt;1),0,1)</f>
        <v>1</v>
      </c>
    </row>
    <row r="72" spans="1:21" ht="30" customHeight="1">
      <c r="A72" s="12" t="str">
        <f>물량원가기준!A72</f>
        <v>2028-02|A-b</v>
      </c>
      <c r="B72" s="23">
        <f>물량원가기준!B72</f>
        <v>46784</v>
      </c>
      <c r="C72" s="12" t="str">
        <f>물량원가기준!C72</f>
        <v>A-b</v>
      </c>
      <c r="D72" s="19">
        <f>물량원가기준!E72</f>
        <v>8643</v>
      </c>
      <c r="E72" s="19">
        <f>물량원가기준!F72</f>
        <v>8643</v>
      </c>
      <c r="F72" s="19">
        <f>물량원가기준!G72</f>
        <v>180000</v>
      </c>
      <c r="G72" s="19">
        <f>SUM(물량원가기준!H72:J72)</f>
        <v>160000</v>
      </c>
      <c r="H72" s="17">
        <f t="shared" si="12"/>
        <v>20000</v>
      </c>
      <c r="I72" s="19">
        <f>부품모델매핑!D7</f>
        <v>1</v>
      </c>
      <c r="J72" s="19">
        <f>IF(ISNUMBER(물량원가기준!F72),E72*I72,"미산출")</f>
        <v>8643</v>
      </c>
      <c r="K72" s="17">
        <f t="shared" si="13"/>
        <v>172860000</v>
      </c>
      <c r="L72" s="17">
        <f t="shared" si="14"/>
        <v>172860000</v>
      </c>
      <c r="M72" s="17">
        <f t="shared" si="15"/>
        <v>0</v>
      </c>
      <c r="N72" s="19">
        <f>IF(AND(B72&gt;=설정!$B$6,B72&lt;설정!$B$23),1,0)</f>
        <v>1</v>
      </c>
      <c r="O72" s="19">
        <f>IF(AND(B72&gt;=설정!$B$6,B72&lt;설정!$B$24),1,0)</f>
        <v>0</v>
      </c>
      <c r="P72" s="19">
        <f>IF(B72&gt;=설정!$B$6,J72*(설정!$B$18-설정!$B$13),0)</f>
        <v>1037160</v>
      </c>
      <c r="Q72" s="17">
        <f t="shared" si="16"/>
        <v>171822840</v>
      </c>
      <c r="R72" s="19" t="str">
        <f>IF(물량원가기준!D72="","",물량원가기준!D72*H72)</f>
        <v/>
      </c>
      <c r="S72" s="17">
        <f t="shared" si="17"/>
        <v>1555740000</v>
      </c>
      <c r="T72" s="19">
        <f>물량원가기준!I72+IF(B72&gt;=설정!$B$6,I72*(설정!$B$18-설정!$B$13),0)</f>
        <v>95120</v>
      </c>
      <c r="U72" s="19">
        <f>IF(OR(COUNT(물량원가기준!E72:J72)&lt;&gt;6,COUNTIFS(물량원가기준!$A$6:$A$100,A72)&lt;&gt;1),0,1)</f>
        <v>1</v>
      </c>
    </row>
    <row r="73" spans="1:21" ht="30" customHeight="1">
      <c r="A73" s="11" t="str">
        <f>물량원가기준!A73</f>
        <v>2028-02|A-c</v>
      </c>
      <c r="B73" s="24">
        <f>물량원가기준!B73</f>
        <v>46784</v>
      </c>
      <c r="C73" s="11" t="str">
        <f>물량원가기준!C73</f>
        <v>A-c</v>
      </c>
      <c r="D73" s="20">
        <f>물량원가기준!E73</f>
        <v>5186</v>
      </c>
      <c r="E73" s="20">
        <f>물량원가기준!F73</f>
        <v>5186</v>
      </c>
      <c r="F73" s="20">
        <f>물량원가기준!G73</f>
        <v>230000</v>
      </c>
      <c r="G73" s="20">
        <f>SUM(물량원가기준!H73:J73)</f>
        <v>202000</v>
      </c>
      <c r="H73" s="18">
        <f t="shared" si="12"/>
        <v>28000</v>
      </c>
      <c r="I73" s="20">
        <f>부품모델매핑!D8</f>
        <v>0</v>
      </c>
      <c r="J73" s="20">
        <f>IF(ISNUMBER(물량원가기준!F73),E73*I73,"미산출")</f>
        <v>0</v>
      </c>
      <c r="K73" s="18">
        <f t="shared" si="13"/>
        <v>145208000</v>
      </c>
      <c r="L73" s="18">
        <f t="shared" si="14"/>
        <v>145208000</v>
      </c>
      <c r="M73" s="18">
        <f t="shared" si="15"/>
        <v>0</v>
      </c>
      <c r="N73" s="20">
        <f>IF(AND(B73&gt;=설정!$B$6,B73&lt;설정!$B$23),1,0)</f>
        <v>1</v>
      </c>
      <c r="O73" s="20">
        <f>IF(AND(B73&gt;=설정!$B$6,B73&lt;설정!$B$24),1,0)</f>
        <v>0</v>
      </c>
      <c r="P73" s="20">
        <f>IF(B73&gt;=설정!$B$6,J73*(설정!$B$18-설정!$B$13),0)</f>
        <v>0</v>
      </c>
      <c r="Q73" s="18">
        <f t="shared" si="16"/>
        <v>145208000</v>
      </c>
      <c r="R73" s="20" t="str">
        <f>IF(물량원가기준!D73="","",물량원가기준!D73*H73)</f>
        <v/>
      </c>
      <c r="S73" s="18">
        <f t="shared" si="17"/>
        <v>1192780000</v>
      </c>
      <c r="T73" s="20">
        <f>물량원가기준!I73+IF(B73&gt;=설정!$B$6,I73*(설정!$B$18-설정!$B$13),0)</f>
        <v>60000</v>
      </c>
      <c r="U73" s="20">
        <f>IF(OR(COUNT(물량원가기준!E73:J73)&lt;&gt;6,COUNTIFS(물량원가기준!$A$6:$A$100,A73)&lt;&gt;1),0,1)</f>
        <v>1</v>
      </c>
    </row>
    <row r="74" spans="1:21" ht="30" customHeight="1">
      <c r="A74" s="12" t="str">
        <f>물량원가기준!A74</f>
        <v>2028-02|A-d</v>
      </c>
      <c r="B74" s="23">
        <f>물량원가기준!B74</f>
        <v>46784</v>
      </c>
      <c r="C74" s="12" t="str">
        <f>물량원가기준!C74</f>
        <v>A-d</v>
      </c>
      <c r="D74" s="19">
        <f>물량원가기준!E74</f>
        <v>4409</v>
      </c>
      <c r="E74" s="19">
        <f>물량원가기준!F74</f>
        <v>4409</v>
      </c>
      <c r="F74" s="19">
        <f>물량원가기준!G74</f>
        <v>210000</v>
      </c>
      <c r="G74" s="19">
        <f>SUM(물량원가기준!H74:J74)</f>
        <v>185000</v>
      </c>
      <c r="H74" s="17">
        <f t="shared" si="12"/>
        <v>25000</v>
      </c>
      <c r="I74" s="19">
        <f>부품모델매핑!D9</f>
        <v>0</v>
      </c>
      <c r="J74" s="19">
        <f>IF(ISNUMBER(물량원가기준!F74),E74*I74,"미산출")</f>
        <v>0</v>
      </c>
      <c r="K74" s="17">
        <f t="shared" si="13"/>
        <v>110225000</v>
      </c>
      <c r="L74" s="17">
        <f t="shared" si="14"/>
        <v>110225000</v>
      </c>
      <c r="M74" s="17">
        <f t="shared" si="15"/>
        <v>0</v>
      </c>
      <c r="N74" s="19">
        <f>IF(AND(B74&gt;=설정!$B$6,B74&lt;설정!$B$23),1,0)</f>
        <v>1</v>
      </c>
      <c r="O74" s="19">
        <f>IF(AND(B74&gt;=설정!$B$6,B74&lt;설정!$B$24),1,0)</f>
        <v>0</v>
      </c>
      <c r="P74" s="19">
        <f>IF(B74&gt;=설정!$B$6,J74*(설정!$B$18-설정!$B$13),0)</f>
        <v>0</v>
      </c>
      <c r="Q74" s="17">
        <f t="shared" si="16"/>
        <v>110225000</v>
      </c>
      <c r="R74" s="19" t="str">
        <f>IF(물량원가기준!D74="","",물량원가기준!D74*H74)</f>
        <v/>
      </c>
      <c r="S74" s="17">
        <f t="shared" si="17"/>
        <v>925890000</v>
      </c>
      <c r="T74" s="19">
        <f>물량원가기준!I74+IF(B74&gt;=설정!$B$6,I74*(설정!$B$18-설정!$B$13),0)</f>
        <v>65000</v>
      </c>
      <c r="U74" s="19">
        <f>IF(OR(COUNT(물량원가기준!E74:J74)&lt;&gt;6,COUNTIFS(물량원가기준!$A$6:$A$100,A74)&lt;&gt;1),0,1)</f>
        <v>1</v>
      </c>
    </row>
    <row r="75" spans="1:21" ht="30" customHeight="1">
      <c r="A75" s="11" t="str">
        <f>물량원가기준!A75</f>
        <v>2028-02|A-e</v>
      </c>
      <c r="B75" s="24">
        <f>물량원가기준!B75</f>
        <v>46784</v>
      </c>
      <c r="C75" s="11" t="str">
        <f>물량원가기준!C75</f>
        <v>A-e</v>
      </c>
      <c r="D75" s="20">
        <f>물량원가기준!E75</f>
        <v>2593</v>
      </c>
      <c r="E75" s="20">
        <f>물량원가기준!F75</f>
        <v>2593</v>
      </c>
      <c r="F75" s="20">
        <f>물량원가기준!G75</f>
        <v>150000</v>
      </c>
      <c r="G75" s="20">
        <f>SUM(물량원가기준!H75:J75)</f>
        <v>132000</v>
      </c>
      <c r="H75" s="18">
        <f t="shared" si="12"/>
        <v>18000</v>
      </c>
      <c r="I75" s="20">
        <f>부품모델매핑!D10</f>
        <v>0</v>
      </c>
      <c r="J75" s="20">
        <f>IF(ISNUMBER(물량원가기준!F75),E75*I75,"미산출")</f>
        <v>0</v>
      </c>
      <c r="K75" s="18">
        <f t="shared" si="13"/>
        <v>46674000</v>
      </c>
      <c r="L75" s="18">
        <f t="shared" si="14"/>
        <v>46674000</v>
      </c>
      <c r="M75" s="18">
        <f t="shared" si="15"/>
        <v>0</v>
      </c>
      <c r="N75" s="20">
        <f>IF(AND(B75&gt;=설정!$B$6,B75&lt;설정!$B$23),1,0)</f>
        <v>1</v>
      </c>
      <c r="O75" s="20">
        <f>IF(AND(B75&gt;=설정!$B$6,B75&lt;설정!$B$24),1,0)</f>
        <v>0</v>
      </c>
      <c r="P75" s="20">
        <f>IF(B75&gt;=설정!$B$6,J75*(설정!$B$18-설정!$B$13),0)</f>
        <v>0</v>
      </c>
      <c r="Q75" s="18">
        <f t="shared" si="16"/>
        <v>46674000</v>
      </c>
      <c r="R75" s="20" t="str">
        <f>IF(물량원가기준!D75="","",물량원가기준!D75*H75)</f>
        <v/>
      </c>
      <c r="S75" s="18">
        <f t="shared" si="17"/>
        <v>388950000</v>
      </c>
      <c r="T75" s="20">
        <f>물량원가기준!I75+IF(B75&gt;=설정!$B$6,I75*(설정!$B$18-설정!$B$13),0)</f>
        <v>50000</v>
      </c>
      <c r="U75" s="20">
        <f>IF(OR(COUNT(물량원가기준!E75:J75)&lt;&gt;6,COUNTIFS(물량원가기준!$A$6:$A$100,A75)&lt;&gt;1),0,1)</f>
        <v>1</v>
      </c>
    </row>
    <row r="76" spans="1:21" ht="30" customHeight="1">
      <c r="A76" s="12" t="str">
        <f>물량원가기준!A76</f>
        <v>2028-03|A-a</v>
      </c>
      <c r="B76" s="23">
        <f>물량원가기준!B76</f>
        <v>46813</v>
      </c>
      <c r="C76" s="12" t="str">
        <f>물량원가기준!C76</f>
        <v>A-a</v>
      </c>
      <c r="D76" s="19">
        <f>물량원가기준!E76</f>
        <v>3993</v>
      </c>
      <c r="E76" s="19">
        <f>물량원가기준!F76</f>
        <v>3993</v>
      </c>
      <c r="F76" s="19">
        <f>물량원가기준!G76</f>
        <v>300000</v>
      </c>
      <c r="G76" s="19">
        <f>SUM(물량원가기준!H76:J76)</f>
        <v>270000</v>
      </c>
      <c r="H76" s="17">
        <f t="shared" si="12"/>
        <v>30000</v>
      </c>
      <c r="I76" s="19">
        <f>부품모델매핑!D6</f>
        <v>1</v>
      </c>
      <c r="J76" s="19">
        <f>IF(ISNUMBER(물량원가기준!F76),E76*I76,"미산출")</f>
        <v>3993</v>
      </c>
      <c r="K76" s="17">
        <f t="shared" si="13"/>
        <v>119790000</v>
      </c>
      <c r="L76" s="17">
        <f t="shared" si="14"/>
        <v>119790000</v>
      </c>
      <c r="M76" s="17">
        <f t="shared" si="15"/>
        <v>0</v>
      </c>
      <c r="N76" s="19">
        <f>IF(AND(B76&gt;=설정!$B$6,B76&lt;설정!$B$23),1,0)</f>
        <v>1</v>
      </c>
      <c r="O76" s="19">
        <f>IF(AND(B76&gt;=설정!$B$6,B76&lt;설정!$B$24),1,0)</f>
        <v>0</v>
      </c>
      <c r="P76" s="19">
        <f>IF(B76&gt;=설정!$B$6,J76*(설정!$B$18-설정!$B$13),0)</f>
        <v>479160</v>
      </c>
      <c r="Q76" s="17">
        <f t="shared" si="16"/>
        <v>119310840</v>
      </c>
      <c r="R76" s="19" t="str">
        <f>IF(물량원가기준!D76="","",물량원가기준!D76*H76)</f>
        <v/>
      </c>
      <c r="S76" s="17">
        <f t="shared" si="17"/>
        <v>1197900000</v>
      </c>
      <c r="T76" s="19">
        <f>물량원가기준!I76+IF(B76&gt;=설정!$B$6,I76*(설정!$B$18-설정!$B$13),0)</f>
        <v>75120</v>
      </c>
      <c r="U76" s="19">
        <f>IF(OR(COUNT(물량원가기준!E76:J76)&lt;&gt;6,COUNTIFS(물량원가기준!$A$6:$A$100,A76)&lt;&gt;1),0,1)</f>
        <v>1</v>
      </c>
    </row>
    <row r="77" spans="1:21" ht="30" customHeight="1">
      <c r="A77" s="11" t="str">
        <f>물량원가기준!A77</f>
        <v>2028-03|A-b</v>
      </c>
      <c r="B77" s="24">
        <f>물량원가기준!B77</f>
        <v>46813</v>
      </c>
      <c r="C77" s="11" t="str">
        <f>물량원가기준!C77</f>
        <v>A-b</v>
      </c>
      <c r="D77" s="20">
        <f>물량원가기준!E77</f>
        <v>9981</v>
      </c>
      <c r="E77" s="20">
        <f>물량원가기준!F77</f>
        <v>9981</v>
      </c>
      <c r="F77" s="20">
        <f>물량원가기준!G77</f>
        <v>180000</v>
      </c>
      <c r="G77" s="20">
        <f>SUM(물량원가기준!H77:J77)</f>
        <v>160000</v>
      </c>
      <c r="H77" s="18">
        <f t="shared" si="12"/>
        <v>20000</v>
      </c>
      <c r="I77" s="20">
        <f>부품모델매핑!D7</f>
        <v>1</v>
      </c>
      <c r="J77" s="20">
        <f>IF(ISNUMBER(물량원가기준!F77),E77*I77,"미산출")</f>
        <v>9981</v>
      </c>
      <c r="K77" s="18">
        <f t="shared" si="13"/>
        <v>199620000</v>
      </c>
      <c r="L77" s="18">
        <f t="shared" si="14"/>
        <v>199620000</v>
      </c>
      <c r="M77" s="18">
        <f t="shared" si="15"/>
        <v>0</v>
      </c>
      <c r="N77" s="20">
        <f>IF(AND(B77&gt;=설정!$B$6,B77&lt;설정!$B$23),1,0)</f>
        <v>1</v>
      </c>
      <c r="O77" s="20">
        <f>IF(AND(B77&gt;=설정!$B$6,B77&lt;설정!$B$24),1,0)</f>
        <v>0</v>
      </c>
      <c r="P77" s="20">
        <f>IF(B77&gt;=설정!$B$6,J77*(설정!$B$18-설정!$B$13),0)</f>
        <v>1197720</v>
      </c>
      <c r="Q77" s="18">
        <f t="shared" si="16"/>
        <v>198422280</v>
      </c>
      <c r="R77" s="20" t="str">
        <f>IF(물량원가기준!D77="","",물량원가기준!D77*H77)</f>
        <v/>
      </c>
      <c r="S77" s="18">
        <f t="shared" si="17"/>
        <v>1796580000</v>
      </c>
      <c r="T77" s="20">
        <f>물량원가기준!I77+IF(B77&gt;=설정!$B$6,I77*(설정!$B$18-설정!$B$13),0)</f>
        <v>95120</v>
      </c>
      <c r="U77" s="20">
        <f>IF(OR(COUNT(물량원가기준!E77:J77)&lt;&gt;6,COUNTIFS(물량원가기준!$A$6:$A$100,A77)&lt;&gt;1),0,1)</f>
        <v>1</v>
      </c>
    </row>
    <row r="78" spans="1:21" ht="30" customHeight="1">
      <c r="A78" s="12" t="str">
        <f>물량원가기준!A78</f>
        <v>2028-03|A-c</v>
      </c>
      <c r="B78" s="23">
        <f>물량원가기준!B78</f>
        <v>46813</v>
      </c>
      <c r="C78" s="12" t="str">
        <f>물량원가기준!C78</f>
        <v>A-c</v>
      </c>
      <c r="D78" s="19">
        <f>물량원가기준!E78</f>
        <v>6050</v>
      </c>
      <c r="E78" s="19">
        <f>물량원가기준!F78</f>
        <v>6050</v>
      </c>
      <c r="F78" s="19">
        <f>물량원가기준!G78</f>
        <v>230000</v>
      </c>
      <c r="G78" s="19">
        <f>SUM(물량원가기준!H78:J78)</f>
        <v>202000</v>
      </c>
      <c r="H78" s="17">
        <f t="shared" si="12"/>
        <v>28000</v>
      </c>
      <c r="I78" s="19">
        <f>부품모델매핑!D8</f>
        <v>0</v>
      </c>
      <c r="J78" s="19">
        <f>IF(ISNUMBER(물량원가기준!F78),E78*I78,"미산출")</f>
        <v>0</v>
      </c>
      <c r="K78" s="17">
        <f t="shared" si="13"/>
        <v>169400000</v>
      </c>
      <c r="L78" s="17">
        <f t="shared" si="14"/>
        <v>169400000</v>
      </c>
      <c r="M78" s="17">
        <f t="shared" si="15"/>
        <v>0</v>
      </c>
      <c r="N78" s="19">
        <f>IF(AND(B78&gt;=설정!$B$6,B78&lt;설정!$B$23),1,0)</f>
        <v>1</v>
      </c>
      <c r="O78" s="19">
        <f>IF(AND(B78&gt;=설정!$B$6,B78&lt;설정!$B$24),1,0)</f>
        <v>0</v>
      </c>
      <c r="P78" s="19">
        <f>IF(B78&gt;=설정!$B$6,J78*(설정!$B$18-설정!$B$13),0)</f>
        <v>0</v>
      </c>
      <c r="Q78" s="17">
        <f t="shared" si="16"/>
        <v>169400000</v>
      </c>
      <c r="R78" s="19" t="str">
        <f>IF(물량원가기준!D78="","",물량원가기준!D78*H78)</f>
        <v/>
      </c>
      <c r="S78" s="17">
        <f t="shared" si="17"/>
        <v>1391500000</v>
      </c>
      <c r="T78" s="19">
        <f>물량원가기준!I78+IF(B78&gt;=설정!$B$6,I78*(설정!$B$18-설정!$B$13),0)</f>
        <v>60000</v>
      </c>
      <c r="U78" s="19">
        <f>IF(OR(COUNT(물량원가기준!E78:J78)&lt;&gt;6,COUNTIFS(물량원가기준!$A$6:$A$100,A78)&lt;&gt;1),0,1)</f>
        <v>1</v>
      </c>
    </row>
    <row r="79" spans="1:21" ht="30" customHeight="1">
      <c r="A79" s="11" t="str">
        <f>물량원가기준!A79</f>
        <v>2028-03|A-d</v>
      </c>
      <c r="B79" s="24">
        <f>물량원가기준!B79</f>
        <v>46813</v>
      </c>
      <c r="C79" s="11" t="str">
        <f>물량원가기준!C79</f>
        <v>A-d</v>
      </c>
      <c r="D79" s="20">
        <f>물량원가기준!E79</f>
        <v>5144</v>
      </c>
      <c r="E79" s="20">
        <f>물량원가기준!F79</f>
        <v>5144</v>
      </c>
      <c r="F79" s="20">
        <f>물량원가기준!G79</f>
        <v>210000</v>
      </c>
      <c r="G79" s="20">
        <f>SUM(물량원가기준!H79:J79)</f>
        <v>185000</v>
      </c>
      <c r="H79" s="18">
        <f t="shared" si="12"/>
        <v>25000</v>
      </c>
      <c r="I79" s="20">
        <f>부품모델매핑!D9</f>
        <v>0</v>
      </c>
      <c r="J79" s="20">
        <f>IF(ISNUMBER(물량원가기준!F79),E79*I79,"미산출")</f>
        <v>0</v>
      </c>
      <c r="K79" s="18">
        <f t="shared" si="13"/>
        <v>128600000</v>
      </c>
      <c r="L79" s="18">
        <f t="shared" si="14"/>
        <v>128600000</v>
      </c>
      <c r="M79" s="18">
        <f t="shared" si="15"/>
        <v>0</v>
      </c>
      <c r="N79" s="20">
        <f>IF(AND(B79&gt;=설정!$B$6,B79&lt;설정!$B$23),1,0)</f>
        <v>1</v>
      </c>
      <c r="O79" s="20">
        <f>IF(AND(B79&gt;=설정!$B$6,B79&lt;설정!$B$24),1,0)</f>
        <v>0</v>
      </c>
      <c r="P79" s="20">
        <f>IF(B79&gt;=설정!$B$6,J79*(설정!$B$18-설정!$B$13),0)</f>
        <v>0</v>
      </c>
      <c r="Q79" s="18">
        <f t="shared" si="16"/>
        <v>128600000</v>
      </c>
      <c r="R79" s="20" t="str">
        <f>IF(물량원가기준!D79="","",물량원가기준!D79*H79)</f>
        <v/>
      </c>
      <c r="S79" s="18">
        <f t="shared" si="17"/>
        <v>1080240000</v>
      </c>
      <c r="T79" s="20">
        <f>물량원가기준!I79+IF(B79&gt;=설정!$B$6,I79*(설정!$B$18-설정!$B$13),0)</f>
        <v>65000</v>
      </c>
      <c r="U79" s="20">
        <f>IF(OR(COUNT(물량원가기준!E79:J79)&lt;&gt;6,COUNTIFS(물량원가기준!$A$6:$A$100,A79)&lt;&gt;1),0,1)</f>
        <v>1</v>
      </c>
    </row>
    <row r="80" spans="1:21" ht="30" customHeight="1">
      <c r="A80" s="12" t="str">
        <f>물량원가기준!A80</f>
        <v>2028-03|A-e</v>
      </c>
      <c r="B80" s="23">
        <f>물량원가기준!B80</f>
        <v>46813</v>
      </c>
      <c r="C80" s="12" t="str">
        <f>물량원가기준!C80</f>
        <v>A-e</v>
      </c>
      <c r="D80" s="19">
        <f>물량원가기준!E80</f>
        <v>3025</v>
      </c>
      <c r="E80" s="19">
        <f>물량원가기준!F80</f>
        <v>3025</v>
      </c>
      <c r="F80" s="19">
        <f>물량원가기준!G80</f>
        <v>150000</v>
      </c>
      <c r="G80" s="19">
        <f>SUM(물량원가기준!H80:J80)</f>
        <v>132000</v>
      </c>
      <c r="H80" s="17">
        <f t="shared" si="12"/>
        <v>18000</v>
      </c>
      <c r="I80" s="19">
        <f>부품모델매핑!D10</f>
        <v>0</v>
      </c>
      <c r="J80" s="19">
        <f>IF(ISNUMBER(물량원가기준!F80),E80*I80,"미산출")</f>
        <v>0</v>
      </c>
      <c r="K80" s="17">
        <f t="shared" si="13"/>
        <v>54450000</v>
      </c>
      <c r="L80" s="17">
        <f t="shared" si="14"/>
        <v>54450000</v>
      </c>
      <c r="M80" s="17">
        <f t="shared" si="15"/>
        <v>0</v>
      </c>
      <c r="N80" s="19">
        <f>IF(AND(B80&gt;=설정!$B$6,B80&lt;설정!$B$23),1,0)</f>
        <v>1</v>
      </c>
      <c r="O80" s="19">
        <f>IF(AND(B80&gt;=설정!$B$6,B80&lt;설정!$B$24),1,0)</f>
        <v>0</v>
      </c>
      <c r="P80" s="19">
        <f>IF(B80&gt;=설정!$B$6,J80*(설정!$B$18-설정!$B$13),0)</f>
        <v>0</v>
      </c>
      <c r="Q80" s="17">
        <f t="shared" si="16"/>
        <v>54450000</v>
      </c>
      <c r="R80" s="19" t="str">
        <f>IF(물량원가기준!D80="","",물량원가기준!D80*H80)</f>
        <v/>
      </c>
      <c r="S80" s="17">
        <f t="shared" si="17"/>
        <v>453750000</v>
      </c>
      <c r="T80" s="19">
        <f>물량원가기준!I80+IF(B80&gt;=설정!$B$6,I80*(설정!$B$18-설정!$B$13),0)</f>
        <v>50000</v>
      </c>
      <c r="U80" s="19">
        <f>IF(OR(COUNT(물량원가기준!E80:J80)&lt;&gt;6,COUNTIFS(물량원가기준!$A$6:$A$100,A80)&lt;&gt;1),0,1)</f>
        <v>1</v>
      </c>
    </row>
    <row r="81" spans="1:21" ht="30" customHeight="1">
      <c r="A81" s="11" t="str">
        <f>물량원가기준!A81</f>
        <v>2028-04|A-a</v>
      </c>
      <c r="B81" s="24">
        <f>물량원가기준!B81</f>
        <v>46844</v>
      </c>
      <c r="C81" s="11" t="str">
        <f>물량원가기준!C81</f>
        <v>A-a</v>
      </c>
      <c r="D81" s="20">
        <f>물량원가기준!E81</f>
        <v>3764</v>
      </c>
      <c r="E81" s="20">
        <f>물량원가기준!F81</f>
        <v>3764</v>
      </c>
      <c r="F81" s="20">
        <f>물량원가기준!G81</f>
        <v>300000</v>
      </c>
      <c r="G81" s="20">
        <f>SUM(물량원가기준!H81:J81)</f>
        <v>270000</v>
      </c>
      <c r="H81" s="18">
        <f t="shared" si="12"/>
        <v>30000</v>
      </c>
      <c r="I81" s="20">
        <f>부품모델매핑!D6</f>
        <v>1</v>
      </c>
      <c r="J81" s="20">
        <f>IF(ISNUMBER(물량원가기준!F81),E81*I81,"미산출")</f>
        <v>3764</v>
      </c>
      <c r="K81" s="18">
        <f t="shared" si="13"/>
        <v>112920000</v>
      </c>
      <c r="L81" s="18">
        <f t="shared" si="14"/>
        <v>112920000</v>
      </c>
      <c r="M81" s="18">
        <f t="shared" si="15"/>
        <v>0</v>
      </c>
      <c r="N81" s="20">
        <f>IF(AND(B81&gt;=설정!$B$6,B81&lt;설정!$B$23),1,0)</f>
        <v>1</v>
      </c>
      <c r="O81" s="20">
        <f>IF(AND(B81&gt;=설정!$B$6,B81&lt;설정!$B$24),1,0)</f>
        <v>0</v>
      </c>
      <c r="P81" s="20">
        <f>IF(B81&gt;=설정!$B$6,J81*(설정!$B$18-설정!$B$13),0)</f>
        <v>451680</v>
      </c>
      <c r="Q81" s="18">
        <f t="shared" si="16"/>
        <v>112468320</v>
      </c>
      <c r="R81" s="20" t="str">
        <f>IF(물량원가기준!D81="","",물량원가기준!D81*H81)</f>
        <v/>
      </c>
      <c r="S81" s="18">
        <f t="shared" si="17"/>
        <v>1129200000</v>
      </c>
      <c r="T81" s="20">
        <f>물량원가기준!I81+IF(B81&gt;=설정!$B$6,I81*(설정!$B$18-설정!$B$13),0)</f>
        <v>75120</v>
      </c>
      <c r="U81" s="20">
        <f>IF(OR(COUNT(물량원가기준!E81:J81)&lt;&gt;6,COUNTIFS(물량원가기준!$A$6:$A$100,A81)&lt;&gt;1),0,1)</f>
        <v>1</v>
      </c>
    </row>
    <row r="82" spans="1:21" ht="30" customHeight="1">
      <c r="A82" s="12" t="str">
        <f>물량원가기준!A82</f>
        <v>2028-04|A-b</v>
      </c>
      <c r="B82" s="23">
        <f>물량원가기준!B82</f>
        <v>46844</v>
      </c>
      <c r="C82" s="12" t="str">
        <f>물량원가기준!C82</f>
        <v>A-b</v>
      </c>
      <c r="D82" s="19">
        <f>물량원가기준!E82</f>
        <v>9409</v>
      </c>
      <c r="E82" s="19">
        <f>물량원가기준!F82</f>
        <v>9409</v>
      </c>
      <c r="F82" s="19">
        <f>물량원가기준!G82</f>
        <v>180000</v>
      </c>
      <c r="G82" s="19">
        <f>SUM(물량원가기준!H82:J82)</f>
        <v>160000</v>
      </c>
      <c r="H82" s="17">
        <f t="shared" si="12"/>
        <v>20000</v>
      </c>
      <c r="I82" s="19">
        <f>부품모델매핑!D7</f>
        <v>1</v>
      </c>
      <c r="J82" s="19">
        <f>IF(ISNUMBER(물량원가기준!F82),E82*I82,"미산출")</f>
        <v>9409</v>
      </c>
      <c r="K82" s="17">
        <f t="shared" si="13"/>
        <v>188180000</v>
      </c>
      <c r="L82" s="17">
        <f t="shared" si="14"/>
        <v>188180000</v>
      </c>
      <c r="M82" s="17">
        <f t="shared" si="15"/>
        <v>0</v>
      </c>
      <c r="N82" s="19">
        <f>IF(AND(B82&gt;=설정!$B$6,B82&lt;설정!$B$23),1,0)</f>
        <v>1</v>
      </c>
      <c r="O82" s="19">
        <f>IF(AND(B82&gt;=설정!$B$6,B82&lt;설정!$B$24),1,0)</f>
        <v>0</v>
      </c>
      <c r="P82" s="19">
        <f>IF(B82&gt;=설정!$B$6,J82*(설정!$B$18-설정!$B$13),0)</f>
        <v>1129080</v>
      </c>
      <c r="Q82" s="17">
        <f t="shared" si="16"/>
        <v>187050920</v>
      </c>
      <c r="R82" s="19" t="str">
        <f>IF(물량원가기준!D82="","",물량원가기준!D82*H82)</f>
        <v/>
      </c>
      <c r="S82" s="17">
        <f t="shared" si="17"/>
        <v>1693620000</v>
      </c>
      <c r="T82" s="19">
        <f>물량원가기준!I82+IF(B82&gt;=설정!$B$6,I82*(설정!$B$18-설정!$B$13),0)</f>
        <v>95120</v>
      </c>
      <c r="U82" s="19">
        <f>IF(OR(COUNT(물량원가기준!E82:J82)&lt;&gt;6,COUNTIFS(물량원가기준!$A$6:$A$100,A82)&lt;&gt;1),0,1)</f>
        <v>1</v>
      </c>
    </row>
    <row r="83" spans="1:21" ht="30" customHeight="1">
      <c r="A83" s="11" t="str">
        <f>물량원가기준!A83</f>
        <v>2028-04|A-c</v>
      </c>
      <c r="B83" s="24">
        <f>물량원가기준!B83</f>
        <v>46844</v>
      </c>
      <c r="C83" s="11" t="str">
        <f>물량원가기준!C83</f>
        <v>A-c</v>
      </c>
      <c r="D83" s="20">
        <f>물량원가기준!E83</f>
        <v>5762</v>
      </c>
      <c r="E83" s="20">
        <f>물량원가기준!F83</f>
        <v>5762</v>
      </c>
      <c r="F83" s="20">
        <f>물량원가기준!G83</f>
        <v>230000</v>
      </c>
      <c r="G83" s="20">
        <f>SUM(물량원가기준!H83:J83)</f>
        <v>202000</v>
      </c>
      <c r="H83" s="18">
        <f t="shared" si="12"/>
        <v>28000</v>
      </c>
      <c r="I83" s="20">
        <f>부품모델매핑!D8</f>
        <v>0</v>
      </c>
      <c r="J83" s="20">
        <f>IF(ISNUMBER(물량원가기준!F83),E83*I83,"미산출")</f>
        <v>0</v>
      </c>
      <c r="K83" s="18">
        <f t="shared" si="13"/>
        <v>161336000</v>
      </c>
      <c r="L83" s="18">
        <f t="shared" si="14"/>
        <v>161336000</v>
      </c>
      <c r="M83" s="18">
        <f t="shared" si="15"/>
        <v>0</v>
      </c>
      <c r="N83" s="20">
        <f>IF(AND(B83&gt;=설정!$B$6,B83&lt;설정!$B$23),1,0)</f>
        <v>1</v>
      </c>
      <c r="O83" s="20">
        <f>IF(AND(B83&gt;=설정!$B$6,B83&lt;설정!$B$24),1,0)</f>
        <v>0</v>
      </c>
      <c r="P83" s="20">
        <f>IF(B83&gt;=설정!$B$6,J83*(설정!$B$18-설정!$B$13),0)</f>
        <v>0</v>
      </c>
      <c r="Q83" s="18">
        <f t="shared" si="16"/>
        <v>161336000</v>
      </c>
      <c r="R83" s="20" t="str">
        <f>IF(물량원가기준!D83="","",물량원가기준!D83*H83)</f>
        <v/>
      </c>
      <c r="S83" s="18">
        <f t="shared" si="17"/>
        <v>1325260000</v>
      </c>
      <c r="T83" s="20">
        <f>물량원가기준!I83+IF(B83&gt;=설정!$B$6,I83*(설정!$B$18-설정!$B$13),0)</f>
        <v>60000</v>
      </c>
      <c r="U83" s="20">
        <f>IF(OR(COUNT(물량원가기준!E83:J83)&lt;&gt;6,COUNTIFS(물량원가기준!$A$6:$A$100,A83)&lt;&gt;1),0,1)</f>
        <v>1</v>
      </c>
    </row>
    <row r="84" spans="1:21" ht="30" customHeight="1">
      <c r="A84" s="12" t="str">
        <f>물량원가기준!A84</f>
        <v>2028-04|A-d</v>
      </c>
      <c r="B84" s="23">
        <f>물량원가기준!B84</f>
        <v>46844</v>
      </c>
      <c r="C84" s="12" t="str">
        <f>물량원가기준!C84</f>
        <v>A-d</v>
      </c>
      <c r="D84" s="19">
        <f>물량원가기준!E84</f>
        <v>4899</v>
      </c>
      <c r="E84" s="19">
        <f>물량원가기준!F84</f>
        <v>4899</v>
      </c>
      <c r="F84" s="19">
        <f>물량원가기준!G84</f>
        <v>210000</v>
      </c>
      <c r="G84" s="19">
        <f>SUM(물량원가기준!H84:J84)</f>
        <v>185000</v>
      </c>
      <c r="H84" s="17">
        <f t="shared" si="12"/>
        <v>25000</v>
      </c>
      <c r="I84" s="19">
        <f>부품모델매핑!D9</f>
        <v>0</v>
      </c>
      <c r="J84" s="19">
        <f>IF(ISNUMBER(물량원가기준!F84),E84*I84,"미산출")</f>
        <v>0</v>
      </c>
      <c r="K84" s="17">
        <f t="shared" si="13"/>
        <v>122475000</v>
      </c>
      <c r="L84" s="17">
        <f t="shared" si="14"/>
        <v>122475000</v>
      </c>
      <c r="M84" s="17">
        <f t="shared" si="15"/>
        <v>0</v>
      </c>
      <c r="N84" s="19">
        <f>IF(AND(B84&gt;=설정!$B$6,B84&lt;설정!$B$23),1,0)</f>
        <v>1</v>
      </c>
      <c r="O84" s="19">
        <f>IF(AND(B84&gt;=설정!$B$6,B84&lt;설정!$B$24),1,0)</f>
        <v>0</v>
      </c>
      <c r="P84" s="19">
        <f>IF(B84&gt;=설정!$B$6,J84*(설정!$B$18-설정!$B$13),0)</f>
        <v>0</v>
      </c>
      <c r="Q84" s="17">
        <f t="shared" si="16"/>
        <v>122475000</v>
      </c>
      <c r="R84" s="19" t="str">
        <f>IF(물량원가기준!D84="","",물량원가기준!D84*H84)</f>
        <v/>
      </c>
      <c r="S84" s="17">
        <f t="shared" si="17"/>
        <v>1028790000</v>
      </c>
      <c r="T84" s="19">
        <f>물량원가기준!I84+IF(B84&gt;=설정!$B$6,I84*(설정!$B$18-설정!$B$13),0)</f>
        <v>65000</v>
      </c>
      <c r="U84" s="19">
        <f>IF(OR(COUNT(물량원가기준!E84:J84)&lt;&gt;6,COUNTIFS(물량원가기준!$A$6:$A$100,A84)&lt;&gt;1),0,1)</f>
        <v>1</v>
      </c>
    </row>
    <row r="85" spans="1:21" ht="30" customHeight="1">
      <c r="A85" s="11" t="str">
        <f>물량원가기준!A85</f>
        <v>2028-04|A-e</v>
      </c>
      <c r="B85" s="24">
        <f>물량원가기준!B85</f>
        <v>46844</v>
      </c>
      <c r="C85" s="11" t="str">
        <f>물량원가기준!C85</f>
        <v>A-e</v>
      </c>
      <c r="D85" s="20">
        <f>물량원가기준!E85</f>
        <v>2881</v>
      </c>
      <c r="E85" s="20">
        <f>물량원가기준!F85</f>
        <v>2881</v>
      </c>
      <c r="F85" s="20">
        <f>물량원가기준!G85</f>
        <v>150000</v>
      </c>
      <c r="G85" s="20">
        <f>SUM(물량원가기준!H85:J85)</f>
        <v>132000</v>
      </c>
      <c r="H85" s="18">
        <f t="shared" si="12"/>
        <v>18000</v>
      </c>
      <c r="I85" s="20">
        <f>부품모델매핑!D10</f>
        <v>0</v>
      </c>
      <c r="J85" s="20">
        <f>IF(ISNUMBER(물량원가기준!F85),E85*I85,"미산출")</f>
        <v>0</v>
      </c>
      <c r="K85" s="18">
        <f t="shared" si="13"/>
        <v>51858000</v>
      </c>
      <c r="L85" s="18">
        <f t="shared" si="14"/>
        <v>51858000</v>
      </c>
      <c r="M85" s="18">
        <f t="shared" si="15"/>
        <v>0</v>
      </c>
      <c r="N85" s="20">
        <f>IF(AND(B85&gt;=설정!$B$6,B85&lt;설정!$B$23),1,0)</f>
        <v>1</v>
      </c>
      <c r="O85" s="20">
        <f>IF(AND(B85&gt;=설정!$B$6,B85&lt;설정!$B$24),1,0)</f>
        <v>0</v>
      </c>
      <c r="P85" s="20">
        <f>IF(B85&gt;=설정!$B$6,J85*(설정!$B$18-설정!$B$13),0)</f>
        <v>0</v>
      </c>
      <c r="Q85" s="18">
        <f t="shared" si="16"/>
        <v>51858000</v>
      </c>
      <c r="R85" s="20" t="str">
        <f>IF(물량원가기준!D85="","",물량원가기준!D85*H85)</f>
        <v/>
      </c>
      <c r="S85" s="18">
        <f t="shared" si="17"/>
        <v>432150000</v>
      </c>
      <c r="T85" s="20">
        <f>물량원가기준!I85+IF(B85&gt;=설정!$B$6,I85*(설정!$B$18-설정!$B$13),0)</f>
        <v>50000</v>
      </c>
      <c r="U85" s="20">
        <f>IF(OR(COUNT(물량원가기준!E85:J85)&lt;&gt;6,COUNTIFS(물량원가기준!$A$6:$A$100,A85)&lt;&gt;1),0,1)</f>
        <v>1</v>
      </c>
    </row>
    <row r="86" spans="1:21" ht="30" customHeight="1">
      <c r="A86" s="12" t="str">
        <f>물량원가기준!A86</f>
        <v>2028-05|A-a</v>
      </c>
      <c r="B86" s="23">
        <f>물량원가기준!B86</f>
        <v>46874</v>
      </c>
      <c r="C86" s="12" t="str">
        <f>물량원가기준!C86</f>
        <v>A-a</v>
      </c>
      <c r="D86" s="19">
        <f>물량원가기준!E86</f>
        <v>3650</v>
      </c>
      <c r="E86" s="19">
        <f>물량원가기준!F86</f>
        <v>3650</v>
      </c>
      <c r="F86" s="19">
        <f>물량원가기준!G86</f>
        <v>300000</v>
      </c>
      <c r="G86" s="19">
        <f>SUM(물량원가기준!H86:J86)</f>
        <v>270000</v>
      </c>
      <c r="H86" s="17">
        <f t="shared" si="12"/>
        <v>30000</v>
      </c>
      <c r="I86" s="19">
        <f>부품모델매핑!D6</f>
        <v>1</v>
      </c>
      <c r="J86" s="19">
        <f>IF(ISNUMBER(물량원가기준!F86),E86*I86,"미산출")</f>
        <v>3650</v>
      </c>
      <c r="K86" s="17">
        <f t="shared" si="13"/>
        <v>109500000</v>
      </c>
      <c r="L86" s="17">
        <f t="shared" si="14"/>
        <v>109500000</v>
      </c>
      <c r="M86" s="17">
        <f t="shared" si="15"/>
        <v>0</v>
      </c>
      <c r="N86" s="19">
        <f>IF(AND(B86&gt;=설정!$B$6,B86&lt;설정!$B$23),1,0)</f>
        <v>1</v>
      </c>
      <c r="O86" s="19">
        <f>IF(AND(B86&gt;=설정!$B$6,B86&lt;설정!$B$24),1,0)</f>
        <v>0</v>
      </c>
      <c r="P86" s="19">
        <f>IF(B86&gt;=설정!$B$6,J86*(설정!$B$18-설정!$B$13),0)</f>
        <v>438000</v>
      </c>
      <c r="Q86" s="17">
        <f t="shared" si="16"/>
        <v>109062000</v>
      </c>
      <c r="R86" s="19" t="str">
        <f>IF(물량원가기준!D86="","",물량원가기준!D86*H86)</f>
        <v/>
      </c>
      <c r="S86" s="17">
        <f t="shared" si="17"/>
        <v>1095000000</v>
      </c>
      <c r="T86" s="19">
        <f>물량원가기준!I86+IF(B86&gt;=설정!$B$6,I86*(설정!$B$18-설정!$B$13),0)</f>
        <v>75120</v>
      </c>
      <c r="U86" s="19">
        <f>IF(OR(COUNT(물량원가기준!E86:J86)&lt;&gt;6,COUNTIFS(물량원가기준!$A$6:$A$100,A86)&lt;&gt;1),0,1)</f>
        <v>1</v>
      </c>
    </row>
    <row r="87" spans="1:21" ht="30" customHeight="1">
      <c r="A87" s="11" t="str">
        <f>물량원가기준!A87</f>
        <v>2028-05|A-b</v>
      </c>
      <c r="B87" s="24">
        <f>물량원가기준!B87</f>
        <v>46874</v>
      </c>
      <c r="C87" s="11" t="str">
        <f>물량원가기준!C87</f>
        <v>A-b</v>
      </c>
      <c r="D87" s="20">
        <f>물량원가기준!E87</f>
        <v>9126</v>
      </c>
      <c r="E87" s="20">
        <f>물량원가기준!F87</f>
        <v>9126</v>
      </c>
      <c r="F87" s="20">
        <f>물량원가기준!G87</f>
        <v>180000</v>
      </c>
      <c r="G87" s="20">
        <f>SUM(물량원가기준!H87:J87)</f>
        <v>160000</v>
      </c>
      <c r="H87" s="18">
        <f t="shared" si="12"/>
        <v>20000</v>
      </c>
      <c r="I87" s="20">
        <f>부품모델매핑!D7</f>
        <v>1</v>
      </c>
      <c r="J87" s="20">
        <f>IF(ISNUMBER(물량원가기준!F87),E87*I87,"미산출")</f>
        <v>9126</v>
      </c>
      <c r="K87" s="18">
        <f t="shared" si="13"/>
        <v>182520000</v>
      </c>
      <c r="L87" s="18">
        <f t="shared" si="14"/>
        <v>182520000</v>
      </c>
      <c r="M87" s="18">
        <f t="shared" si="15"/>
        <v>0</v>
      </c>
      <c r="N87" s="20">
        <f>IF(AND(B87&gt;=설정!$B$6,B87&lt;설정!$B$23),1,0)</f>
        <v>1</v>
      </c>
      <c r="O87" s="20">
        <f>IF(AND(B87&gt;=설정!$B$6,B87&lt;설정!$B$24),1,0)</f>
        <v>0</v>
      </c>
      <c r="P87" s="20">
        <f>IF(B87&gt;=설정!$B$6,J87*(설정!$B$18-설정!$B$13),0)</f>
        <v>1095120</v>
      </c>
      <c r="Q87" s="18">
        <f t="shared" si="16"/>
        <v>181424880</v>
      </c>
      <c r="R87" s="20" t="str">
        <f>IF(물량원가기준!D87="","",물량원가기준!D87*H87)</f>
        <v/>
      </c>
      <c r="S87" s="18">
        <f t="shared" si="17"/>
        <v>1642680000</v>
      </c>
      <c r="T87" s="20">
        <f>물량원가기준!I87+IF(B87&gt;=설정!$B$6,I87*(설정!$B$18-설정!$B$13),0)</f>
        <v>95120</v>
      </c>
      <c r="U87" s="20">
        <f>IF(OR(COUNT(물량원가기준!E87:J87)&lt;&gt;6,COUNTIFS(물량원가기준!$A$6:$A$100,A87)&lt;&gt;1),0,1)</f>
        <v>1</v>
      </c>
    </row>
    <row r="88" spans="1:21" ht="30" customHeight="1">
      <c r="A88" s="12" t="str">
        <f>물량원가기준!A88</f>
        <v>2028-05|A-c</v>
      </c>
      <c r="B88" s="23">
        <f>물량원가기준!B88</f>
        <v>46874</v>
      </c>
      <c r="C88" s="12" t="str">
        <f>물량원가기준!C88</f>
        <v>A-c</v>
      </c>
      <c r="D88" s="19">
        <f>물량원가기준!E88</f>
        <v>5646</v>
      </c>
      <c r="E88" s="19">
        <f>물량원가기준!F88</f>
        <v>5646</v>
      </c>
      <c r="F88" s="19">
        <f>물량원가기준!G88</f>
        <v>230000</v>
      </c>
      <c r="G88" s="19">
        <f>SUM(물량원가기준!H88:J88)</f>
        <v>202000</v>
      </c>
      <c r="H88" s="17">
        <f t="shared" si="12"/>
        <v>28000</v>
      </c>
      <c r="I88" s="19">
        <f>부품모델매핑!D8</f>
        <v>0</v>
      </c>
      <c r="J88" s="19">
        <f>IF(ISNUMBER(물량원가기준!F88),E88*I88,"미산출")</f>
        <v>0</v>
      </c>
      <c r="K88" s="17">
        <f t="shared" si="13"/>
        <v>158088000</v>
      </c>
      <c r="L88" s="17">
        <f t="shared" si="14"/>
        <v>158088000</v>
      </c>
      <c r="M88" s="17">
        <f t="shared" si="15"/>
        <v>0</v>
      </c>
      <c r="N88" s="19">
        <f>IF(AND(B88&gt;=설정!$B$6,B88&lt;설정!$B$23),1,0)</f>
        <v>1</v>
      </c>
      <c r="O88" s="19">
        <f>IF(AND(B88&gt;=설정!$B$6,B88&lt;설정!$B$24),1,0)</f>
        <v>0</v>
      </c>
      <c r="P88" s="19">
        <f>IF(B88&gt;=설정!$B$6,J88*(설정!$B$18-설정!$B$13),0)</f>
        <v>0</v>
      </c>
      <c r="Q88" s="17">
        <f t="shared" si="16"/>
        <v>158088000</v>
      </c>
      <c r="R88" s="19" t="str">
        <f>IF(물량원가기준!D88="","",물량원가기준!D88*H88)</f>
        <v/>
      </c>
      <c r="S88" s="17">
        <f t="shared" si="17"/>
        <v>1298580000</v>
      </c>
      <c r="T88" s="19">
        <f>물량원가기준!I88+IF(B88&gt;=설정!$B$6,I88*(설정!$B$18-설정!$B$13),0)</f>
        <v>60000</v>
      </c>
      <c r="U88" s="19">
        <f>IF(OR(COUNT(물량원가기준!E88:J88)&lt;&gt;6,COUNTIFS(물량원가기준!$A$6:$A$100,A88)&lt;&gt;1),0,1)</f>
        <v>1</v>
      </c>
    </row>
    <row r="89" spans="1:21" ht="30" customHeight="1">
      <c r="A89" s="11" t="str">
        <f>물량원가기준!A89</f>
        <v>2028-05|A-d</v>
      </c>
      <c r="B89" s="24">
        <f>물량원가기준!B89</f>
        <v>46874</v>
      </c>
      <c r="C89" s="11" t="str">
        <f>물량원가기준!C89</f>
        <v>A-d</v>
      </c>
      <c r="D89" s="20">
        <f>물량원가기준!E89</f>
        <v>4801</v>
      </c>
      <c r="E89" s="20">
        <f>물량원가기준!F89</f>
        <v>4801</v>
      </c>
      <c r="F89" s="20">
        <f>물량원가기준!G89</f>
        <v>210000</v>
      </c>
      <c r="G89" s="20">
        <f>SUM(물량원가기준!H89:J89)</f>
        <v>185000</v>
      </c>
      <c r="H89" s="18">
        <f t="shared" si="12"/>
        <v>25000</v>
      </c>
      <c r="I89" s="20">
        <f>부품모델매핑!D9</f>
        <v>0</v>
      </c>
      <c r="J89" s="20">
        <f>IF(ISNUMBER(물량원가기준!F89),E89*I89,"미산출")</f>
        <v>0</v>
      </c>
      <c r="K89" s="18">
        <f t="shared" si="13"/>
        <v>120025000</v>
      </c>
      <c r="L89" s="18">
        <f t="shared" si="14"/>
        <v>120025000</v>
      </c>
      <c r="M89" s="18">
        <f t="shared" si="15"/>
        <v>0</v>
      </c>
      <c r="N89" s="20">
        <f>IF(AND(B89&gt;=설정!$B$6,B89&lt;설정!$B$23),1,0)</f>
        <v>1</v>
      </c>
      <c r="O89" s="20">
        <f>IF(AND(B89&gt;=설정!$B$6,B89&lt;설정!$B$24),1,0)</f>
        <v>0</v>
      </c>
      <c r="P89" s="20">
        <f>IF(B89&gt;=설정!$B$6,J89*(설정!$B$18-설정!$B$13),0)</f>
        <v>0</v>
      </c>
      <c r="Q89" s="18">
        <f t="shared" si="16"/>
        <v>120025000</v>
      </c>
      <c r="R89" s="20" t="str">
        <f>IF(물량원가기준!D89="","",물량원가기준!D89*H89)</f>
        <v/>
      </c>
      <c r="S89" s="18">
        <f t="shared" si="17"/>
        <v>1008210000</v>
      </c>
      <c r="T89" s="20">
        <f>물량원가기준!I89+IF(B89&gt;=설정!$B$6,I89*(설정!$B$18-설정!$B$13),0)</f>
        <v>65000</v>
      </c>
      <c r="U89" s="20">
        <f>IF(OR(COUNT(물량원가기준!E89:J89)&lt;&gt;6,COUNTIFS(물량원가기준!$A$6:$A$100,A89)&lt;&gt;1),0,1)</f>
        <v>1</v>
      </c>
    </row>
    <row r="90" spans="1:21" ht="30" customHeight="1">
      <c r="A90" s="12" t="str">
        <f>물량원가기준!A90</f>
        <v>2028-05|A-e</v>
      </c>
      <c r="B90" s="23">
        <f>물량원가기준!B90</f>
        <v>46874</v>
      </c>
      <c r="C90" s="12" t="str">
        <f>물량원가기준!C90</f>
        <v>A-e</v>
      </c>
      <c r="D90" s="19">
        <f>물량원가기준!E90</f>
        <v>2824</v>
      </c>
      <c r="E90" s="19">
        <f>물량원가기준!F90</f>
        <v>2824</v>
      </c>
      <c r="F90" s="19">
        <f>물량원가기준!G90</f>
        <v>150000</v>
      </c>
      <c r="G90" s="19">
        <f>SUM(물량원가기준!H90:J90)</f>
        <v>132000</v>
      </c>
      <c r="H90" s="17">
        <f t="shared" si="12"/>
        <v>18000</v>
      </c>
      <c r="I90" s="19">
        <f>부품모델매핑!D10</f>
        <v>0</v>
      </c>
      <c r="J90" s="19">
        <f>IF(ISNUMBER(물량원가기준!F90),E90*I90,"미산출")</f>
        <v>0</v>
      </c>
      <c r="K90" s="17">
        <f t="shared" si="13"/>
        <v>50832000</v>
      </c>
      <c r="L90" s="17">
        <f t="shared" si="14"/>
        <v>50832000</v>
      </c>
      <c r="M90" s="17">
        <f t="shared" si="15"/>
        <v>0</v>
      </c>
      <c r="N90" s="19">
        <f>IF(AND(B90&gt;=설정!$B$6,B90&lt;설정!$B$23),1,0)</f>
        <v>1</v>
      </c>
      <c r="O90" s="19">
        <f>IF(AND(B90&gt;=설정!$B$6,B90&lt;설정!$B$24),1,0)</f>
        <v>0</v>
      </c>
      <c r="P90" s="19">
        <f>IF(B90&gt;=설정!$B$6,J90*(설정!$B$18-설정!$B$13),0)</f>
        <v>0</v>
      </c>
      <c r="Q90" s="17">
        <f t="shared" si="16"/>
        <v>50832000</v>
      </c>
      <c r="R90" s="19" t="str">
        <f>IF(물량원가기준!D90="","",물량원가기준!D90*H90)</f>
        <v/>
      </c>
      <c r="S90" s="17">
        <f t="shared" si="17"/>
        <v>423600000</v>
      </c>
      <c r="T90" s="19">
        <f>물량원가기준!I90+IF(B90&gt;=설정!$B$6,I90*(설정!$B$18-설정!$B$13),0)</f>
        <v>50000</v>
      </c>
      <c r="U90" s="19">
        <f>IF(OR(COUNT(물량원가기준!E90:J90)&lt;&gt;6,COUNTIFS(물량원가기준!$A$6:$A$100,A90)&lt;&gt;1),0,1)</f>
        <v>1</v>
      </c>
    </row>
    <row r="91" spans="1:21" ht="30" customHeight="1">
      <c r="A91" s="11" t="str">
        <f>물량원가기준!A91</f>
        <v>2028-06|A-a</v>
      </c>
      <c r="B91" s="24">
        <f>물량원가기준!B91</f>
        <v>46905</v>
      </c>
      <c r="C91" s="11" t="str">
        <f>물량원가기준!C91</f>
        <v>A-a</v>
      </c>
      <c r="D91" s="20">
        <f>물량원가기준!E91</f>
        <v>3686</v>
      </c>
      <c r="E91" s="20">
        <f>물량원가기준!F91</f>
        <v>3686</v>
      </c>
      <c r="F91" s="20">
        <f>물량원가기준!G91</f>
        <v>300000</v>
      </c>
      <c r="G91" s="20">
        <f>SUM(물량원가기준!H91:J91)</f>
        <v>270000</v>
      </c>
      <c r="H91" s="18">
        <f t="shared" si="12"/>
        <v>30000</v>
      </c>
      <c r="I91" s="20">
        <f>부품모델매핑!D6</f>
        <v>1</v>
      </c>
      <c r="J91" s="20">
        <f>IF(ISNUMBER(물량원가기준!F91),E91*I91,"미산출")</f>
        <v>3686</v>
      </c>
      <c r="K91" s="18">
        <f t="shared" si="13"/>
        <v>110580000</v>
      </c>
      <c r="L91" s="18">
        <f t="shared" si="14"/>
        <v>110580000</v>
      </c>
      <c r="M91" s="18">
        <f t="shared" si="15"/>
        <v>0</v>
      </c>
      <c r="N91" s="20">
        <f>IF(AND(B91&gt;=설정!$B$6,B91&lt;설정!$B$23),1,0)</f>
        <v>1</v>
      </c>
      <c r="O91" s="20">
        <f>IF(AND(B91&gt;=설정!$B$6,B91&lt;설정!$B$24),1,0)</f>
        <v>0</v>
      </c>
      <c r="P91" s="20">
        <f>IF(B91&gt;=설정!$B$6,J91*(설정!$B$18-설정!$B$13),0)</f>
        <v>442320</v>
      </c>
      <c r="Q91" s="18">
        <f t="shared" si="16"/>
        <v>110137680</v>
      </c>
      <c r="R91" s="20" t="str">
        <f>IF(물량원가기준!D91="","",물량원가기준!D91*H91)</f>
        <v/>
      </c>
      <c r="S91" s="18">
        <f t="shared" si="17"/>
        <v>1105800000</v>
      </c>
      <c r="T91" s="20">
        <f>물량원가기준!I91+IF(B91&gt;=설정!$B$6,I91*(설정!$B$18-설정!$B$13),0)</f>
        <v>75120</v>
      </c>
      <c r="U91" s="20">
        <f>IF(OR(COUNT(물량원가기준!E91:J91)&lt;&gt;6,COUNTIFS(물량원가기준!$A$6:$A$100,A91)&lt;&gt;1),0,1)</f>
        <v>1</v>
      </c>
    </row>
    <row r="92" spans="1:21" ht="30" customHeight="1">
      <c r="A92" s="12" t="str">
        <f>물량원가기준!A92</f>
        <v>2028-06|A-b</v>
      </c>
      <c r="B92" s="23">
        <f>물량원가기준!B92</f>
        <v>46905</v>
      </c>
      <c r="C92" s="12" t="str">
        <f>물량원가기준!C92</f>
        <v>A-b</v>
      </c>
      <c r="D92" s="19">
        <f>물량원가기준!E92</f>
        <v>9215</v>
      </c>
      <c r="E92" s="19">
        <f>물량원가기준!F92</f>
        <v>9215</v>
      </c>
      <c r="F92" s="19">
        <f>물량원가기준!G92</f>
        <v>180000</v>
      </c>
      <c r="G92" s="19">
        <f>SUM(물량원가기준!H92:J92)</f>
        <v>160000</v>
      </c>
      <c r="H92" s="17">
        <f t="shared" si="12"/>
        <v>20000</v>
      </c>
      <c r="I92" s="19">
        <f>부품모델매핑!D7</f>
        <v>1</v>
      </c>
      <c r="J92" s="19">
        <f>IF(ISNUMBER(물량원가기준!F92),E92*I92,"미산출")</f>
        <v>9215</v>
      </c>
      <c r="K92" s="17">
        <f t="shared" si="13"/>
        <v>184300000</v>
      </c>
      <c r="L92" s="17">
        <f t="shared" si="14"/>
        <v>184300000</v>
      </c>
      <c r="M92" s="17">
        <f t="shared" si="15"/>
        <v>0</v>
      </c>
      <c r="N92" s="19">
        <f>IF(AND(B92&gt;=설정!$B$6,B92&lt;설정!$B$23),1,0)</f>
        <v>1</v>
      </c>
      <c r="O92" s="19">
        <f>IF(AND(B92&gt;=설정!$B$6,B92&lt;설정!$B$24),1,0)</f>
        <v>0</v>
      </c>
      <c r="P92" s="19">
        <f>IF(B92&gt;=설정!$B$6,J92*(설정!$B$18-설정!$B$13),0)</f>
        <v>1105800</v>
      </c>
      <c r="Q92" s="17">
        <f t="shared" si="16"/>
        <v>183194200</v>
      </c>
      <c r="R92" s="19" t="str">
        <f>IF(물량원가기준!D92="","",물량원가기준!D92*H92)</f>
        <v/>
      </c>
      <c r="S92" s="17">
        <f t="shared" si="17"/>
        <v>1658700000</v>
      </c>
      <c r="T92" s="19">
        <f>물량원가기준!I92+IF(B92&gt;=설정!$B$6,I92*(설정!$B$18-설정!$B$13),0)</f>
        <v>95120</v>
      </c>
      <c r="U92" s="19">
        <f>IF(OR(COUNT(물량원가기준!E92:J92)&lt;&gt;6,COUNTIFS(물량원가기준!$A$6:$A$100,A92)&lt;&gt;1),0,1)</f>
        <v>1</v>
      </c>
    </row>
    <row r="93" spans="1:21" ht="30" customHeight="1">
      <c r="A93" s="11" t="str">
        <f>물량원가기준!A93</f>
        <v>2028-06|A-c</v>
      </c>
      <c r="B93" s="24">
        <f>물량원가기준!B93</f>
        <v>46905</v>
      </c>
      <c r="C93" s="11" t="str">
        <f>물량원가기준!C93</f>
        <v>A-c</v>
      </c>
      <c r="D93" s="20">
        <f>물량원가기준!E93</f>
        <v>5762</v>
      </c>
      <c r="E93" s="20">
        <f>물량원가기준!F93</f>
        <v>5762</v>
      </c>
      <c r="F93" s="20">
        <f>물량원가기준!G93</f>
        <v>230000</v>
      </c>
      <c r="G93" s="20">
        <f>SUM(물량원가기준!H93:J93)</f>
        <v>202000</v>
      </c>
      <c r="H93" s="18">
        <f t="shared" si="12"/>
        <v>28000</v>
      </c>
      <c r="I93" s="20">
        <f>부품모델매핑!D8</f>
        <v>0</v>
      </c>
      <c r="J93" s="20">
        <f>IF(ISNUMBER(물량원가기준!F93),E93*I93,"미산출")</f>
        <v>0</v>
      </c>
      <c r="K93" s="18">
        <f t="shared" si="13"/>
        <v>161336000</v>
      </c>
      <c r="L93" s="18">
        <f t="shared" si="14"/>
        <v>161336000</v>
      </c>
      <c r="M93" s="18">
        <f t="shared" si="15"/>
        <v>0</v>
      </c>
      <c r="N93" s="20">
        <f>IF(AND(B93&gt;=설정!$B$6,B93&lt;설정!$B$23),1,0)</f>
        <v>1</v>
      </c>
      <c r="O93" s="20">
        <f>IF(AND(B93&gt;=설정!$B$6,B93&lt;설정!$B$24),1,0)</f>
        <v>0</v>
      </c>
      <c r="P93" s="20">
        <f>IF(B93&gt;=설정!$B$6,J93*(설정!$B$18-설정!$B$13),0)</f>
        <v>0</v>
      </c>
      <c r="Q93" s="18">
        <f t="shared" si="16"/>
        <v>161336000</v>
      </c>
      <c r="R93" s="20" t="str">
        <f>IF(물량원가기준!D93="","",물량원가기준!D93*H93)</f>
        <v/>
      </c>
      <c r="S93" s="18">
        <f t="shared" si="17"/>
        <v>1325260000</v>
      </c>
      <c r="T93" s="20">
        <f>물량원가기준!I93+IF(B93&gt;=설정!$B$6,I93*(설정!$B$18-설정!$B$13),0)</f>
        <v>60000</v>
      </c>
      <c r="U93" s="20">
        <f>IF(OR(COUNT(물량원가기준!E93:J93)&lt;&gt;6,COUNTIFS(물량원가기준!$A$6:$A$100,A93)&lt;&gt;1),0,1)</f>
        <v>1</v>
      </c>
    </row>
    <row r="94" spans="1:21" ht="30" customHeight="1">
      <c r="A94" s="12" t="str">
        <f>물량원가기준!A94</f>
        <v>2028-06|A-d</v>
      </c>
      <c r="B94" s="23">
        <f>물량원가기준!B94</f>
        <v>46905</v>
      </c>
      <c r="C94" s="12" t="str">
        <f>물량원가기준!C94</f>
        <v>A-d</v>
      </c>
      <c r="D94" s="19">
        <f>물량원가기준!E94</f>
        <v>4899</v>
      </c>
      <c r="E94" s="19">
        <f>물량원가기준!F94</f>
        <v>4899</v>
      </c>
      <c r="F94" s="19">
        <f>물량원가기준!G94</f>
        <v>210000</v>
      </c>
      <c r="G94" s="19">
        <f>SUM(물량원가기준!H94:J94)</f>
        <v>185000</v>
      </c>
      <c r="H94" s="17">
        <f t="shared" si="12"/>
        <v>25000</v>
      </c>
      <c r="I94" s="19">
        <f>부품모델매핑!D9</f>
        <v>0</v>
      </c>
      <c r="J94" s="19">
        <f>IF(ISNUMBER(물량원가기준!F94),E94*I94,"미산출")</f>
        <v>0</v>
      </c>
      <c r="K94" s="17">
        <f t="shared" si="13"/>
        <v>122475000</v>
      </c>
      <c r="L94" s="17">
        <f t="shared" si="14"/>
        <v>122475000</v>
      </c>
      <c r="M94" s="17">
        <f t="shared" si="15"/>
        <v>0</v>
      </c>
      <c r="N94" s="19">
        <f>IF(AND(B94&gt;=설정!$B$6,B94&lt;설정!$B$23),1,0)</f>
        <v>1</v>
      </c>
      <c r="O94" s="19">
        <f>IF(AND(B94&gt;=설정!$B$6,B94&lt;설정!$B$24),1,0)</f>
        <v>0</v>
      </c>
      <c r="P94" s="19">
        <f>IF(B94&gt;=설정!$B$6,J94*(설정!$B$18-설정!$B$13),0)</f>
        <v>0</v>
      </c>
      <c r="Q94" s="17">
        <f t="shared" si="16"/>
        <v>122475000</v>
      </c>
      <c r="R94" s="19" t="str">
        <f>IF(물량원가기준!D94="","",물량원가기준!D94*H94)</f>
        <v/>
      </c>
      <c r="S94" s="17">
        <f t="shared" si="17"/>
        <v>1028790000</v>
      </c>
      <c r="T94" s="19">
        <f>물량원가기준!I94+IF(B94&gt;=설정!$B$6,I94*(설정!$B$18-설정!$B$13),0)</f>
        <v>65000</v>
      </c>
      <c r="U94" s="19">
        <f>IF(OR(COUNT(물량원가기준!E94:J94)&lt;&gt;6,COUNTIFS(물량원가기준!$A$6:$A$100,A94)&lt;&gt;1),0,1)</f>
        <v>1</v>
      </c>
    </row>
    <row r="95" spans="1:21" ht="30" customHeight="1">
      <c r="A95" s="11" t="str">
        <f>물량원가기준!A95</f>
        <v>2028-06|A-e</v>
      </c>
      <c r="B95" s="24">
        <f>물량원가기준!B95</f>
        <v>46905</v>
      </c>
      <c r="C95" s="11" t="str">
        <f>물량원가기준!C95</f>
        <v>A-e</v>
      </c>
      <c r="D95" s="20">
        <f>물량원가기준!E95</f>
        <v>2881</v>
      </c>
      <c r="E95" s="20">
        <f>물량원가기준!F95</f>
        <v>2881</v>
      </c>
      <c r="F95" s="20">
        <f>물량원가기준!G95</f>
        <v>150000</v>
      </c>
      <c r="G95" s="20">
        <f>SUM(물량원가기준!H95:J95)</f>
        <v>132000</v>
      </c>
      <c r="H95" s="18">
        <f t="shared" si="12"/>
        <v>18000</v>
      </c>
      <c r="I95" s="20">
        <f>부품모델매핑!D10</f>
        <v>0</v>
      </c>
      <c r="J95" s="20">
        <f>IF(ISNUMBER(물량원가기준!F95),E95*I95,"미산출")</f>
        <v>0</v>
      </c>
      <c r="K95" s="18">
        <f t="shared" si="13"/>
        <v>51858000</v>
      </c>
      <c r="L95" s="18">
        <f t="shared" si="14"/>
        <v>51858000</v>
      </c>
      <c r="M95" s="18">
        <f t="shared" si="15"/>
        <v>0</v>
      </c>
      <c r="N95" s="20">
        <f>IF(AND(B95&gt;=설정!$B$6,B95&lt;설정!$B$23),1,0)</f>
        <v>1</v>
      </c>
      <c r="O95" s="20">
        <f>IF(AND(B95&gt;=설정!$B$6,B95&lt;설정!$B$24),1,0)</f>
        <v>0</v>
      </c>
      <c r="P95" s="20">
        <f>IF(B95&gt;=설정!$B$6,J95*(설정!$B$18-설정!$B$13),0)</f>
        <v>0</v>
      </c>
      <c r="Q95" s="18">
        <f t="shared" si="16"/>
        <v>51858000</v>
      </c>
      <c r="R95" s="20" t="str">
        <f>IF(물량원가기준!D95="","",물량원가기준!D95*H95)</f>
        <v/>
      </c>
      <c r="S95" s="18">
        <f t="shared" si="17"/>
        <v>432150000</v>
      </c>
      <c r="T95" s="20">
        <f>물량원가기준!I95+IF(B95&gt;=설정!$B$6,I95*(설정!$B$18-설정!$B$13),0)</f>
        <v>50000</v>
      </c>
      <c r="U95" s="20">
        <f>IF(OR(COUNT(물량원가기준!E95:J95)&lt;&gt;6,COUNTIFS(물량원가기준!$A$6:$A$100,A95)&lt;&gt;1),0,1)</f>
        <v>1</v>
      </c>
    </row>
    <row r="96" spans="1:21" ht="30" customHeight="1">
      <c r="A96" s="12" t="str">
        <f>물량원가기준!A96</f>
        <v>2028-07|A-a</v>
      </c>
      <c r="B96" s="23">
        <f>물량원가기준!B96</f>
        <v>46935</v>
      </c>
      <c r="C96" s="12" t="str">
        <f>물량원가기준!C96</f>
        <v>A-a</v>
      </c>
      <c r="D96" s="19">
        <f>물량원가기준!E96</f>
        <v>3686</v>
      </c>
      <c r="E96" s="19">
        <f>물량원가기준!F96</f>
        <v>3686</v>
      </c>
      <c r="F96" s="19">
        <f>물량원가기준!G96</f>
        <v>300000</v>
      </c>
      <c r="G96" s="19">
        <f>SUM(물량원가기준!H96:J96)</f>
        <v>270000</v>
      </c>
      <c r="H96" s="17">
        <f t="shared" si="12"/>
        <v>30000</v>
      </c>
      <c r="I96" s="19">
        <f>부품모델매핑!D6</f>
        <v>1</v>
      </c>
      <c r="J96" s="19">
        <f>IF(ISNUMBER(물량원가기준!F96),E96*I96,"미산출")</f>
        <v>3686</v>
      </c>
      <c r="K96" s="17">
        <f t="shared" si="13"/>
        <v>110580000</v>
      </c>
      <c r="L96" s="17">
        <f t="shared" si="14"/>
        <v>110580000</v>
      </c>
      <c r="M96" s="17">
        <f t="shared" si="15"/>
        <v>0</v>
      </c>
      <c r="N96" s="19">
        <f>IF(AND(B96&gt;=설정!$B$6,B96&lt;설정!$B$23),1,0)</f>
        <v>0</v>
      </c>
      <c r="O96" s="19">
        <f>IF(AND(B96&gt;=설정!$B$6,B96&lt;설정!$B$24),1,0)</f>
        <v>0</v>
      </c>
      <c r="P96" s="19">
        <f>IF(B96&gt;=설정!$B$6,J96*(설정!$B$18-설정!$B$13),0)</f>
        <v>442320</v>
      </c>
      <c r="Q96" s="17">
        <f t="shared" si="16"/>
        <v>110137680</v>
      </c>
      <c r="R96" s="19" t="str">
        <f>IF(물량원가기준!D96="","",물량원가기준!D96*H96)</f>
        <v/>
      </c>
      <c r="S96" s="17">
        <f t="shared" si="17"/>
        <v>1105800000</v>
      </c>
      <c r="T96" s="19">
        <f>물량원가기준!I96+IF(B96&gt;=설정!$B$6,I96*(설정!$B$18-설정!$B$13),0)</f>
        <v>75120</v>
      </c>
      <c r="U96" s="19">
        <f>IF(OR(COUNT(물량원가기준!E96:J96)&lt;&gt;6,COUNTIFS(물량원가기준!$A$6:$A$100,A96)&lt;&gt;1),0,1)</f>
        <v>1</v>
      </c>
    </row>
    <row r="97" spans="1:21" ht="30" customHeight="1">
      <c r="A97" s="11" t="str">
        <f>물량원가기준!A97</f>
        <v>2028-07|A-b</v>
      </c>
      <c r="B97" s="24">
        <f>물량원가기준!B97</f>
        <v>46935</v>
      </c>
      <c r="C97" s="11" t="str">
        <f>물량원가기준!C97</f>
        <v>A-b</v>
      </c>
      <c r="D97" s="20">
        <f>물량원가기준!E97</f>
        <v>9215</v>
      </c>
      <c r="E97" s="20">
        <f>물량원가기준!F97</f>
        <v>9215</v>
      </c>
      <c r="F97" s="20">
        <f>물량원가기준!G97</f>
        <v>180000</v>
      </c>
      <c r="G97" s="20">
        <f>SUM(물량원가기준!H97:J97)</f>
        <v>160000</v>
      </c>
      <c r="H97" s="18">
        <f t="shared" si="12"/>
        <v>20000</v>
      </c>
      <c r="I97" s="20">
        <f>부품모델매핑!D7</f>
        <v>1</v>
      </c>
      <c r="J97" s="20">
        <f>IF(ISNUMBER(물량원가기준!F97),E97*I97,"미산출")</f>
        <v>9215</v>
      </c>
      <c r="K97" s="18">
        <f t="shared" si="13"/>
        <v>184300000</v>
      </c>
      <c r="L97" s="18">
        <f t="shared" si="14"/>
        <v>184300000</v>
      </c>
      <c r="M97" s="18">
        <f t="shared" si="15"/>
        <v>0</v>
      </c>
      <c r="N97" s="20">
        <f>IF(AND(B97&gt;=설정!$B$6,B97&lt;설정!$B$23),1,0)</f>
        <v>0</v>
      </c>
      <c r="O97" s="20">
        <f>IF(AND(B97&gt;=설정!$B$6,B97&lt;설정!$B$24),1,0)</f>
        <v>0</v>
      </c>
      <c r="P97" s="20">
        <f>IF(B97&gt;=설정!$B$6,J97*(설정!$B$18-설정!$B$13),0)</f>
        <v>1105800</v>
      </c>
      <c r="Q97" s="18">
        <f t="shared" si="16"/>
        <v>183194200</v>
      </c>
      <c r="R97" s="20" t="str">
        <f>IF(물량원가기준!D97="","",물량원가기준!D97*H97)</f>
        <v/>
      </c>
      <c r="S97" s="18">
        <f t="shared" si="17"/>
        <v>1658700000</v>
      </c>
      <c r="T97" s="20">
        <f>물량원가기준!I97+IF(B97&gt;=설정!$B$6,I97*(설정!$B$18-설정!$B$13),0)</f>
        <v>95120</v>
      </c>
      <c r="U97" s="20">
        <f>IF(OR(COUNT(물량원가기준!E97:J97)&lt;&gt;6,COUNTIFS(물량원가기준!$A$6:$A$100,A97)&lt;&gt;1),0,1)</f>
        <v>1</v>
      </c>
    </row>
    <row r="98" spans="1:21" ht="30" customHeight="1">
      <c r="A98" s="12" t="str">
        <f>물량원가기준!A98</f>
        <v>2028-07|A-c</v>
      </c>
      <c r="B98" s="23">
        <f>물량원가기준!B98</f>
        <v>46935</v>
      </c>
      <c r="C98" s="12" t="str">
        <f>물량원가기준!C98</f>
        <v>A-c</v>
      </c>
      <c r="D98" s="19">
        <f>물량원가기준!E98</f>
        <v>5762</v>
      </c>
      <c r="E98" s="19">
        <f>물량원가기준!F98</f>
        <v>5762</v>
      </c>
      <c r="F98" s="19">
        <f>물량원가기준!G98</f>
        <v>230000</v>
      </c>
      <c r="G98" s="19">
        <f>SUM(물량원가기준!H98:J98)</f>
        <v>202000</v>
      </c>
      <c r="H98" s="17">
        <f t="shared" si="12"/>
        <v>28000</v>
      </c>
      <c r="I98" s="19">
        <f>부품모델매핑!D8</f>
        <v>0</v>
      </c>
      <c r="J98" s="19">
        <f>IF(ISNUMBER(물량원가기준!F98),E98*I98,"미산출")</f>
        <v>0</v>
      </c>
      <c r="K98" s="17">
        <f t="shared" si="13"/>
        <v>161336000</v>
      </c>
      <c r="L98" s="17">
        <f t="shared" si="14"/>
        <v>161336000</v>
      </c>
      <c r="M98" s="17">
        <f t="shared" si="15"/>
        <v>0</v>
      </c>
      <c r="N98" s="19">
        <f>IF(AND(B98&gt;=설정!$B$6,B98&lt;설정!$B$23),1,0)</f>
        <v>0</v>
      </c>
      <c r="O98" s="19">
        <f>IF(AND(B98&gt;=설정!$B$6,B98&lt;설정!$B$24),1,0)</f>
        <v>0</v>
      </c>
      <c r="P98" s="19">
        <f>IF(B98&gt;=설정!$B$6,J98*(설정!$B$18-설정!$B$13),0)</f>
        <v>0</v>
      </c>
      <c r="Q98" s="17">
        <f t="shared" si="16"/>
        <v>161336000</v>
      </c>
      <c r="R98" s="19" t="str">
        <f>IF(물량원가기준!D98="","",물량원가기준!D98*H98)</f>
        <v/>
      </c>
      <c r="S98" s="17">
        <f t="shared" si="17"/>
        <v>1325260000</v>
      </c>
      <c r="T98" s="19">
        <f>물량원가기준!I98+IF(B98&gt;=설정!$B$6,I98*(설정!$B$18-설정!$B$13),0)</f>
        <v>60000</v>
      </c>
      <c r="U98" s="19">
        <f>IF(OR(COUNT(물량원가기준!E98:J98)&lt;&gt;6,COUNTIFS(물량원가기준!$A$6:$A$100,A98)&lt;&gt;1),0,1)</f>
        <v>1</v>
      </c>
    </row>
    <row r="99" spans="1:21" ht="30" customHeight="1">
      <c r="A99" s="11" t="str">
        <f>물량원가기준!A99</f>
        <v>2028-07|A-d</v>
      </c>
      <c r="B99" s="24">
        <f>물량원가기준!B99</f>
        <v>46935</v>
      </c>
      <c r="C99" s="11" t="str">
        <f>물량원가기준!C99</f>
        <v>A-d</v>
      </c>
      <c r="D99" s="20">
        <f>물량원가기준!E99</f>
        <v>4899</v>
      </c>
      <c r="E99" s="20">
        <f>물량원가기준!F99</f>
        <v>4899</v>
      </c>
      <c r="F99" s="20">
        <f>물량원가기준!G99</f>
        <v>210000</v>
      </c>
      <c r="G99" s="20">
        <f>SUM(물량원가기준!H99:J99)</f>
        <v>185000</v>
      </c>
      <c r="H99" s="18">
        <f t="shared" si="12"/>
        <v>25000</v>
      </c>
      <c r="I99" s="20">
        <f>부품모델매핑!D9</f>
        <v>0</v>
      </c>
      <c r="J99" s="20">
        <f>IF(ISNUMBER(물량원가기준!F99),E99*I99,"미산출")</f>
        <v>0</v>
      </c>
      <c r="K99" s="18">
        <f t="shared" si="13"/>
        <v>122475000</v>
      </c>
      <c r="L99" s="18">
        <f t="shared" si="14"/>
        <v>122475000</v>
      </c>
      <c r="M99" s="18">
        <f t="shared" si="15"/>
        <v>0</v>
      </c>
      <c r="N99" s="20">
        <f>IF(AND(B99&gt;=설정!$B$6,B99&lt;설정!$B$23),1,0)</f>
        <v>0</v>
      </c>
      <c r="O99" s="20">
        <f>IF(AND(B99&gt;=설정!$B$6,B99&lt;설정!$B$24),1,0)</f>
        <v>0</v>
      </c>
      <c r="P99" s="20">
        <f>IF(B99&gt;=설정!$B$6,J99*(설정!$B$18-설정!$B$13),0)</f>
        <v>0</v>
      </c>
      <c r="Q99" s="18">
        <f t="shared" si="16"/>
        <v>122475000</v>
      </c>
      <c r="R99" s="20" t="str">
        <f>IF(물량원가기준!D99="","",물량원가기준!D99*H99)</f>
        <v/>
      </c>
      <c r="S99" s="18">
        <f t="shared" si="17"/>
        <v>1028790000</v>
      </c>
      <c r="T99" s="20">
        <f>물량원가기준!I99+IF(B99&gt;=설정!$B$6,I99*(설정!$B$18-설정!$B$13),0)</f>
        <v>65000</v>
      </c>
      <c r="U99" s="20">
        <f>IF(OR(COUNT(물량원가기준!E99:J99)&lt;&gt;6,COUNTIFS(물량원가기준!$A$6:$A$100,A99)&lt;&gt;1),0,1)</f>
        <v>1</v>
      </c>
    </row>
    <row r="100" spans="1:21" ht="30" customHeight="1">
      <c r="A100" s="12" t="str">
        <f>물량원가기준!A100</f>
        <v>2028-07|A-e</v>
      </c>
      <c r="B100" s="23">
        <f>물량원가기준!B100</f>
        <v>46935</v>
      </c>
      <c r="C100" s="12" t="str">
        <f>물량원가기준!C100</f>
        <v>A-e</v>
      </c>
      <c r="D100" s="19">
        <f>물량원가기준!E100</f>
        <v>2881</v>
      </c>
      <c r="E100" s="19">
        <f>물량원가기준!F100</f>
        <v>2881</v>
      </c>
      <c r="F100" s="19">
        <f>물량원가기준!G100</f>
        <v>150000</v>
      </c>
      <c r="G100" s="19">
        <f>SUM(물량원가기준!H100:J100)</f>
        <v>132000</v>
      </c>
      <c r="H100" s="17">
        <f t="shared" si="12"/>
        <v>18000</v>
      </c>
      <c r="I100" s="19">
        <f>부품모델매핑!D10</f>
        <v>0</v>
      </c>
      <c r="J100" s="19">
        <f>IF(ISNUMBER(물량원가기준!F100),E100*I100,"미산출")</f>
        <v>0</v>
      </c>
      <c r="K100" s="17">
        <f t="shared" si="13"/>
        <v>51858000</v>
      </c>
      <c r="L100" s="17">
        <f t="shared" si="14"/>
        <v>51858000</v>
      </c>
      <c r="M100" s="17">
        <f t="shared" si="15"/>
        <v>0</v>
      </c>
      <c r="N100" s="19">
        <f>IF(AND(B100&gt;=설정!$B$6,B100&lt;설정!$B$23),1,0)</f>
        <v>0</v>
      </c>
      <c r="O100" s="19">
        <f>IF(AND(B100&gt;=설정!$B$6,B100&lt;설정!$B$24),1,0)</f>
        <v>0</v>
      </c>
      <c r="P100" s="19">
        <f>IF(B100&gt;=설정!$B$6,J100*(설정!$B$18-설정!$B$13),0)</f>
        <v>0</v>
      </c>
      <c r="Q100" s="17">
        <f t="shared" si="16"/>
        <v>51858000</v>
      </c>
      <c r="R100" s="19" t="str">
        <f>IF(물량원가기준!D100="","",물량원가기준!D100*H100)</f>
        <v/>
      </c>
      <c r="S100" s="17">
        <f t="shared" si="17"/>
        <v>432150000</v>
      </c>
      <c r="T100" s="19">
        <f>물량원가기준!I100+IF(B100&gt;=설정!$B$6,I100*(설정!$B$18-설정!$B$13),0)</f>
        <v>50000</v>
      </c>
      <c r="U100" s="19">
        <f>IF(OR(COUNT(물량원가기준!E100:J100)&lt;&gt;6,COUNTIFS(물량원가기준!$A$6:$A$100,A100)&lt;&gt;1),0,1)</f>
        <v>1</v>
      </c>
    </row>
  </sheetData>
  <mergeCells count="2">
    <mergeCell ref="A1:U2"/>
    <mergeCell ref="A3:U3"/>
  </mergeCells>
  <phoneticPr fontId="3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9" customWidth="1"/>
    <col min="2" max="2" width="14" customWidth="1"/>
    <col min="3" max="3" width="13" customWidth="1"/>
    <col min="4" max="6" width="14" customWidth="1"/>
    <col min="7" max="10" width="17" customWidth="1"/>
    <col min="11" max="11" width="14" customWidth="1"/>
    <col min="12" max="12" width="27" customWidth="1"/>
    <col min="13" max="13" width="35" customWidth="1"/>
    <col min="14" max="14" width="25" customWidth="1"/>
  </cols>
  <sheetData>
    <row r="1" spans="1:14" ht="30" customHeight="1">
      <c r="A1" s="128" t="s">
        <v>208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 ht="30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1:14" ht="43.95" customHeight="1">
      <c r="A3" s="129" t="s">
        <v>209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4" t="s">
        <v>188</v>
      </c>
      <c r="B5" s="4" t="s">
        <v>189</v>
      </c>
      <c r="C5" s="4" t="s">
        <v>190</v>
      </c>
      <c r="D5" s="4" t="s">
        <v>210</v>
      </c>
      <c r="E5" s="4" t="s">
        <v>191</v>
      </c>
      <c r="F5" s="4" t="s">
        <v>192</v>
      </c>
      <c r="G5" s="4" t="s">
        <v>193</v>
      </c>
      <c r="H5" s="4" t="s">
        <v>211</v>
      </c>
      <c r="I5" s="4" t="s">
        <v>212</v>
      </c>
      <c r="J5" s="4" t="s">
        <v>213</v>
      </c>
      <c r="K5" s="4" t="s">
        <v>214</v>
      </c>
      <c r="L5" s="4" t="s">
        <v>215</v>
      </c>
      <c r="M5" s="4" t="s">
        <v>216</v>
      </c>
      <c r="N5" s="4" t="s">
        <v>217</v>
      </c>
    </row>
    <row r="6" spans="1:14" ht="30" customHeight="1">
      <c r="A6" s="5" t="s">
        <v>218</v>
      </c>
      <c r="B6" s="13">
        <v>46388</v>
      </c>
      <c r="C6" s="5" t="s">
        <v>219</v>
      </c>
      <c r="D6" s="15">
        <v>4080</v>
      </c>
      <c r="E6" s="15">
        <v>4080</v>
      </c>
      <c r="F6" s="15">
        <v>4080</v>
      </c>
      <c r="G6" s="15">
        <v>300000</v>
      </c>
      <c r="H6" s="15">
        <v>175000</v>
      </c>
      <c r="I6" s="15">
        <v>75000</v>
      </c>
      <c r="J6" s="15">
        <v>20000</v>
      </c>
      <c r="K6" s="15">
        <v>4080</v>
      </c>
      <c r="L6" s="5" t="s">
        <v>220</v>
      </c>
      <c r="M6" s="5" t="s">
        <v>221</v>
      </c>
      <c r="N6" s="5" t="s">
        <v>222</v>
      </c>
    </row>
    <row r="7" spans="1:14" ht="30" customHeight="1">
      <c r="A7" s="1" t="s">
        <v>223</v>
      </c>
      <c r="B7" s="14">
        <v>46388</v>
      </c>
      <c r="C7" s="1" t="s">
        <v>224</v>
      </c>
      <c r="D7" s="16">
        <v>10200</v>
      </c>
      <c r="E7" s="16">
        <v>10200</v>
      </c>
      <c r="F7" s="16">
        <v>10200</v>
      </c>
      <c r="G7" s="16">
        <v>180000</v>
      </c>
      <c r="H7" s="16">
        <v>55000</v>
      </c>
      <c r="I7" s="16">
        <v>95000</v>
      </c>
      <c r="J7" s="16">
        <v>10000</v>
      </c>
      <c r="K7" s="16">
        <v>10200</v>
      </c>
      <c r="L7" s="1" t="s">
        <v>220</v>
      </c>
      <c r="M7" s="1" t="s">
        <v>221</v>
      </c>
      <c r="N7" s="1" t="s">
        <v>222</v>
      </c>
    </row>
    <row r="8" spans="1:14" ht="30" customHeight="1">
      <c r="A8" s="5" t="s">
        <v>225</v>
      </c>
      <c r="B8" s="13">
        <v>46388</v>
      </c>
      <c r="C8" s="5" t="s">
        <v>226</v>
      </c>
      <c r="D8" s="15">
        <v>6120</v>
      </c>
      <c r="E8" s="15">
        <v>6059</v>
      </c>
      <c r="F8" s="15">
        <v>6059</v>
      </c>
      <c r="G8" s="15">
        <v>230000</v>
      </c>
      <c r="H8" s="15">
        <v>125000</v>
      </c>
      <c r="I8" s="15">
        <v>60000</v>
      </c>
      <c r="J8" s="15">
        <v>17000</v>
      </c>
      <c r="K8" s="15">
        <v>6059</v>
      </c>
      <c r="L8" s="5" t="s">
        <v>220</v>
      </c>
      <c r="M8" s="5" t="s">
        <v>221</v>
      </c>
      <c r="N8" s="5" t="s">
        <v>222</v>
      </c>
    </row>
    <row r="9" spans="1:14" ht="30" customHeight="1">
      <c r="A9" s="1" t="s">
        <v>227</v>
      </c>
      <c r="B9" s="14">
        <v>46388</v>
      </c>
      <c r="C9" s="1" t="s">
        <v>228</v>
      </c>
      <c r="D9" s="16">
        <v>5100</v>
      </c>
      <c r="E9" s="16">
        <v>5151</v>
      </c>
      <c r="F9" s="16">
        <v>5151</v>
      </c>
      <c r="G9" s="16">
        <v>210000</v>
      </c>
      <c r="H9" s="16">
        <v>105000</v>
      </c>
      <c r="I9" s="16">
        <v>65000</v>
      </c>
      <c r="J9" s="16">
        <v>15000</v>
      </c>
      <c r="K9" s="16">
        <v>5151</v>
      </c>
      <c r="L9" s="1" t="s">
        <v>220</v>
      </c>
      <c r="M9" s="1" t="s">
        <v>221</v>
      </c>
      <c r="N9" s="1" t="s">
        <v>222</v>
      </c>
    </row>
    <row r="10" spans="1:14" ht="30" customHeight="1">
      <c r="A10" s="5" t="s">
        <v>229</v>
      </c>
      <c r="B10" s="13">
        <v>46388</v>
      </c>
      <c r="C10" s="5" t="s">
        <v>230</v>
      </c>
      <c r="D10" s="15">
        <v>3060</v>
      </c>
      <c r="E10" s="15">
        <v>3029</v>
      </c>
      <c r="F10" s="15">
        <v>3029</v>
      </c>
      <c r="G10" s="15">
        <v>150000</v>
      </c>
      <c r="H10" s="15">
        <v>70000</v>
      </c>
      <c r="I10" s="15">
        <v>50000</v>
      </c>
      <c r="J10" s="15">
        <v>12000</v>
      </c>
      <c r="K10" s="15">
        <v>3029</v>
      </c>
      <c r="L10" s="5" t="s">
        <v>220</v>
      </c>
      <c r="M10" s="5" t="s">
        <v>221</v>
      </c>
      <c r="N10" s="5" t="s">
        <v>222</v>
      </c>
    </row>
    <row r="11" spans="1:14" ht="30" customHeight="1">
      <c r="A11" s="1" t="s">
        <v>231</v>
      </c>
      <c r="B11" s="14">
        <v>46419</v>
      </c>
      <c r="C11" s="1" t="s">
        <v>219</v>
      </c>
      <c r="D11" s="16">
        <v>3600</v>
      </c>
      <c r="E11" s="16">
        <v>3564</v>
      </c>
      <c r="F11" s="16">
        <v>3564</v>
      </c>
      <c r="G11" s="16">
        <v>300000</v>
      </c>
      <c r="H11" s="16">
        <v>175000</v>
      </c>
      <c r="I11" s="16">
        <v>75000</v>
      </c>
      <c r="J11" s="16">
        <v>20000</v>
      </c>
      <c r="K11" s="16">
        <v>3564</v>
      </c>
      <c r="L11" s="1" t="s">
        <v>220</v>
      </c>
      <c r="M11" s="1" t="s">
        <v>221</v>
      </c>
      <c r="N11" s="1" t="s">
        <v>222</v>
      </c>
    </row>
    <row r="12" spans="1:14" ht="30" customHeight="1">
      <c r="A12" s="5" t="s">
        <v>232</v>
      </c>
      <c r="B12" s="13">
        <v>46419</v>
      </c>
      <c r="C12" s="5" t="s">
        <v>224</v>
      </c>
      <c r="D12" s="15">
        <v>9000</v>
      </c>
      <c r="E12" s="15">
        <v>8910</v>
      </c>
      <c r="F12" s="15">
        <v>8910</v>
      </c>
      <c r="G12" s="15">
        <v>180000</v>
      </c>
      <c r="H12" s="15">
        <v>55000</v>
      </c>
      <c r="I12" s="15">
        <v>95000</v>
      </c>
      <c r="J12" s="15">
        <v>10000</v>
      </c>
      <c r="K12" s="15">
        <v>8910</v>
      </c>
      <c r="L12" s="5" t="s">
        <v>220</v>
      </c>
      <c r="M12" s="5" t="s">
        <v>221</v>
      </c>
      <c r="N12" s="5" t="s">
        <v>222</v>
      </c>
    </row>
    <row r="13" spans="1:14" ht="30" customHeight="1">
      <c r="A13" s="1" t="s">
        <v>233</v>
      </c>
      <c r="B13" s="14">
        <v>46419</v>
      </c>
      <c r="C13" s="1" t="s">
        <v>226</v>
      </c>
      <c r="D13" s="16">
        <v>5400</v>
      </c>
      <c r="E13" s="16">
        <v>5346</v>
      </c>
      <c r="F13" s="16">
        <v>5346</v>
      </c>
      <c r="G13" s="16">
        <v>230000</v>
      </c>
      <c r="H13" s="16">
        <v>125000</v>
      </c>
      <c r="I13" s="16">
        <v>60000</v>
      </c>
      <c r="J13" s="16">
        <v>17000</v>
      </c>
      <c r="K13" s="16">
        <v>5346</v>
      </c>
      <c r="L13" s="1" t="s">
        <v>220</v>
      </c>
      <c r="M13" s="1" t="s">
        <v>221</v>
      </c>
      <c r="N13" s="1" t="s">
        <v>222</v>
      </c>
    </row>
    <row r="14" spans="1:14" ht="30" customHeight="1">
      <c r="A14" s="5" t="s">
        <v>234</v>
      </c>
      <c r="B14" s="13">
        <v>46419</v>
      </c>
      <c r="C14" s="5" t="s">
        <v>228</v>
      </c>
      <c r="D14" s="15">
        <v>4500</v>
      </c>
      <c r="E14" s="15">
        <v>4545</v>
      </c>
      <c r="F14" s="15">
        <v>4545</v>
      </c>
      <c r="G14" s="15">
        <v>210000</v>
      </c>
      <c r="H14" s="15">
        <v>105000</v>
      </c>
      <c r="I14" s="15">
        <v>65000</v>
      </c>
      <c r="J14" s="15">
        <v>15000</v>
      </c>
      <c r="K14" s="15">
        <v>4545</v>
      </c>
      <c r="L14" s="5" t="s">
        <v>220</v>
      </c>
      <c r="M14" s="5" t="s">
        <v>221</v>
      </c>
      <c r="N14" s="5" t="s">
        <v>222</v>
      </c>
    </row>
    <row r="15" spans="1:14" ht="30" customHeight="1">
      <c r="A15" s="1" t="s">
        <v>235</v>
      </c>
      <c r="B15" s="14">
        <v>46419</v>
      </c>
      <c r="C15" s="1" t="s">
        <v>230</v>
      </c>
      <c r="D15" s="16">
        <v>2700</v>
      </c>
      <c r="E15" s="16">
        <v>2673</v>
      </c>
      <c r="F15" s="16">
        <v>2673</v>
      </c>
      <c r="G15" s="16">
        <v>150000</v>
      </c>
      <c r="H15" s="16">
        <v>70000</v>
      </c>
      <c r="I15" s="16">
        <v>50000</v>
      </c>
      <c r="J15" s="16">
        <v>12000</v>
      </c>
      <c r="K15" s="16">
        <v>2673</v>
      </c>
      <c r="L15" s="1" t="s">
        <v>220</v>
      </c>
      <c r="M15" s="1" t="s">
        <v>221</v>
      </c>
      <c r="N15" s="1" t="s">
        <v>222</v>
      </c>
    </row>
    <row r="16" spans="1:14" ht="30" customHeight="1">
      <c r="A16" s="5" t="s">
        <v>236</v>
      </c>
      <c r="B16" s="13">
        <v>46447</v>
      </c>
      <c r="C16" s="5" t="s">
        <v>219</v>
      </c>
      <c r="D16" s="15">
        <v>4200</v>
      </c>
      <c r="E16" s="15">
        <v>4116</v>
      </c>
      <c r="F16" s="15">
        <v>4116</v>
      </c>
      <c r="G16" s="15">
        <v>300000</v>
      </c>
      <c r="H16" s="15">
        <v>175000</v>
      </c>
      <c r="I16" s="15">
        <v>75000</v>
      </c>
      <c r="J16" s="15">
        <v>20000</v>
      </c>
      <c r="K16" s="15">
        <v>4116</v>
      </c>
      <c r="L16" s="5" t="s">
        <v>220</v>
      </c>
      <c r="M16" s="5" t="s">
        <v>221</v>
      </c>
      <c r="N16" s="5" t="s">
        <v>222</v>
      </c>
    </row>
    <row r="17" spans="1:14" ht="30" customHeight="1">
      <c r="A17" s="1" t="s">
        <v>237</v>
      </c>
      <c r="B17" s="14">
        <v>46447</v>
      </c>
      <c r="C17" s="1" t="s">
        <v>224</v>
      </c>
      <c r="D17" s="16">
        <v>10500</v>
      </c>
      <c r="E17" s="16">
        <v>10290</v>
      </c>
      <c r="F17" s="16">
        <v>10290</v>
      </c>
      <c r="G17" s="16">
        <v>180000</v>
      </c>
      <c r="H17" s="16">
        <v>55000</v>
      </c>
      <c r="I17" s="16">
        <v>95000</v>
      </c>
      <c r="J17" s="16">
        <v>10000</v>
      </c>
      <c r="K17" s="16">
        <v>10290</v>
      </c>
      <c r="L17" s="1" t="s">
        <v>220</v>
      </c>
      <c r="M17" s="1" t="s">
        <v>221</v>
      </c>
      <c r="N17" s="1" t="s">
        <v>222</v>
      </c>
    </row>
    <row r="18" spans="1:14" ht="30" customHeight="1">
      <c r="A18" s="5" t="s">
        <v>238</v>
      </c>
      <c r="B18" s="13">
        <v>46447</v>
      </c>
      <c r="C18" s="5" t="s">
        <v>226</v>
      </c>
      <c r="D18" s="15">
        <v>6300</v>
      </c>
      <c r="E18" s="15">
        <v>6237</v>
      </c>
      <c r="F18" s="15">
        <v>6237</v>
      </c>
      <c r="G18" s="15">
        <v>230000</v>
      </c>
      <c r="H18" s="15">
        <v>125000</v>
      </c>
      <c r="I18" s="15">
        <v>60000</v>
      </c>
      <c r="J18" s="15">
        <v>17000</v>
      </c>
      <c r="K18" s="15">
        <v>6237</v>
      </c>
      <c r="L18" s="5" t="s">
        <v>220</v>
      </c>
      <c r="M18" s="5" t="s">
        <v>221</v>
      </c>
      <c r="N18" s="5" t="s">
        <v>222</v>
      </c>
    </row>
    <row r="19" spans="1:14" ht="30" customHeight="1">
      <c r="A19" s="1" t="s">
        <v>239</v>
      </c>
      <c r="B19" s="14">
        <v>46447</v>
      </c>
      <c r="C19" s="1" t="s">
        <v>228</v>
      </c>
      <c r="D19" s="16">
        <v>5250</v>
      </c>
      <c r="E19" s="16">
        <v>5303</v>
      </c>
      <c r="F19" s="16">
        <v>5303</v>
      </c>
      <c r="G19" s="16">
        <v>210000</v>
      </c>
      <c r="H19" s="16">
        <v>105000</v>
      </c>
      <c r="I19" s="16">
        <v>65000</v>
      </c>
      <c r="J19" s="16">
        <v>15000</v>
      </c>
      <c r="K19" s="16">
        <v>5303</v>
      </c>
      <c r="L19" s="1" t="s">
        <v>220</v>
      </c>
      <c r="M19" s="1" t="s">
        <v>221</v>
      </c>
      <c r="N19" s="1" t="s">
        <v>222</v>
      </c>
    </row>
    <row r="20" spans="1:14" ht="30" customHeight="1">
      <c r="A20" s="5" t="s">
        <v>240</v>
      </c>
      <c r="B20" s="13">
        <v>46447</v>
      </c>
      <c r="C20" s="5" t="s">
        <v>230</v>
      </c>
      <c r="D20" s="15">
        <v>3150</v>
      </c>
      <c r="E20" s="15">
        <v>3119</v>
      </c>
      <c r="F20" s="15">
        <v>3119</v>
      </c>
      <c r="G20" s="15">
        <v>150000</v>
      </c>
      <c r="H20" s="15">
        <v>70000</v>
      </c>
      <c r="I20" s="15">
        <v>50000</v>
      </c>
      <c r="J20" s="15">
        <v>12000</v>
      </c>
      <c r="K20" s="15">
        <v>3119</v>
      </c>
      <c r="L20" s="5" t="s">
        <v>220</v>
      </c>
      <c r="M20" s="5" t="s">
        <v>221</v>
      </c>
      <c r="N20" s="5" t="s">
        <v>222</v>
      </c>
    </row>
    <row r="21" spans="1:14" ht="30" customHeight="1">
      <c r="A21" s="1" t="s">
        <v>241</v>
      </c>
      <c r="B21" s="14">
        <v>46478</v>
      </c>
      <c r="C21" s="1" t="s">
        <v>219</v>
      </c>
      <c r="D21" s="16">
        <v>4000</v>
      </c>
      <c r="E21" s="16">
        <v>3880</v>
      </c>
      <c r="F21" s="16">
        <v>3880</v>
      </c>
      <c r="G21" s="16">
        <v>300000</v>
      </c>
      <c r="H21" s="16">
        <v>175000</v>
      </c>
      <c r="I21" s="16">
        <v>75000</v>
      </c>
      <c r="J21" s="16">
        <v>20000</v>
      </c>
      <c r="K21" s="16">
        <v>3880</v>
      </c>
      <c r="L21" s="1" t="s">
        <v>220</v>
      </c>
      <c r="M21" s="1" t="s">
        <v>221</v>
      </c>
      <c r="N21" s="1" t="s">
        <v>222</v>
      </c>
    </row>
    <row r="22" spans="1:14" ht="30" customHeight="1">
      <c r="A22" s="5" t="s">
        <v>242</v>
      </c>
      <c r="B22" s="13">
        <v>46478</v>
      </c>
      <c r="C22" s="5" t="s">
        <v>224</v>
      </c>
      <c r="D22" s="15">
        <v>10000</v>
      </c>
      <c r="E22" s="15">
        <v>9700</v>
      </c>
      <c r="F22" s="15">
        <v>9700</v>
      </c>
      <c r="G22" s="15">
        <v>180000</v>
      </c>
      <c r="H22" s="15">
        <v>55000</v>
      </c>
      <c r="I22" s="15">
        <v>95000</v>
      </c>
      <c r="J22" s="15">
        <v>10000</v>
      </c>
      <c r="K22" s="15">
        <v>9700</v>
      </c>
      <c r="L22" s="5" t="s">
        <v>220</v>
      </c>
      <c r="M22" s="5" t="s">
        <v>221</v>
      </c>
      <c r="N22" s="5" t="s">
        <v>222</v>
      </c>
    </row>
    <row r="23" spans="1:14" ht="30" customHeight="1">
      <c r="A23" s="1" t="s">
        <v>243</v>
      </c>
      <c r="B23" s="14">
        <v>46478</v>
      </c>
      <c r="C23" s="1" t="s">
        <v>226</v>
      </c>
      <c r="D23" s="16">
        <v>6000</v>
      </c>
      <c r="E23" s="16">
        <v>5940</v>
      </c>
      <c r="F23" s="16">
        <v>5940</v>
      </c>
      <c r="G23" s="16">
        <v>230000</v>
      </c>
      <c r="H23" s="16">
        <v>125000</v>
      </c>
      <c r="I23" s="16">
        <v>60000</v>
      </c>
      <c r="J23" s="16">
        <v>17000</v>
      </c>
      <c r="K23" s="16">
        <v>5940</v>
      </c>
      <c r="L23" s="1" t="s">
        <v>220</v>
      </c>
      <c r="M23" s="1" t="s">
        <v>221</v>
      </c>
      <c r="N23" s="1" t="s">
        <v>222</v>
      </c>
    </row>
    <row r="24" spans="1:14" ht="30" customHeight="1">
      <c r="A24" s="5" t="s">
        <v>244</v>
      </c>
      <c r="B24" s="13">
        <v>46478</v>
      </c>
      <c r="C24" s="5" t="s">
        <v>228</v>
      </c>
      <c r="D24" s="15">
        <v>5000</v>
      </c>
      <c r="E24" s="15">
        <v>5050</v>
      </c>
      <c r="F24" s="15">
        <v>5050</v>
      </c>
      <c r="G24" s="15">
        <v>210000</v>
      </c>
      <c r="H24" s="15">
        <v>105000</v>
      </c>
      <c r="I24" s="15">
        <v>65000</v>
      </c>
      <c r="J24" s="15">
        <v>15000</v>
      </c>
      <c r="K24" s="15">
        <v>5050</v>
      </c>
      <c r="L24" s="5" t="s">
        <v>220</v>
      </c>
      <c r="M24" s="5" t="s">
        <v>221</v>
      </c>
      <c r="N24" s="5" t="s">
        <v>222</v>
      </c>
    </row>
    <row r="25" spans="1:14" ht="30" customHeight="1">
      <c r="A25" s="1" t="s">
        <v>245</v>
      </c>
      <c r="B25" s="14">
        <v>46478</v>
      </c>
      <c r="C25" s="1" t="s">
        <v>230</v>
      </c>
      <c r="D25" s="16">
        <v>3000</v>
      </c>
      <c r="E25" s="16">
        <v>2970</v>
      </c>
      <c r="F25" s="16">
        <v>2970</v>
      </c>
      <c r="G25" s="16">
        <v>150000</v>
      </c>
      <c r="H25" s="16">
        <v>70000</v>
      </c>
      <c r="I25" s="16">
        <v>50000</v>
      </c>
      <c r="J25" s="16">
        <v>12000</v>
      </c>
      <c r="K25" s="16">
        <v>2970</v>
      </c>
      <c r="L25" s="1" t="s">
        <v>220</v>
      </c>
      <c r="M25" s="1" t="s">
        <v>221</v>
      </c>
      <c r="N25" s="1" t="s">
        <v>222</v>
      </c>
    </row>
    <row r="26" spans="1:14" ht="30" customHeight="1">
      <c r="A26" s="5" t="s">
        <v>246</v>
      </c>
      <c r="B26" s="13">
        <v>46508</v>
      </c>
      <c r="C26" s="5" t="s">
        <v>219</v>
      </c>
      <c r="D26" s="15">
        <v>3920</v>
      </c>
      <c r="E26" s="15">
        <v>3763</v>
      </c>
      <c r="F26" s="15">
        <v>3763</v>
      </c>
      <c r="G26" s="15">
        <v>300000</v>
      </c>
      <c r="H26" s="15">
        <v>175000</v>
      </c>
      <c r="I26" s="15">
        <v>75000</v>
      </c>
      <c r="J26" s="15">
        <v>20000</v>
      </c>
      <c r="K26" s="15">
        <v>3763</v>
      </c>
      <c r="L26" s="5" t="s">
        <v>220</v>
      </c>
      <c r="M26" s="5" t="s">
        <v>221</v>
      </c>
      <c r="N26" s="5" t="s">
        <v>222</v>
      </c>
    </row>
    <row r="27" spans="1:14" ht="30" customHeight="1">
      <c r="A27" s="1" t="s">
        <v>247</v>
      </c>
      <c r="B27" s="14">
        <v>46508</v>
      </c>
      <c r="C27" s="1" t="s">
        <v>224</v>
      </c>
      <c r="D27" s="16">
        <v>9800</v>
      </c>
      <c r="E27" s="16">
        <v>9408</v>
      </c>
      <c r="F27" s="16">
        <v>9408</v>
      </c>
      <c r="G27" s="16">
        <v>180000</v>
      </c>
      <c r="H27" s="16">
        <v>55000</v>
      </c>
      <c r="I27" s="16">
        <v>95000</v>
      </c>
      <c r="J27" s="16">
        <v>10000</v>
      </c>
      <c r="K27" s="16">
        <v>9408</v>
      </c>
      <c r="L27" s="1" t="s">
        <v>220</v>
      </c>
      <c r="M27" s="1" t="s">
        <v>221</v>
      </c>
      <c r="N27" s="1" t="s">
        <v>222</v>
      </c>
    </row>
    <row r="28" spans="1:14" ht="30" customHeight="1">
      <c r="A28" s="5" t="s">
        <v>248</v>
      </c>
      <c r="B28" s="13">
        <v>46508</v>
      </c>
      <c r="C28" s="5" t="s">
        <v>226</v>
      </c>
      <c r="D28" s="15">
        <v>5880</v>
      </c>
      <c r="E28" s="15">
        <v>5821</v>
      </c>
      <c r="F28" s="15">
        <v>5821</v>
      </c>
      <c r="G28" s="15">
        <v>230000</v>
      </c>
      <c r="H28" s="15">
        <v>125000</v>
      </c>
      <c r="I28" s="15">
        <v>60000</v>
      </c>
      <c r="J28" s="15">
        <v>17000</v>
      </c>
      <c r="K28" s="15">
        <v>5821</v>
      </c>
      <c r="L28" s="5" t="s">
        <v>220</v>
      </c>
      <c r="M28" s="5" t="s">
        <v>221</v>
      </c>
      <c r="N28" s="5" t="s">
        <v>222</v>
      </c>
    </row>
    <row r="29" spans="1:14" ht="30" customHeight="1">
      <c r="A29" s="1" t="s">
        <v>249</v>
      </c>
      <c r="B29" s="14">
        <v>46508</v>
      </c>
      <c r="C29" s="1" t="s">
        <v>228</v>
      </c>
      <c r="D29" s="16">
        <v>4900</v>
      </c>
      <c r="E29" s="16">
        <v>4949</v>
      </c>
      <c r="F29" s="16">
        <v>4949</v>
      </c>
      <c r="G29" s="16">
        <v>210000</v>
      </c>
      <c r="H29" s="16">
        <v>105000</v>
      </c>
      <c r="I29" s="16">
        <v>65000</v>
      </c>
      <c r="J29" s="16">
        <v>15000</v>
      </c>
      <c r="K29" s="16">
        <v>4949</v>
      </c>
      <c r="L29" s="1" t="s">
        <v>220</v>
      </c>
      <c r="M29" s="1" t="s">
        <v>221</v>
      </c>
      <c r="N29" s="1" t="s">
        <v>222</v>
      </c>
    </row>
    <row r="30" spans="1:14" ht="30" customHeight="1">
      <c r="A30" s="5" t="s">
        <v>250</v>
      </c>
      <c r="B30" s="13">
        <v>46508</v>
      </c>
      <c r="C30" s="5" t="s">
        <v>230</v>
      </c>
      <c r="D30" s="15">
        <v>2940</v>
      </c>
      <c r="E30" s="15">
        <v>2911</v>
      </c>
      <c r="F30" s="15">
        <v>2911</v>
      </c>
      <c r="G30" s="15">
        <v>150000</v>
      </c>
      <c r="H30" s="15">
        <v>70000</v>
      </c>
      <c r="I30" s="15">
        <v>50000</v>
      </c>
      <c r="J30" s="15">
        <v>12000</v>
      </c>
      <c r="K30" s="15">
        <v>2911</v>
      </c>
      <c r="L30" s="5" t="s">
        <v>220</v>
      </c>
      <c r="M30" s="5" t="s">
        <v>221</v>
      </c>
      <c r="N30" s="5" t="s">
        <v>222</v>
      </c>
    </row>
    <row r="31" spans="1:14" ht="30" customHeight="1">
      <c r="A31" s="1" t="s">
        <v>251</v>
      </c>
      <c r="B31" s="14">
        <v>46539</v>
      </c>
      <c r="C31" s="1" t="s">
        <v>219</v>
      </c>
      <c r="D31" s="16">
        <v>4000</v>
      </c>
      <c r="E31" s="16">
        <v>3800</v>
      </c>
      <c r="F31" s="16">
        <v>3800</v>
      </c>
      <c r="G31" s="16">
        <v>300000</v>
      </c>
      <c r="H31" s="16">
        <v>175000</v>
      </c>
      <c r="I31" s="16">
        <v>75000</v>
      </c>
      <c r="J31" s="16">
        <v>20000</v>
      </c>
      <c r="K31" s="16">
        <v>1710</v>
      </c>
      <c r="L31" s="1" t="s">
        <v>252</v>
      </c>
      <c r="M31" s="1" t="s">
        <v>221</v>
      </c>
      <c r="N31" s="1" t="s">
        <v>222</v>
      </c>
    </row>
    <row r="32" spans="1:14" ht="30" customHeight="1">
      <c r="A32" s="5" t="s">
        <v>253</v>
      </c>
      <c r="B32" s="13">
        <v>46539</v>
      </c>
      <c r="C32" s="5" t="s">
        <v>224</v>
      </c>
      <c r="D32" s="15">
        <v>10000</v>
      </c>
      <c r="E32" s="15">
        <v>9500</v>
      </c>
      <c r="F32" s="15">
        <v>9500</v>
      </c>
      <c r="G32" s="15">
        <v>180000</v>
      </c>
      <c r="H32" s="15">
        <v>55000</v>
      </c>
      <c r="I32" s="15">
        <v>95000</v>
      </c>
      <c r="J32" s="15">
        <v>10000</v>
      </c>
      <c r="K32" s="15">
        <v>4275</v>
      </c>
      <c r="L32" s="5" t="s">
        <v>252</v>
      </c>
      <c r="M32" s="5" t="s">
        <v>221</v>
      </c>
      <c r="N32" s="5" t="s">
        <v>222</v>
      </c>
    </row>
    <row r="33" spans="1:14" ht="30" customHeight="1">
      <c r="A33" s="1" t="s">
        <v>254</v>
      </c>
      <c r="B33" s="14">
        <v>46539</v>
      </c>
      <c r="C33" s="1" t="s">
        <v>226</v>
      </c>
      <c r="D33" s="16">
        <v>6000</v>
      </c>
      <c r="E33" s="16">
        <v>5940</v>
      </c>
      <c r="F33" s="16">
        <v>5940</v>
      </c>
      <c r="G33" s="16">
        <v>230000</v>
      </c>
      <c r="H33" s="16">
        <v>125000</v>
      </c>
      <c r="I33" s="16">
        <v>60000</v>
      </c>
      <c r="J33" s="16">
        <v>17000</v>
      </c>
      <c r="K33" s="16">
        <v>2673</v>
      </c>
      <c r="L33" s="1" t="s">
        <v>252</v>
      </c>
      <c r="M33" s="1" t="s">
        <v>221</v>
      </c>
      <c r="N33" s="1" t="s">
        <v>222</v>
      </c>
    </row>
    <row r="34" spans="1:14" ht="30" customHeight="1">
      <c r="A34" s="5" t="s">
        <v>255</v>
      </c>
      <c r="B34" s="13">
        <v>46539</v>
      </c>
      <c r="C34" s="5" t="s">
        <v>228</v>
      </c>
      <c r="D34" s="15">
        <v>5000</v>
      </c>
      <c r="E34" s="15">
        <v>5050</v>
      </c>
      <c r="F34" s="15">
        <v>5050</v>
      </c>
      <c r="G34" s="15">
        <v>210000</v>
      </c>
      <c r="H34" s="15">
        <v>105000</v>
      </c>
      <c r="I34" s="15">
        <v>65000</v>
      </c>
      <c r="J34" s="15">
        <v>15000</v>
      </c>
      <c r="K34" s="15">
        <v>2272</v>
      </c>
      <c r="L34" s="5" t="s">
        <v>252</v>
      </c>
      <c r="M34" s="5" t="s">
        <v>221</v>
      </c>
      <c r="N34" s="5" t="s">
        <v>222</v>
      </c>
    </row>
    <row r="35" spans="1:14" ht="30" customHeight="1">
      <c r="A35" s="1" t="s">
        <v>256</v>
      </c>
      <c r="B35" s="14">
        <v>46539</v>
      </c>
      <c r="C35" s="1" t="s">
        <v>230</v>
      </c>
      <c r="D35" s="16">
        <v>3000</v>
      </c>
      <c r="E35" s="16">
        <v>2970</v>
      </c>
      <c r="F35" s="16">
        <v>2970</v>
      </c>
      <c r="G35" s="16">
        <v>150000</v>
      </c>
      <c r="H35" s="16">
        <v>70000</v>
      </c>
      <c r="I35" s="16">
        <v>50000</v>
      </c>
      <c r="J35" s="16">
        <v>12000</v>
      </c>
      <c r="K35" s="16">
        <v>1336</v>
      </c>
      <c r="L35" s="1" t="s">
        <v>252</v>
      </c>
      <c r="M35" s="1" t="s">
        <v>221</v>
      </c>
      <c r="N35" s="1" t="s">
        <v>222</v>
      </c>
    </row>
    <row r="36" spans="1:14" ht="30" customHeight="1">
      <c r="A36" s="5" t="s">
        <v>257</v>
      </c>
      <c r="B36" s="13">
        <v>46569</v>
      </c>
      <c r="C36" s="5" t="s">
        <v>219</v>
      </c>
      <c r="D36" s="15">
        <v>4000</v>
      </c>
      <c r="E36" s="15">
        <v>3800</v>
      </c>
      <c r="F36" s="15">
        <v>3800</v>
      </c>
      <c r="G36" s="15">
        <v>300000</v>
      </c>
      <c r="H36" s="15">
        <v>175000</v>
      </c>
      <c r="I36" s="15">
        <v>75000</v>
      </c>
      <c r="J36" s="15">
        <v>20000</v>
      </c>
      <c r="K36" s="17"/>
      <c r="L36" s="5" t="s">
        <v>258</v>
      </c>
      <c r="M36" s="5" t="s">
        <v>221</v>
      </c>
      <c r="N36" s="5" t="s">
        <v>259</v>
      </c>
    </row>
    <row r="37" spans="1:14" ht="30" customHeight="1">
      <c r="A37" s="1" t="s">
        <v>260</v>
      </c>
      <c r="B37" s="14">
        <v>46569</v>
      </c>
      <c r="C37" s="1" t="s">
        <v>224</v>
      </c>
      <c r="D37" s="16">
        <v>10000</v>
      </c>
      <c r="E37" s="16">
        <v>9500</v>
      </c>
      <c r="F37" s="16">
        <v>8800</v>
      </c>
      <c r="G37" s="16">
        <v>180000</v>
      </c>
      <c r="H37" s="16">
        <v>55000</v>
      </c>
      <c r="I37" s="16">
        <v>95000</v>
      </c>
      <c r="J37" s="16">
        <v>10000</v>
      </c>
      <c r="K37" s="18"/>
      <c r="L37" s="1" t="s">
        <v>258</v>
      </c>
      <c r="M37" s="1" t="s">
        <v>221</v>
      </c>
      <c r="N37" s="1" t="s">
        <v>259</v>
      </c>
    </row>
    <row r="38" spans="1:14" ht="30" customHeight="1">
      <c r="A38" s="5" t="s">
        <v>261</v>
      </c>
      <c r="B38" s="13">
        <v>46569</v>
      </c>
      <c r="C38" s="5" t="s">
        <v>226</v>
      </c>
      <c r="D38" s="15">
        <v>6000</v>
      </c>
      <c r="E38" s="15">
        <v>5940</v>
      </c>
      <c r="F38" s="15">
        <v>5940</v>
      </c>
      <c r="G38" s="15">
        <v>230000</v>
      </c>
      <c r="H38" s="15">
        <v>125000</v>
      </c>
      <c r="I38" s="15">
        <v>60000</v>
      </c>
      <c r="J38" s="15">
        <v>17000</v>
      </c>
      <c r="K38" s="17"/>
      <c r="L38" s="5" t="s">
        <v>258</v>
      </c>
      <c r="M38" s="5" t="s">
        <v>221</v>
      </c>
      <c r="N38" s="5" t="s">
        <v>259</v>
      </c>
    </row>
    <row r="39" spans="1:14" ht="30" customHeight="1">
      <c r="A39" s="1" t="s">
        <v>262</v>
      </c>
      <c r="B39" s="14">
        <v>46569</v>
      </c>
      <c r="C39" s="1" t="s">
        <v>228</v>
      </c>
      <c r="D39" s="16">
        <v>5000</v>
      </c>
      <c r="E39" s="16">
        <v>5050</v>
      </c>
      <c r="F39" s="16">
        <v>5050</v>
      </c>
      <c r="G39" s="16">
        <v>210000</v>
      </c>
      <c r="H39" s="16">
        <v>105000</v>
      </c>
      <c r="I39" s="16">
        <v>65000</v>
      </c>
      <c r="J39" s="16">
        <v>15000</v>
      </c>
      <c r="K39" s="18"/>
      <c r="L39" s="1" t="s">
        <v>258</v>
      </c>
      <c r="M39" s="1" t="s">
        <v>221</v>
      </c>
      <c r="N39" s="1" t="s">
        <v>259</v>
      </c>
    </row>
    <row r="40" spans="1:14" ht="30" customHeight="1">
      <c r="A40" s="5" t="s">
        <v>263</v>
      </c>
      <c r="B40" s="13">
        <v>46569</v>
      </c>
      <c r="C40" s="5" t="s">
        <v>230</v>
      </c>
      <c r="D40" s="15">
        <v>3000</v>
      </c>
      <c r="E40" s="15">
        <v>2970</v>
      </c>
      <c r="F40" s="15">
        <v>2970</v>
      </c>
      <c r="G40" s="15">
        <v>150000</v>
      </c>
      <c r="H40" s="15">
        <v>70000</v>
      </c>
      <c r="I40" s="15">
        <v>50000</v>
      </c>
      <c r="J40" s="15">
        <v>12000</v>
      </c>
      <c r="K40" s="17"/>
      <c r="L40" s="5" t="s">
        <v>258</v>
      </c>
      <c r="M40" s="5" t="s">
        <v>221</v>
      </c>
      <c r="N40" s="5" t="s">
        <v>259</v>
      </c>
    </row>
    <row r="41" spans="1:14" ht="30" customHeight="1">
      <c r="A41" s="1" t="s">
        <v>264</v>
      </c>
      <c r="B41" s="14">
        <v>46600</v>
      </c>
      <c r="C41" s="1" t="s">
        <v>219</v>
      </c>
      <c r="D41" s="16">
        <v>3680</v>
      </c>
      <c r="E41" s="16">
        <v>3496</v>
      </c>
      <c r="F41" s="16">
        <v>3496</v>
      </c>
      <c r="G41" s="16">
        <v>300000</v>
      </c>
      <c r="H41" s="16">
        <v>175000</v>
      </c>
      <c r="I41" s="16">
        <v>75000</v>
      </c>
      <c r="J41" s="16">
        <v>20000</v>
      </c>
      <c r="K41" s="18"/>
      <c r="L41" s="1" t="s">
        <v>258</v>
      </c>
      <c r="M41" s="1" t="s">
        <v>221</v>
      </c>
      <c r="N41" s="1" t="s">
        <v>259</v>
      </c>
    </row>
    <row r="42" spans="1:14" ht="30" customHeight="1">
      <c r="A42" s="5" t="s">
        <v>265</v>
      </c>
      <c r="B42" s="13">
        <v>46600</v>
      </c>
      <c r="C42" s="5" t="s">
        <v>224</v>
      </c>
      <c r="D42" s="15">
        <v>9200</v>
      </c>
      <c r="E42" s="15">
        <v>8740</v>
      </c>
      <c r="F42" s="15">
        <v>8740</v>
      </c>
      <c r="G42" s="15">
        <v>180000</v>
      </c>
      <c r="H42" s="15">
        <v>55000</v>
      </c>
      <c r="I42" s="15">
        <v>95000</v>
      </c>
      <c r="J42" s="15">
        <v>10000</v>
      </c>
      <c r="K42" s="17"/>
      <c r="L42" s="5" t="s">
        <v>258</v>
      </c>
      <c r="M42" s="5" t="s">
        <v>221</v>
      </c>
      <c r="N42" s="5" t="s">
        <v>259</v>
      </c>
    </row>
    <row r="43" spans="1:14" ht="30" customHeight="1">
      <c r="A43" s="1" t="s">
        <v>266</v>
      </c>
      <c r="B43" s="14">
        <v>46600</v>
      </c>
      <c r="C43" s="1" t="s">
        <v>226</v>
      </c>
      <c r="D43" s="16">
        <v>5520</v>
      </c>
      <c r="E43" s="16">
        <v>5465</v>
      </c>
      <c r="F43" s="16">
        <v>5465</v>
      </c>
      <c r="G43" s="16">
        <v>230000</v>
      </c>
      <c r="H43" s="16">
        <v>125000</v>
      </c>
      <c r="I43" s="16">
        <v>60000</v>
      </c>
      <c r="J43" s="16">
        <v>17000</v>
      </c>
      <c r="K43" s="18"/>
      <c r="L43" s="1" t="s">
        <v>258</v>
      </c>
      <c r="M43" s="1" t="s">
        <v>221</v>
      </c>
      <c r="N43" s="1" t="s">
        <v>259</v>
      </c>
    </row>
    <row r="44" spans="1:14" ht="30" customHeight="1">
      <c r="A44" s="5" t="s">
        <v>267</v>
      </c>
      <c r="B44" s="13">
        <v>46600</v>
      </c>
      <c r="C44" s="5" t="s">
        <v>228</v>
      </c>
      <c r="D44" s="15">
        <v>4600</v>
      </c>
      <c r="E44" s="15">
        <v>4646</v>
      </c>
      <c r="F44" s="15">
        <v>4646</v>
      </c>
      <c r="G44" s="15">
        <v>210000</v>
      </c>
      <c r="H44" s="15">
        <v>105000</v>
      </c>
      <c r="I44" s="15">
        <v>65000</v>
      </c>
      <c r="J44" s="15">
        <v>15000</v>
      </c>
      <c r="K44" s="17"/>
      <c r="L44" s="5" t="s">
        <v>258</v>
      </c>
      <c r="M44" s="5" t="s">
        <v>221</v>
      </c>
      <c r="N44" s="5" t="s">
        <v>259</v>
      </c>
    </row>
    <row r="45" spans="1:14" ht="30" customHeight="1">
      <c r="A45" s="1" t="s">
        <v>268</v>
      </c>
      <c r="B45" s="14">
        <v>46600</v>
      </c>
      <c r="C45" s="1" t="s">
        <v>230</v>
      </c>
      <c r="D45" s="16">
        <v>2760</v>
      </c>
      <c r="E45" s="16">
        <v>2732</v>
      </c>
      <c r="F45" s="16">
        <v>2732</v>
      </c>
      <c r="G45" s="16">
        <v>150000</v>
      </c>
      <c r="H45" s="16">
        <v>70000</v>
      </c>
      <c r="I45" s="16">
        <v>50000</v>
      </c>
      <c r="J45" s="16">
        <v>12000</v>
      </c>
      <c r="K45" s="18"/>
      <c r="L45" s="1" t="s">
        <v>258</v>
      </c>
      <c r="M45" s="1" t="s">
        <v>221</v>
      </c>
      <c r="N45" s="1" t="s">
        <v>259</v>
      </c>
    </row>
    <row r="46" spans="1:14" ht="30" customHeight="1">
      <c r="A46" s="5" t="s">
        <v>269</v>
      </c>
      <c r="B46" s="13">
        <v>46631</v>
      </c>
      <c r="C46" s="5" t="s">
        <v>219</v>
      </c>
      <c r="D46" s="15">
        <v>4120</v>
      </c>
      <c r="E46" s="15">
        <v>3914</v>
      </c>
      <c r="F46" s="15">
        <v>3914</v>
      </c>
      <c r="G46" s="15">
        <v>300000</v>
      </c>
      <c r="H46" s="15">
        <v>175000</v>
      </c>
      <c r="I46" s="15">
        <v>75000</v>
      </c>
      <c r="J46" s="15">
        <v>20000</v>
      </c>
      <c r="K46" s="17"/>
      <c r="L46" s="5" t="s">
        <v>258</v>
      </c>
      <c r="M46" s="5" t="s">
        <v>221</v>
      </c>
      <c r="N46" s="5" t="s">
        <v>259</v>
      </c>
    </row>
    <row r="47" spans="1:14" ht="30" customHeight="1">
      <c r="A47" s="1" t="s">
        <v>270</v>
      </c>
      <c r="B47" s="14">
        <v>46631</v>
      </c>
      <c r="C47" s="1" t="s">
        <v>224</v>
      </c>
      <c r="D47" s="16">
        <v>10300</v>
      </c>
      <c r="E47" s="16">
        <v>9785</v>
      </c>
      <c r="F47" s="16">
        <v>9785</v>
      </c>
      <c r="G47" s="16">
        <v>180000</v>
      </c>
      <c r="H47" s="16">
        <v>55000</v>
      </c>
      <c r="I47" s="16">
        <v>95000</v>
      </c>
      <c r="J47" s="16">
        <v>10000</v>
      </c>
      <c r="K47" s="18"/>
      <c r="L47" s="1" t="s">
        <v>258</v>
      </c>
      <c r="M47" s="1" t="s">
        <v>221</v>
      </c>
      <c r="N47" s="1" t="s">
        <v>259</v>
      </c>
    </row>
    <row r="48" spans="1:14" ht="30" customHeight="1">
      <c r="A48" s="5" t="s">
        <v>271</v>
      </c>
      <c r="B48" s="13">
        <v>46631</v>
      </c>
      <c r="C48" s="5" t="s">
        <v>226</v>
      </c>
      <c r="D48" s="15">
        <v>6180</v>
      </c>
      <c r="E48" s="15">
        <v>6118</v>
      </c>
      <c r="F48" s="15">
        <v>6118</v>
      </c>
      <c r="G48" s="15">
        <v>230000</v>
      </c>
      <c r="H48" s="15">
        <v>125000</v>
      </c>
      <c r="I48" s="15">
        <v>60000</v>
      </c>
      <c r="J48" s="15">
        <v>17000</v>
      </c>
      <c r="K48" s="17"/>
      <c r="L48" s="5" t="s">
        <v>258</v>
      </c>
      <c r="M48" s="5" t="s">
        <v>221</v>
      </c>
      <c r="N48" s="5" t="s">
        <v>259</v>
      </c>
    </row>
    <row r="49" spans="1:14" ht="30" customHeight="1">
      <c r="A49" s="1" t="s">
        <v>272</v>
      </c>
      <c r="B49" s="14">
        <v>46631</v>
      </c>
      <c r="C49" s="1" t="s">
        <v>228</v>
      </c>
      <c r="D49" s="16">
        <v>5150</v>
      </c>
      <c r="E49" s="16">
        <v>5202</v>
      </c>
      <c r="F49" s="16">
        <v>5202</v>
      </c>
      <c r="G49" s="16">
        <v>210000</v>
      </c>
      <c r="H49" s="16">
        <v>105000</v>
      </c>
      <c r="I49" s="16">
        <v>65000</v>
      </c>
      <c r="J49" s="16">
        <v>15000</v>
      </c>
      <c r="K49" s="18"/>
      <c r="L49" s="1" t="s">
        <v>258</v>
      </c>
      <c r="M49" s="1" t="s">
        <v>221</v>
      </c>
      <c r="N49" s="1" t="s">
        <v>259</v>
      </c>
    </row>
    <row r="50" spans="1:14" ht="30" customHeight="1">
      <c r="A50" s="5" t="s">
        <v>273</v>
      </c>
      <c r="B50" s="13">
        <v>46631</v>
      </c>
      <c r="C50" s="5" t="s">
        <v>230</v>
      </c>
      <c r="D50" s="15">
        <v>3090</v>
      </c>
      <c r="E50" s="15">
        <v>3059</v>
      </c>
      <c r="F50" s="15">
        <v>3059</v>
      </c>
      <c r="G50" s="15">
        <v>150000</v>
      </c>
      <c r="H50" s="15">
        <v>70000</v>
      </c>
      <c r="I50" s="15">
        <v>50000</v>
      </c>
      <c r="J50" s="15">
        <v>12000</v>
      </c>
      <c r="K50" s="17"/>
      <c r="L50" s="5" t="s">
        <v>258</v>
      </c>
      <c r="M50" s="5" t="s">
        <v>221</v>
      </c>
      <c r="N50" s="5" t="s">
        <v>259</v>
      </c>
    </row>
    <row r="51" spans="1:14" ht="30" customHeight="1">
      <c r="A51" s="1" t="s">
        <v>274</v>
      </c>
      <c r="B51" s="14">
        <v>46661</v>
      </c>
      <c r="C51" s="1" t="s">
        <v>219</v>
      </c>
      <c r="D51" s="16">
        <v>4080</v>
      </c>
      <c r="E51" s="16">
        <v>3876</v>
      </c>
      <c r="F51" s="16">
        <v>3876</v>
      </c>
      <c r="G51" s="16">
        <v>300000</v>
      </c>
      <c r="H51" s="16">
        <v>175000</v>
      </c>
      <c r="I51" s="16">
        <v>75000</v>
      </c>
      <c r="J51" s="16">
        <v>20000</v>
      </c>
      <c r="K51" s="18"/>
      <c r="L51" s="1" t="s">
        <v>258</v>
      </c>
      <c r="M51" s="1" t="s">
        <v>221</v>
      </c>
      <c r="N51" s="1" t="s">
        <v>222</v>
      </c>
    </row>
    <row r="52" spans="1:14" ht="30" customHeight="1">
      <c r="A52" s="5" t="s">
        <v>275</v>
      </c>
      <c r="B52" s="13">
        <v>46661</v>
      </c>
      <c r="C52" s="5" t="s">
        <v>224</v>
      </c>
      <c r="D52" s="15">
        <v>10200</v>
      </c>
      <c r="E52" s="15">
        <v>9690</v>
      </c>
      <c r="F52" s="15">
        <v>9690</v>
      </c>
      <c r="G52" s="15">
        <v>180000</v>
      </c>
      <c r="H52" s="15">
        <v>55000</v>
      </c>
      <c r="I52" s="15">
        <v>95000</v>
      </c>
      <c r="J52" s="15">
        <v>10000</v>
      </c>
      <c r="K52" s="17"/>
      <c r="L52" s="5" t="s">
        <v>258</v>
      </c>
      <c r="M52" s="5" t="s">
        <v>221</v>
      </c>
      <c r="N52" s="5" t="s">
        <v>222</v>
      </c>
    </row>
    <row r="53" spans="1:14" ht="30" customHeight="1">
      <c r="A53" s="1" t="s">
        <v>276</v>
      </c>
      <c r="B53" s="14">
        <v>46661</v>
      </c>
      <c r="C53" s="1" t="s">
        <v>226</v>
      </c>
      <c r="D53" s="16">
        <v>6120</v>
      </c>
      <c r="E53" s="16">
        <v>6059</v>
      </c>
      <c r="F53" s="16">
        <v>6059</v>
      </c>
      <c r="G53" s="16">
        <v>230000</v>
      </c>
      <c r="H53" s="16">
        <v>125000</v>
      </c>
      <c r="I53" s="16">
        <v>60000</v>
      </c>
      <c r="J53" s="16">
        <v>17000</v>
      </c>
      <c r="K53" s="18"/>
      <c r="L53" s="1" t="s">
        <v>258</v>
      </c>
      <c r="M53" s="1" t="s">
        <v>221</v>
      </c>
      <c r="N53" s="1" t="s">
        <v>222</v>
      </c>
    </row>
    <row r="54" spans="1:14" ht="30" customHeight="1">
      <c r="A54" s="5" t="s">
        <v>277</v>
      </c>
      <c r="B54" s="13">
        <v>46661</v>
      </c>
      <c r="C54" s="5" t="s">
        <v>228</v>
      </c>
      <c r="D54" s="15">
        <v>5100</v>
      </c>
      <c r="E54" s="15">
        <v>5151</v>
      </c>
      <c r="F54" s="15">
        <v>5151</v>
      </c>
      <c r="G54" s="15">
        <v>210000</v>
      </c>
      <c r="H54" s="15">
        <v>105000</v>
      </c>
      <c r="I54" s="15">
        <v>65000</v>
      </c>
      <c r="J54" s="15">
        <v>15000</v>
      </c>
      <c r="K54" s="17"/>
      <c r="L54" s="5" t="s">
        <v>258</v>
      </c>
      <c r="M54" s="5" t="s">
        <v>221</v>
      </c>
      <c r="N54" s="5" t="s">
        <v>222</v>
      </c>
    </row>
    <row r="55" spans="1:14" ht="30" customHeight="1">
      <c r="A55" s="1" t="s">
        <v>278</v>
      </c>
      <c r="B55" s="14">
        <v>46661</v>
      </c>
      <c r="C55" s="1" t="s">
        <v>230</v>
      </c>
      <c r="D55" s="16">
        <v>3060</v>
      </c>
      <c r="E55" s="16">
        <v>3029</v>
      </c>
      <c r="F55" s="16">
        <v>3029</v>
      </c>
      <c r="G55" s="16">
        <v>150000</v>
      </c>
      <c r="H55" s="16">
        <v>70000</v>
      </c>
      <c r="I55" s="16">
        <v>50000</v>
      </c>
      <c r="J55" s="16">
        <v>12000</v>
      </c>
      <c r="K55" s="18"/>
      <c r="L55" s="1" t="s">
        <v>258</v>
      </c>
      <c r="M55" s="1" t="s">
        <v>221</v>
      </c>
      <c r="N55" s="1" t="s">
        <v>222</v>
      </c>
    </row>
    <row r="56" spans="1:14" ht="30" customHeight="1">
      <c r="A56" s="5" t="s">
        <v>279</v>
      </c>
      <c r="B56" s="13">
        <v>46692</v>
      </c>
      <c r="C56" s="5" t="s">
        <v>219</v>
      </c>
      <c r="D56" s="15">
        <v>4000</v>
      </c>
      <c r="E56" s="15">
        <v>3800</v>
      </c>
      <c r="F56" s="15">
        <v>3800</v>
      </c>
      <c r="G56" s="15">
        <v>300000</v>
      </c>
      <c r="H56" s="15">
        <v>175000</v>
      </c>
      <c r="I56" s="15">
        <v>75000</v>
      </c>
      <c r="J56" s="15">
        <v>20000</v>
      </c>
      <c r="K56" s="17"/>
      <c r="L56" s="5" t="s">
        <v>258</v>
      </c>
      <c r="M56" s="5" t="s">
        <v>221</v>
      </c>
      <c r="N56" s="5" t="s">
        <v>222</v>
      </c>
    </row>
    <row r="57" spans="1:14" ht="30" customHeight="1">
      <c r="A57" s="1" t="s">
        <v>280</v>
      </c>
      <c r="B57" s="14">
        <v>46692</v>
      </c>
      <c r="C57" s="1" t="s">
        <v>224</v>
      </c>
      <c r="D57" s="16">
        <v>10000</v>
      </c>
      <c r="E57" s="16">
        <v>9500</v>
      </c>
      <c r="F57" s="16">
        <v>9500</v>
      </c>
      <c r="G57" s="16">
        <v>180000</v>
      </c>
      <c r="H57" s="16">
        <v>55000</v>
      </c>
      <c r="I57" s="16">
        <v>95000</v>
      </c>
      <c r="J57" s="16">
        <v>10000</v>
      </c>
      <c r="K57" s="18"/>
      <c r="L57" s="1" t="s">
        <v>258</v>
      </c>
      <c r="M57" s="1" t="s">
        <v>221</v>
      </c>
      <c r="N57" s="1" t="s">
        <v>222</v>
      </c>
    </row>
    <row r="58" spans="1:14" ht="30" customHeight="1">
      <c r="A58" s="5" t="s">
        <v>281</v>
      </c>
      <c r="B58" s="13">
        <v>46692</v>
      </c>
      <c r="C58" s="5" t="s">
        <v>226</v>
      </c>
      <c r="D58" s="15">
        <v>6000</v>
      </c>
      <c r="E58" s="15">
        <v>5940</v>
      </c>
      <c r="F58" s="15">
        <v>5940</v>
      </c>
      <c r="G58" s="15">
        <v>230000</v>
      </c>
      <c r="H58" s="15">
        <v>125000</v>
      </c>
      <c r="I58" s="15">
        <v>60000</v>
      </c>
      <c r="J58" s="15">
        <v>17000</v>
      </c>
      <c r="K58" s="17"/>
      <c r="L58" s="5" t="s">
        <v>258</v>
      </c>
      <c r="M58" s="5" t="s">
        <v>221</v>
      </c>
      <c r="N58" s="5" t="s">
        <v>222</v>
      </c>
    </row>
    <row r="59" spans="1:14" ht="30" customHeight="1">
      <c r="A59" s="1" t="s">
        <v>282</v>
      </c>
      <c r="B59" s="14">
        <v>46692</v>
      </c>
      <c r="C59" s="1" t="s">
        <v>228</v>
      </c>
      <c r="D59" s="16">
        <v>5000</v>
      </c>
      <c r="E59" s="16">
        <v>5050</v>
      </c>
      <c r="F59" s="16">
        <v>5050</v>
      </c>
      <c r="G59" s="16">
        <v>210000</v>
      </c>
      <c r="H59" s="16">
        <v>105000</v>
      </c>
      <c r="I59" s="16">
        <v>65000</v>
      </c>
      <c r="J59" s="16">
        <v>15000</v>
      </c>
      <c r="K59" s="18"/>
      <c r="L59" s="1" t="s">
        <v>258</v>
      </c>
      <c r="M59" s="1" t="s">
        <v>221</v>
      </c>
      <c r="N59" s="1" t="s">
        <v>222</v>
      </c>
    </row>
    <row r="60" spans="1:14" ht="30" customHeight="1">
      <c r="A60" s="5" t="s">
        <v>283</v>
      </c>
      <c r="B60" s="13">
        <v>46692</v>
      </c>
      <c r="C60" s="5" t="s">
        <v>230</v>
      </c>
      <c r="D60" s="15">
        <v>3000</v>
      </c>
      <c r="E60" s="15">
        <v>2970</v>
      </c>
      <c r="F60" s="15">
        <v>2970</v>
      </c>
      <c r="G60" s="15">
        <v>150000</v>
      </c>
      <c r="H60" s="15">
        <v>70000</v>
      </c>
      <c r="I60" s="15">
        <v>50000</v>
      </c>
      <c r="J60" s="15">
        <v>12000</v>
      </c>
      <c r="K60" s="17"/>
      <c r="L60" s="5" t="s">
        <v>258</v>
      </c>
      <c r="M60" s="5" t="s">
        <v>221</v>
      </c>
      <c r="N60" s="5" t="s">
        <v>222</v>
      </c>
    </row>
    <row r="61" spans="1:14" ht="30" customHeight="1">
      <c r="A61" s="1" t="s">
        <v>284</v>
      </c>
      <c r="B61" s="14">
        <v>46722</v>
      </c>
      <c r="C61" s="1" t="s">
        <v>219</v>
      </c>
      <c r="D61" s="16">
        <v>3800</v>
      </c>
      <c r="E61" s="16">
        <v>3610</v>
      </c>
      <c r="F61" s="16">
        <v>3610</v>
      </c>
      <c r="G61" s="16">
        <v>300000</v>
      </c>
      <c r="H61" s="16">
        <v>175000</v>
      </c>
      <c r="I61" s="16">
        <v>75000</v>
      </c>
      <c r="J61" s="16">
        <v>20000</v>
      </c>
      <c r="K61" s="18"/>
      <c r="L61" s="1" t="s">
        <v>258</v>
      </c>
      <c r="M61" s="1" t="s">
        <v>221</v>
      </c>
      <c r="N61" s="1" t="s">
        <v>222</v>
      </c>
    </row>
    <row r="62" spans="1:14" ht="30" customHeight="1">
      <c r="A62" s="5" t="s">
        <v>285</v>
      </c>
      <c r="B62" s="13">
        <v>46722</v>
      </c>
      <c r="C62" s="5" t="s">
        <v>224</v>
      </c>
      <c r="D62" s="15">
        <v>9500</v>
      </c>
      <c r="E62" s="15">
        <v>9025</v>
      </c>
      <c r="F62" s="15">
        <v>9025</v>
      </c>
      <c r="G62" s="15">
        <v>180000</v>
      </c>
      <c r="H62" s="15">
        <v>55000</v>
      </c>
      <c r="I62" s="15">
        <v>95000</v>
      </c>
      <c r="J62" s="15">
        <v>10000</v>
      </c>
      <c r="K62" s="17"/>
      <c r="L62" s="5" t="s">
        <v>258</v>
      </c>
      <c r="M62" s="5" t="s">
        <v>221</v>
      </c>
      <c r="N62" s="5" t="s">
        <v>222</v>
      </c>
    </row>
    <row r="63" spans="1:14" ht="30" customHeight="1">
      <c r="A63" s="1" t="s">
        <v>286</v>
      </c>
      <c r="B63" s="14">
        <v>46722</v>
      </c>
      <c r="C63" s="1" t="s">
        <v>226</v>
      </c>
      <c r="D63" s="16">
        <v>5700</v>
      </c>
      <c r="E63" s="16">
        <v>5643</v>
      </c>
      <c r="F63" s="16">
        <v>5643</v>
      </c>
      <c r="G63" s="16">
        <v>230000</v>
      </c>
      <c r="H63" s="16">
        <v>125000</v>
      </c>
      <c r="I63" s="16">
        <v>60000</v>
      </c>
      <c r="J63" s="16">
        <v>17000</v>
      </c>
      <c r="K63" s="18"/>
      <c r="L63" s="1" t="s">
        <v>258</v>
      </c>
      <c r="M63" s="1" t="s">
        <v>221</v>
      </c>
      <c r="N63" s="1" t="s">
        <v>222</v>
      </c>
    </row>
    <row r="64" spans="1:14" ht="30" customHeight="1">
      <c r="A64" s="5" t="s">
        <v>287</v>
      </c>
      <c r="B64" s="13">
        <v>46722</v>
      </c>
      <c r="C64" s="5" t="s">
        <v>228</v>
      </c>
      <c r="D64" s="15">
        <v>4750</v>
      </c>
      <c r="E64" s="15">
        <v>4798</v>
      </c>
      <c r="F64" s="15">
        <v>4798</v>
      </c>
      <c r="G64" s="15">
        <v>210000</v>
      </c>
      <c r="H64" s="15">
        <v>105000</v>
      </c>
      <c r="I64" s="15">
        <v>65000</v>
      </c>
      <c r="J64" s="15">
        <v>15000</v>
      </c>
      <c r="K64" s="17"/>
      <c r="L64" s="5" t="s">
        <v>258</v>
      </c>
      <c r="M64" s="5" t="s">
        <v>221</v>
      </c>
      <c r="N64" s="5" t="s">
        <v>222</v>
      </c>
    </row>
    <row r="65" spans="1:14" ht="30" customHeight="1">
      <c r="A65" s="1" t="s">
        <v>288</v>
      </c>
      <c r="B65" s="14">
        <v>46722</v>
      </c>
      <c r="C65" s="1" t="s">
        <v>230</v>
      </c>
      <c r="D65" s="16">
        <v>2850</v>
      </c>
      <c r="E65" s="16">
        <v>2822</v>
      </c>
      <c r="F65" s="16">
        <v>2822</v>
      </c>
      <c r="G65" s="16">
        <v>150000</v>
      </c>
      <c r="H65" s="16">
        <v>70000</v>
      </c>
      <c r="I65" s="16">
        <v>50000</v>
      </c>
      <c r="J65" s="16">
        <v>12000</v>
      </c>
      <c r="K65" s="18"/>
      <c r="L65" s="1" t="s">
        <v>258</v>
      </c>
      <c r="M65" s="1" t="s">
        <v>221</v>
      </c>
      <c r="N65" s="1" t="s">
        <v>222</v>
      </c>
    </row>
    <row r="66" spans="1:14" ht="30" customHeight="1">
      <c r="A66" s="5" t="s">
        <v>289</v>
      </c>
      <c r="B66" s="13">
        <v>46753</v>
      </c>
      <c r="C66" s="5" t="s">
        <v>219</v>
      </c>
      <c r="D66" s="17"/>
      <c r="E66" s="19">
        <f>ROUND(E6*설정!$B$7,0)</f>
        <v>3958</v>
      </c>
      <c r="F66" s="17">
        <f t="shared" ref="F66:F100" si="0">E66</f>
        <v>3958</v>
      </c>
      <c r="G66" s="17">
        <f t="shared" ref="G66:J85" si="1">G6</f>
        <v>300000</v>
      </c>
      <c r="H66" s="17">
        <f t="shared" si="1"/>
        <v>175000</v>
      </c>
      <c r="I66" s="17">
        <f t="shared" si="1"/>
        <v>75000</v>
      </c>
      <c r="J66" s="17">
        <f t="shared" si="1"/>
        <v>20000</v>
      </c>
      <c r="K66" s="17"/>
      <c r="L66" s="5" t="s">
        <v>290</v>
      </c>
      <c r="M66" s="5" t="s">
        <v>291</v>
      </c>
      <c r="N66" s="5" t="s">
        <v>292</v>
      </c>
    </row>
    <row r="67" spans="1:14" ht="30" customHeight="1">
      <c r="A67" s="1" t="s">
        <v>293</v>
      </c>
      <c r="B67" s="14">
        <v>46753</v>
      </c>
      <c r="C67" s="1" t="s">
        <v>224</v>
      </c>
      <c r="D67" s="18"/>
      <c r="E67" s="20">
        <f>ROUND(E7*설정!$B$7,0)</f>
        <v>9894</v>
      </c>
      <c r="F67" s="18">
        <f t="shared" si="0"/>
        <v>9894</v>
      </c>
      <c r="G67" s="18">
        <f t="shared" si="1"/>
        <v>180000</v>
      </c>
      <c r="H67" s="18">
        <f t="shared" si="1"/>
        <v>55000</v>
      </c>
      <c r="I67" s="18">
        <f t="shared" si="1"/>
        <v>95000</v>
      </c>
      <c r="J67" s="18">
        <f t="shared" si="1"/>
        <v>10000</v>
      </c>
      <c r="K67" s="18"/>
      <c r="L67" s="1" t="s">
        <v>290</v>
      </c>
      <c r="M67" s="1" t="s">
        <v>291</v>
      </c>
      <c r="N67" s="1" t="s">
        <v>292</v>
      </c>
    </row>
    <row r="68" spans="1:14" ht="30" customHeight="1">
      <c r="A68" s="5" t="s">
        <v>294</v>
      </c>
      <c r="B68" s="13">
        <v>46753</v>
      </c>
      <c r="C68" s="5" t="s">
        <v>226</v>
      </c>
      <c r="D68" s="17"/>
      <c r="E68" s="19">
        <f>ROUND(E8*설정!$B$7,0)</f>
        <v>5877</v>
      </c>
      <c r="F68" s="17">
        <f t="shared" si="0"/>
        <v>5877</v>
      </c>
      <c r="G68" s="17">
        <f t="shared" si="1"/>
        <v>230000</v>
      </c>
      <c r="H68" s="17">
        <f t="shared" si="1"/>
        <v>125000</v>
      </c>
      <c r="I68" s="17">
        <f t="shared" si="1"/>
        <v>60000</v>
      </c>
      <c r="J68" s="17">
        <f t="shared" si="1"/>
        <v>17000</v>
      </c>
      <c r="K68" s="17"/>
      <c r="L68" s="5" t="s">
        <v>290</v>
      </c>
      <c r="M68" s="5" t="s">
        <v>291</v>
      </c>
      <c r="N68" s="5" t="s">
        <v>292</v>
      </c>
    </row>
    <row r="69" spans="1:14" ht="30" customHeight="1">
      <c r="A69" s="1" t="s">
        <v>295</v>
      </c>
      <c r="B69" s="14">
        <v>46753</v>
      </c>
      <c r="C69" s="1" t="s">
        <v>228</v>
      </c>
      <c r="D69" s="18"/>
      <c r="E69" s="20">
        <f>ROUND(E9*설정!$B$7,0)</f>
        <v>4996</v>
      </c>
      <c r="F69" s="18">
        <f t="shared" si="0"/>
        <v>4996</v>
      </c>
      <c r="G69" s="18">
        <f t="shared" si="1"/>
        <v>210000</v>
      </c>
      <c r="H69" s="18">
        <f t="shared" si="1"/>
        <v>105000</v>
      </c>
      <c r="I69" s="18">
        <f t="shared" si="1"/>
        <v>65000</v>
      </c>
      <c r="J69" s="18">
        <f t="shared" si="1"/>
        <v>15000</v>
      </c>
      <c r="K69" s="18"/>
      <c r="L69" s="1" t="s">
        <v>290</v>
      </c>
      <c r="M69" s="1" t="s">
        <v>291</v>
      </c>
      <c r="N69" s="1" t="s">
        <v>292</v>
      </c>
    </row>
    <row r="70" spans="1:14" ht="30" customHeight="1">
      <c r="A70" s="5" t="s">
        <v>296</v>
      </c>
      <c r="B70" s="13">
        <v>46753</v>
      </c>
      <c r="C70" s="5" t="s">
        <v>230</v>
      </c>
      <c r="D70" s="17"/>
      <c r="E70" s="19">
        <f>ROUND(E10*설정!$B$7,0)</f>
        <v>2938</v>
      </c>
      <c r="F70" s="17">
        <f t="shared" si="0"/>
        <v>2938</v>
      </c>
      <c r="G70" s="17">
        <f t="shared" si="1"/>
        <v>150000</v>
      </c>
      <c r="H70" s="17">
        <f t="shared" si="1"/>
        <v>70000</v>
      </c>
      <c r="I70" s="17">
        <f t="shared" si="1"/>
        <v>50000</v>
      </c>
      <c r="J70" s="17">
        <f t="shared" si="1"/>
        <v>12000</v>
      </c>
      <c r="K70" s="17"/>
      <c r="L70" s="5" t="s">
        <v>290</v>
      </c>
      <c r="M70" s="5" t="s">
        <v>291</v>
      </c>
      <c r="N70" s="5" t="s">
        <v>292</v>
      </c>
    </row>
    <row r="71" spans="1:14" ht="30" customHeight="1">
      <c r="A71" s="1" t="s">
        <v>297</v>
      </c>
      <c r="B71" s="14">
        <v>46784</v>
      </c>
      <c r="C71" s="1" t="s">
        <v>219</v>
      </c>
      <c r="D71" s="18"/>
      <c r="E71" s="20">
        <f>ROUND(E11*설정!$B$7,0)</f>
        <v>3457</v>
      </c>
      <c r="F71" s="18">
        <f t="shared" si="0"/>
        <v>3457</v>
      </c>
      <c r="G71" s="18">
        <f t="shared" si="1"/>
        <v>300000</v>
      </c>
      <c r="H71" s="18">
        <f t="shared" si="1"/>
        <v>175000</v>
      </c>
      <c r="I71" s="18">
        <f t="shared" si="1"/>
        <v>75000</v>
      </c>
      <c r="J71" s="18">
        <f t="shared" si="1"/>
        <v>20000</v>
      </c>
      <c r="K71" s="18"/>
      <c r="L71" s="1" t="s">
        <v>290</v>
      </c>
      <c r="M71" s="1" t="s">
        <v>291</v>
      </c>
      <c r="N71" s="1" t="s">
        <v>292</v>
      </c>
    </row>
    <row r="72" spans="1:14" ht="30" customHeight="1">
      <c r="A72" s="5" t="s">
        <v>298</v>
      </c>
      <c r="B72" s="13">
        <v>46784</v>
      </c>
      <c r="C72" s="5" t="s">
        <v>224</v>
      </c>
      <c r="D72" s="17"/>
      <c r="E72" s="19">
        <f>ROUND(E12*설정!$B$7,0)</f>
        <v>8643</v>
      </c>
      <c r="F72" s="17">
        <f t="shared" si="0"/>
        <v>8643</v>
      </c>
      <c r="G72" s="17">
        <f t="shared" si="1"/>
        <v>180000</v>
      </c>
      <c r="H72" s="17">
        <f t="shared" si="1"/>
        <v>55000</v>
      </c>
      <c r="I72" s="17">
        <f t="shared" si="1"/>
        <v>95000</v>
      </c>
      <c r="J72" s="17">
        <f t="shared" si="1"/>
        <v>10000</v>
      </c>
      <c r="K72" s="17"/>
      <c r="L72" s="5" t="s">
        <v>290</v>
      </c>
      <c r="M72" s="5" t="s">
        <v>291</v>
      </c>
      <c r="N72" s="5" t="s">
        <v>292</v>
      </c>
    </row>
    <row r="73" spans="1:14" ht="30" customHeight="1">
      <c r="A73" s="1" t="s">
        <v>299</v>
      </c>
      <c r="B73" s="14">
        <v>46784</v>
      </c>
      <c r="C73" s="1" t="s">
        <v>226</v>
      </c>
      <c r="D73" s="18"/>
      <c r="E73" s="20">
        <f>ROUND(E13*설정!$B$7,0)</f>
        <v>5186</v>
      </c>
      <c r="F73" s="18">
        <f t="shared" si="0"/>
        <v>5186</v>
      </c>
      <c r="G73" s="18">
        <f t="shared" si="1"/>
        <v>230000</v>
      </c>
      <c r="H73" s="18">
        <f t="shared" si="1"/>
        <v>125000</v>
      </c>
      <c r="I73" s="18">
        <f t="shared" si="1"/>
        <v>60000</v>
      </c>
      <c r="J73" s="18">
        <f t="shared" si="1"/>
        <v>17000</v>
      </c>
      <c r="K73" s="18"/>
      <c r="L73" s="1" t="s">
        <v>290</v>
      </c>
      <c r="M73" s="1" t="s">
        <v>291</v>
      </c>
      <c r="N73" s="1" t="s">
        <v>292</v>
      </c>
    </row>
    <row r="74" spans="1:14" ht="30" customHeight="1">
      <c r="A74" s="5" t="s">
        <v>300</v>
      </c>
      <c r="B74" s="13">
        <v>46784</v>
      </c>
      <c r="C74" s="5" t="s">
        <v>228</v>
      </c>
      <c r="D74" s="17"/>
      <c r="E74" s="19">
        <f>ROUND(E14*설정!$B$7,0)</f>
        <v>4409</v>
      </c>
      <c r="F74" s="17">
        <f t="shared" si="0"/>
        <v>4409</v>
      </c>
      <c r="G74" s="17">
        <f t="shared" si="1"/>
        <v>210000</v>
      </c>
      <c r="H74" s="17">
        <f t="shared" si="1"/>
        <v>105000</v>
      </c>
      <c r="I74" s="17">
        <f t="shared" si="1"/>
        <v>65000</v>
      </c>
      <c r="J74" s="17">
        <f t="shared" si="1"/>
        <v>15000</v>
      </c>
      <c r="K74" s="17"/>
      <c r="L74" s="5" t="s">
        <v>290</v>
      </c>
      <c r="M74" s="5" t="s">
        <v>291</v>
      </c>
      <c r="N74" s="5" t="s">
        <v>292</v>
      </c>
    </row>
    <row r="75" spans="1:14" ht="30" customHeight="1">
      <c r="A75" s="1" t="s">
        <v>301</v>
      </c>
      <c r="B75" s="14">
        <v>46784</v>
      </c>
      <c r="C75" s="1" t="s">
        <v>230</v>
      </c>
      <c r="D75" s="18"/>
      <c r="E75" s="20">
        <f>ROUND(E15*설정!$B$7,0)</f>
        <v>2593</v>
      </c>
      <c r="F75" s="18">
        <f t="shared" si="0"/>
        <v>2593</v>
      </c>
      <c r="G75" s="18">
        <f t="shared" si="1"/>
        <v>150000</v>
      </c>
      <c r="H75" s="18">
        <f t="shared" si="1"/>
        <v>70000</v>
      </c>
      <c r="I75" s="18">
        <f t="shared" si="1"/>
        <v>50000</v>
      </c>
      <c r="J75" s="18">
        <f t="shared" si="1"/>
        <v>12000</v>
      </c>
      <c r="K75" s="18"/>
      <c r="L75" s="1" t="s">
        <v>290</v>
      </c>
      <c r="M75" s="1" t="s">
        <v>291</v>
      </c>
      <c r="N75" s="1" t="s">
        <v>292</v>
      </c>
    </row>
    <row r="76" spans="1:14" ht="30" customHeight="1">
      <c r="A76" s="5" t="s">
        <v>302</v>
      </c>
      <c r="B76" s="13">
        <v>46813</v>
      </c>
      <c r="C76" s="5" t="s">
        <v>219</v>
      </c>
      <c r="D76" s="17"/>
      <c r="E76" s="19">
        <f>ROUND(E16*설정!$B$7,0)</f>
        <v>3993</v>
      </c>
      <c r="F76" s="17">
        <f t="shared" si="0"/>
        <v>3993</v>
      </c>
      <c r="G76" s="17">
        <f t="shared" si="1"/>
        <v>300000</v>
      </c>
      <c r="H76" s="17">
        <f t="shared" si="1"/>
        <v>175000</v>
      </c>
      <c r="I76" s="17">
        <f t="shared" si="1"/>
        <v>75000</v>
      </c>
      <c r="J76" s="17">
        <f t="shared" si="1"/>
        <v>20000</v>
      </c>
      <c r="K76" s="17"/>
      <c r="L76" s="5" t="s">
        <v>290</v>
      </c>
      <c r="M76" s="5" t="s">
        <v>291</v>
      </c>
      <c r="N76" s="5" t="s">
        <v>292</v>
      </c>
    </row>
    <row r="77" spans="1:14" ht="30" customHeight="1">
      <c r="A77" s="1" t="s">
        <v>303</v>
      </c>
      <c r="B77" s="14">
        <v>46813</v>
      </c>
      <c r="C77" s="1" t="s">
        <v>224</v>
      </c>
      <c r="D77" s="18"/>
      <c r="E77" s="20">
        <f>ROUND(E17*설정!$B$7,0)</f>
        <v>9981</v>
      </c>
      <c r="F77" s="18">
        <f t="shared" si="0"/>
        <v>9981</v>
      </c>
      <c r="G77" s="18">
        <f t="shared" si="1"/>
        <v>180000</v>
      </c>
      <c r="H77" s="18">
        <f t="shared" si="1"/>
        <v>55000</v>
      </c>
      <c r="I77" s="18">
        <f t="shared" si="1"/>
        <v>95000</v>
      </c>
      <c r="J77" s="18">
        <f t="shared" si="1"/>
        <v>10000</v>
      </c>
      <c r="K77" s="18"/>
      <c r="L77" s="1" t="s">
        <v>290</v>
      </c>
      <c r="M77" s="1" t="s">
        <v>291</v>
      </c>
      <c r="N77" s="1" t="s">
        <v>292</v>
      </c>
    </row>
    <row r="78" spans="1:14" ht="30" customHeight="1">
      <c r="A78" s="5" t="s">
        <v>304</v>
      </c>
      <c r="B78" s="13">
        <v>46813</v>
      </c>
      <c r="C78" s="5" t="s">
        <v>226</v>
      </c>
      <c r="D78" s="17"/>
      <c r="E78" s="19">
        <f>ROUND(E18*설정!$B$7,0)</f>
        <v>6050</v>
      </c>
      <c r="F78" s="17">
        <f t="shared" si="0"/>
        <v>6050</v>
      </c>
      <c r="G78" s="17">
        <f t="shared" si="1"/>
        <v>230000</v>
      </c>
      <c r="H78" s="17">
        <f t="shared" si="1"/>
        <v>125000</v>
      </c>
      <c r="I78" s="17">
        <f t="shared" si="1"/>
        <v>60000</v>
      </c>
      <c r="J78" s="17">
        <f t="shared" si="1"/>
        <v>17000</v>
      </c>
      <c r="K78" s="17"/>
      <c r="L78" s="5" t="s">
        <v>290</v>
      </c>
      <c r="M78" s="5" t="s">
        <v>291</v>
      </c>
      <c r="N78" s="5" t="s">
        <v>292</v>
      </c>
    </row>
    <row r="79" spans="1:14" ht="30" customHeight="1">
      <c r="A79" s="1" t="s">
        <v>305</v>
      </c>
      <c r="B79" s="14">
        <v>46813</v>
      </c>
      <c r="C79" s="1" t="s">
        <v>228</v>
      </c>
      <c r="D79" s="18"/>
      <c r="E79" s="20">
        <f>ROUND(E19*설정!$B$7,0)</f>
        <v>5144</v>
      </c>
      <c r="F79" s="18">
        <f t="shared" si="0"/>
        <v>5144</v>
      </c>
      <c r="G79" s="18">
        <f t="shared" si="1"/>
        <v>210000</v>
      </c>
      <c r="H79" s="18">
        <f t="shared" si="1"/>
        <v>105000</v>
      </c>
      <c r="I79" s="18">
        <f t="shared" si="1"/>
        <v>65000</v>
      </c>
      <c r="J79" s="18">
        <f t="shared" si="1"/>
        <v>15000</v>
      </c>
      <c r="K79" s="18"/>
      <c r="L79" s="1" t="s">
        <v>290</v>
      </c>
      <c r="M79" s="1" t="s">
        <v>291</v>
      </c>
      <c r="N79" s="1" t="s">
        <v>292</v>
      </c>
    </row>
    <row r="80" spans="1:14" ht="30" customHeight="1">
      <c r="A80" s="5" t="s">
        <v>306</v>
      </c>
      <c r="B80" s="13">
        <v>46813</v>
      </c>
      <c r="C80" s="5" t="s">
        <v>230</v>
      </c>
      <c r="D80" s="17"/>
      <c r="E80" s="19">
        <f>ROUND(E20*설정!$B$7,0)</f>
        <v>3025</v>
      </c>
      <c r="F80" s="17">
        <f t="shared" si="0"/>
        <v>3025</v>
      </c>
      <c r="G80" s="17">
        <f t="shared" si="1"/>
        <v>150000</v>
      </c>
      <c r="H80" s="17">
        <f t="shared" si="1"/>
        <v>70000</v>
      </c>
      <c r="I80" s="17">
        <f t="shared" si="1"/>
        <v>50000</v>
      </c>
      <c r="J80" s="17">
        <f t="shared" si="1"/>
        <v>12000</v>
      </c>
      <c r="K80" s="17"/>
      <c r="L80" s="5" t="s">
        <v>290</v>
      </c>
      <c r="M80" s="5" t="s">
        <v>291</v>
      </c>
      <c r="N80" s="5" t="s">
        <v>292</v>
      </c>
    </row>
    <row r="81" spans="1:14" ht="30" customHeight="1">
      <c r="A81" s="1" t="s">
        <v>307</v>
      </c>
      <c r="B81" s="14">
        <v>46844</v>
      </c>
      <c r="C81" s="1" t="s">
        <v>219</v>
      </c>
      <c r="D81" s="18"/>
      <c r="E81" s="20">
        <f>ROUND(E21*설정!$B$7,0)</f>
        <v>3764</v>
      </c>
      <c r="F81" s="18">
        <f t="shared" si="0"/>
        <v>3764</v>
      </c>
      <c r="G81" s="18">
        <f t="shared" si="1"/>
        <v>300000</v>
      </c>
      <c r="H81" s="18">
        <f t="shared" si="1"/>
        <v>175000</v>
      </c>
      <c r="I81" s="18">
        <f t="shared" si="1"/>
        <v>75000</v>
      </c>
      <c r="J81" s="18">
        <f t="shared" si="1"/>
        <v>20000</v>
      </c>
      <c r="K81" s="18"/>
      <c r="L81" s="1" t="s">
        <v>290</v>
      </c>
      <c r="M81" s="1" t="s">
        <v>291</v>
      </c>
      <c r="N81" s="1" t="s">
        <v>292</v>
      </c>
    </row>
    <row r="82" spans="1:14" ht="30" customHeight="1">
      <c r="A82" s="5" t="s">
        <v>308</v>
      </c>
      <c r="B82" s="13">
        <v>46844</v>
      </c>
      <c r="C82" s="5" t="s">
        <v>224</v>
      </c>
      <c r="D82" s="17"/>
      <c r="E82" s="19">
        <f>ROUND(E22*설정!$B$7,0)</f>
        <v>9409</v>
      </c>
      <c r="F82" s="17">
        <f t="shared" si="0"/>
        <v>9409</v>
      </c>
      <c r="G82" s="17">
        <f t="shared" si="1"/>
        <v>180000</v>
      </c>
      <c r="H82" s="17">
        <f t="shared" si="1"/>
        <v>55000</v>
      </c>
      <c r="I82" s="17">
        <f t="shared" si="1"/>
        <v>95000</v>
      </c>
      <c r="J82" s="17">
        <f t="shared" si="1"/>
        <v>10000</v>
      </c>
      <c r="K82" s="17"/>
      <c r="L82" s="5" t="s">
        <v>290</v>
      </c>
      <c r="M82" s="5" t="s">
        <v>291</v>
      </c>
      <c r="N82" s="5" t="s">
        <v>292</v>
      </c>
    </row>
    <row r="83" spans="1:14" ht="30" customHeight="1">
      <c r="A83" s="1" t="s">
        <v>309</v>
      </c>
      <c r="B83" s="14">
        <v>46844</v>
      </c>
      <c r="C83" s="1" t="s">
        <v>226</v>
      </c>
      <c r="D83" s="18"/>
      <c r="E83" s="20">
        <f>ROUND(E23*설정!$B$7,0)</f>
        <v>5762</v>
      </c>
      <c r="F83" s="18">
        <f t="shared" si="0"/>
        <v>5762</v>
      </c>
      <c r="G83" s="18">
        <f t="shared" si="1"/>
        <v>230000</v>
      </c>
      <c r="H83" s="18">
        <f t="shared" si="1"/>
        <v>125000</v>
      </c>
      <c r="I83" s="18">
        <f t="shared" si="1"/>
        <v>60000</v>
      </c>
      <c r="J83" s="18">
        <f t="shared" si="1"/>
        <v>17000</v>
      </c>
      <c r="K83" s="18"/>
      <c r="L83" s="1" t="s">
        <v>290</v>
      </c>
      <c r="M83" s="1" t="s">
        <v>291</v>
      </c>
      <c r="N83" s="1" t="s">
        <v>292</v>
      </c>
    </row>
    <row r="84" spans="1:14" ht="30" customHeight="1">
      <c r="A84" s="5" t="s">
        <v>310</v>
      </c>
      <c r="B84" s="13">
        <v>46844</v>
      </c>
      <c r="C84" s="5" t="s">
        <v>228</v>
      </c>
      <c r="D84" s="17"/>
      <c r="E84" s="19">
        <f>ROUND(E24*설정!$B$7,0)</f>
        <v>4899</v>
      </c>
      <c r="F84" s="17">
        <f t="shared" si="0"/>
        <v>4899</v>
      </c>
      <c r="G84" s="17">
        <f t="shared" si="1"/>
        <v>210000</v>
      </c>
      <c r="H84" s="17">
        <f t="shared" si="1"/>
        <v>105000</v>
      </c>
      <c r="I84" s="17">
        <f t="shared" si="1"/>
        <v>65000</v>
      </c>
      <c r="J84" s="17">
        <f t="shared" si="1"/>
        <v>15000</v>
      </c>
      <c r="K84" s="17"/>
      <c r="L84" s="5" t="s">
        <v>290</v>
      </c>
      <c r="M84" s="5" t="s">
        <v>291</v>
      </c>
      <c r="N84" s="5" t="s">
        <v>292</v>
      </c>
    </row>
    <row r="85" spans="1:14" ht="30" customHeight="1">
      <c r="A85" s="1" t="s">
        <v>311</v>
      </c>
      <c r="B85" s="14">
        <v>46844</v>
      </c>
      <c r="C85" s="1" t="s">
        <v>230</v>
      </c>
      <c r="D85" s="18"/>
      <c r="E85" s="20">
        <f>ROUND(E25*설정!$B$7,0)</f>
        <v>2881</v>
      </c>
      <c r="F85" s="18">
        <f t="shared" si="0"/>
        <v>2881</v>
      </c>
      <c r="G85" s="18">
        <f t="shared" si="1"/>
        <v>150000</v>
      </c>
      <c r="H85" s="18">
        <f t="shared" si="1"/>
        <v>70000</v>
      </c>
      <c r="I85" s="18">
        <f t="shared" si="1"/>
        <v>50000</v>
      </c>
      <c r="J85" s="18">
        <f t="shared" si="1"/>
        <v>12000</v>
      </c>
      <c r="K85" s="18"/>
      <c r="L85" s="1" t="s">
        <v>290</v>
      </c>
      <c r="M85" s="1" t="s">
        <v>291</v>
      </c>
      <c r="N85" s="1" t="s">
        <v>292</v>
      </c>
    </row>
    <row r="86" spans="1:14" ht="30" customHeight="1">
      <c r="A86" s="5" t="s">
        <v>312</v>
      </c>
      <c r="B86" s="13">
        <v>46874</v>
      </c>
      <c r="C86" s="5" t="s">
        <v>219</v>
      </c>
      <c r="D86" s="17"/>
      <c r="E86" s="19">
        <f>ROUND(E26*설정!$B$7,0)</f>
        <v>3650</v>
      </c>
      <c r="F86" s="17">
        <f t="shared" si="0"/>
        <v>3650</v>
      </c>
      <c r="G86" s="17">
        <f t="shared" ref="G86:J105" si="2">G26</f>
        <v>300000</v>
      </c>
      <c r="H86" s="17">
        <f t="shared" si="2"/>
        <v>175000</v>
      </c>
      <c r="I86" s="17">
        <f t="shared" si="2"/>
        <v>75000</v>
      </c>
      <c r="J86" s="17">
        <f t="shared" si="2"/>
        <v>20000</v>
      </c>
      <c r="K86" s="17"/>
      <c r="L86" s="5" t="s">
        <v>290</v>
      </c>
      <c r="M86" s="5" t="s">
        <v>291</v>
      </c>
      <c r="N86" s="5" t="s">
        <v>292</v>
      </c>
    </row>
    <row r="87" spans="1:14" ht="30" customHeight="1">
      <c r="A87" s="1" t="s">
        <v>313</v>
      </c>
      <c r="B87" s="14">
        <v>46874</v>
      </c>
      <c r="C87" s="1" t="s">
        <v>224</v>
      </c>
      <c r="D87" s="18"/>
      <c r="E87" s="20">
        <f>ROUND(E27*설정!$B$7,0)</f>
        <v>9126</v>
      </c>
      <c r="F87" s="18">
        <f t="shared" si="0"/>
        <v>9126</v>
      </c>
      <c r="G87" s="18">
        <f t="shared" si="2"/>
        <v>180000</v>
      </c>
      <c r="H87" s="18">
        <f t="shared" si="2"/>
        <v>55000</v>
      </c>
      <c r="I87" s="18">
        <f t="shared" si="2"/>
        <v>95000</v>
      </c>
      <c r="J87" s="18">
        <f t="shared" si="2"/>
        <v>10000</v>
      </c>
      <c r="K87" s="18"/>
      <c r="L87" s="1" t="s">
        <v>290</v>
      </c>
      <c r="M87" s="1" t="s">
        <v>291</v>
      </c>
      <c r="N87" s="1" t="s">
        <v>292</v>
      </c>
    </row>
    <row r="88" spans="1:14" ht="30" customHeight="1">
      <c r="A88" s="5" t="s">
        <v>314</v>
      </c>
      <c r="B88" s="13">
        <v>46874</v>
      </c>
      <c r="C88" s="5" t="s">
        <v>226</v>
      </c>
      <c r="D88" s="17"/>
      <c r="E88" s="19">
        <f>ROUND(E28*설정!$B$7,0)</f>
        <v>5646</v>
      </c>
      <c r="F88" s="17">
        <f t="shared" si="0"/>
        <v>5646</v>
      </c>
      <c r="G88" s="17">
        <f t="shared" si="2"/>
        <v>230000</v>
      </c>
      <c r="H88" s="17">
        <f t="shared" si="2"/>
        <v>125000</v>
      </c>
      <c r="I88" s="17">
        <f t="shared" si="2"/>
        <v>60000</v>
      </c>
      <c r="J88" s="17">
        <f t="shared" si="2"/>
        <v>17000</v>
      </c>
      <c r="K88" s="17"/>
      <c r="L88" s="5" t="s">
        <v>290</v>
      </c>
      <c r="M88" s="5" t="s">
        <v>291</v>
      </c>
      <c r="N88" s="5" t="s">
        <v>292</v>
      </c>
    </row>
    <row r="89" spans="1:14" ht="30" customHeight="1">
      <c r="A89" s="1" t="s">
        <v>315</v>
      </c>
      <c r="B89" s="14">
        <v>46874</v>
      </c>
      <c r="C89" s="1" t="s">
        <v>228</v>
      </c>
      <c r="D89" s="18"/>
      <c r="E89" s="20">
        <f>ROUND(E29*설정!$B$7,0)</f>
        <v>4801</v>
      </c>
      <c r="F89" s="18">
        <f t="shared" si="0"/>
        <v>4801</v>
      </c>
      <c r="G89" s="18">
        <f t="shared" si="2"/>
        <v>210000</v>
      </c>
      <c r="H89" s="18">
        <f t="shared" si="2"/>
        <v>105000</v>
      </c>
      <c r="I89" s="18">
        <f t="shared" si="2"/>
        <v>65000</v>
      </c>
      <c r="J89" s="18">
        <f t="shared" si="2"/>
        <v>15000</v>
      </c>
      <c r="K89" s="18"/>
      <c r="L89" s="1" t="s">
        <v>290</v>
      </c>
      <c r="M89" s="1" t="s">
        <v>291</v>
      </c>
      <c r="N89" s="1" t="s">
        <v>292</v>
      </c>
    </row>
    <row r="90" spans="1:14" ht="30" customHeight="1">
      <c r="A90" s="5" t="s">
        <v>316</v>
      </c>
      <c r="B90" s="13">
        <v>46874</v>
      </c>
      <c r="C90" s="5" t="s">
        <v>230</v>
      </c>
      <c r="D90" s="17"/>
      <c r="E90" s="19">
        <f>ROUND(E30*설정!$B$7,0)</f>
        <v>2824</v>
      </c>
      <c r="F90" s="17">
        <f t="shared" si="0"/>
        <v>2824</v>
      </c>
      <c r="G90" s="17">
        <f t="shared" si="2"/>
        <v>150000</v>
      </c>
      <c r="H90" s="17">
        <f t="shared" si="2"/>
        <v>70000</v>
      </c>
      <c r="I90" s="17">
        <f t="shared" si="2"/>
        <v>50000</v>
      </c>
      <c r="J90" s="17">
        <f t="shared" si="2"/>
        <v>12000</v>
      </c>
      <c r="K90" s="17"/>
      <c r="L90" s="5" t="s">
        <v>290</v>
      </c>
      <c r="M90" s="5" t="s">
        <v>291</v>
      </c>
      <c r="N90" s="5" t="s">
        <v>292</v>
      </c>
    </row>
    <row r="91" spans="1:14" ht="30" customHeight="1">
      <c r="A91" s="1" t="s">
        <v>317</v>
      </c>
      <c r="B91" s="14">
        <v>46905</v>
      </c>
      <c r="C91" s="1" t="s">
        <v>219</v>
      </c>
      <c r="D91" s="18"/>
      <c r="E91" s="20">
        <f>ROUND(E31*설정!$B$7,0)</f>
        <v>3686</v>
      </c>
      <c r="F91" s="18">
        <f t="shared" si="0"/>
        <v>3686</v>
      </c>
      <c r="G91" s="18">
        <f t="shared" si="2"/>
        <v>300000</v>
      </c>
      <c r="H91" s="18">
        <f t="shared" si="2"/>
        <v>175000</v>
      </c>
      <c r="I91" s="18">
        <f t="shared" si="2"/>
        <v>75000</v>
      </c>
      <c r="J91" s="18">
        <f t="shared" si="2"/>
        <v>20000</v>
      </c>
      <c r="K91" s="18"/>
      <c r="L91" s="1" t="s">
        <v>290</v>
      </c>
      <c r="M91" s="1" t="s">
        <v>291</v>
      </c>
      <c r="N91" s="1" t="s">
        <v>292</v>
      </c>
    </row>
    <row r="92" spans="1:14" ht="30" customHeight="1">
      <c r="A92" s="5" t="s">
        <v>318</v>
      </c>
      <c r="B92" s="13">
        <v>46905</v>
      </c>
      <c r="C92" s="5" t="s">
        <v>224</v>
      </c>
      <c r="D92" s="17"/>
      <c r="E92" s="19">
        <f>ROUND(E32*설정!$B$7,0)</f>
        <v>9215</v>
      </c>
      <c r="F92" s="17">
        <f t="shared" si="0"/>
        <v>9215</v>
      </c>
      <c r="G92" s="17">
        <f t="shared" si="2"/>
        <v>180000</v>
      </c>
      <c r="H92" s="17">
        <f t="shared" si="2"/>
        <v>55000</v>
      </c>
      <c r="I92" s="17">
        <f t="shared" si="2"/>
        <v>95000</v>
      </c>
      <c r="J92" s="17">
        <f t="shared" si="2"/>
        <v>10000</v>
      </c>
      <c r="K92" s="17"/>
      <c r="L92" s="5" t="s">
        <v>290</v>
      </c>
      <c r="M92" s="5" t="s">
        <v>291</v>
      </c>
      <c r="N92" s="5" t="s">
        <v>292</v>
      </c>
    </row>
    <row r="93" spans="1:14" ht="30" customHeight="1">
      <c r="A93" s="1" t="s">
        <v>319</v>
      </c>
      <c r="B93" s="14">
        <v>46905</v>
      </c>
      <c r="C93" s="1" t="s">
        <v>226</v>
      </c>
      <c r="D93" s="18"/>
      <c r="E93" s="20">
        <f>ROUND(E33*설정!$B$7,0)</f>
        <v>5762</v>
      </c>
      <c r="F93" s="18">
        <f t="shared" si="0"/>
        <v>5762</v>
      </c>
      <c r="G93" s="18">
        <f t="shared" si="2"/>
        <v>230000</v>
      </c>
      <c r="H93" s="18">
        <f t="shared" si="2"/>
        <v>125000</v>
      </c>
      <c r="I93" s="18">
        <f t="shared" si="2"/>
        <v>60000</v>
      </c>
      <c r="J93" s="18">
        <f t="shared" si="2"/>
        <v>17000</v>
      </c>
      <c r="K93" s="18"/>
      <c r="L93" s="1" t="s">
        <v>290</v>
      </c>
      <c r="M93" s="1" t="s">
        <v>291</v>
      </c>
      <c r="N93" s="1" t="s">
        <v>292</v>
      </c>
    </row>
    <row r="94" spans="1:14" ht="30" customHeight="1">
      <c r="A94" s="5" t="s">
        <v>320</v>
      </c>
      <c r="B94" s="13">
        <v>46905</v>
      </c>
      <c r="C94" s="5" t="s">
        <v>228</v>
      </c>
      <c r="D94" s="17"/>
      <c r="E94" s="19">
        <f>ROUND(E34*설정!$B$7,0)</f>
        <v>4899</v>
      </c>
      <c r="F94" s="17">
        <f t="shared" si="0"/>
        <v>4899</v>
      </c>
      <c r="G94" s="17">
        <f t="shared" si="2"/>
        <v>210000</v>
      </c>
      <c r="H94" s="17">
        <f t="shared" si="2"/>
        <v>105000</v>
      </c>
      <c r="I94" s="17">
        <f t="shared" si="2"/>
        <v>65000</v>
      </c>
      <c r="J94" s="17">
        <f t="shared" si="2"/>
        <v>15000</v>
      </c>
      <c r="K94" s="17"/>
      <c r="L94" s="5" t="s">
        <v>290</v>
      </c>
      <c r="M94" s="5" t="s">
        <v>291</v>
      </c>
      <c r="N94" s="5" t="s">
        <v>292</v>
      </c>
    </row>
    <row r="95" spans="1:14" ht="30" customHeight="1">
      <c r="A95" s="1" t="s">
        <v>321</v>
      </c>
      <c r="B95" s="14">
        <v>46905</v>
      </c>
      <c r="C95" s="1" t="s">
        <v>230</v>
      </c>
      <c r="D95" s="18"/>
      <c r="E95" s="20">
        <f>ROUND(E35*설정!$B$7,0)</f>
        <v>2881</v>
      </c>
      <c r="F95" s="18">
        <f t="shared" si="0"/>
        <v>2881</v>
      </c>
      <c r="G95" s="18">
        <f t="shared" si="2"/>
        <v>150000</v>
      </c>
      <c r="H95" s="18">
        <f t="shared" si="2"/>
        <v>70000</v>
      </c>
      <c r="I95" s="18">
        <f t="shared" si="2"/>
        <v>50000</v>
      </c>
      <c r="J95" s="18">
        <f t="shared" si="2"/>
        <v>12000</v>
      </c>
      <c r="K95" s="18"/>
      <c r="L95" s="1" t="s">
        <v>290</v>
      </c>
      <c r="M95" s="1" t="s">
        <v>291</v>
      </c>
      <c r="N95" s="1" t="s">
        <v>292</v>
      </c>
    </row>
    <row r="96" spans="1:14" ht="30" customHeight="1">
      <c r="A96" s="5" t="s">
        <v>322</v>
      </c>
      <c r="B96" s="13">
        <v>46935</v>
      </c>
      <c r="C96" s="5" t="s">
        <v>219</v>
      </c>
      <c r="D96" s="17"/>
      <c r="E96" s="19">
        <f>ROUND(E36*설정!$B$7,0)</f>
        <v>3686</v>
      </c>
      <c r="F96" s="17">
        <f t="shared" si="0"/>
        <v>3686</v>
      </c>
      <c r="G96" s="17">
        <f t="shared" si="2"/>
        <v>300000</v>
      </c>
      <c r="H96" s="17">
        <f t="shared" si="2"/>
        <v>175000</v>
      </c>
      <c r="I96" s="17">
        <f t="shared" si="2"/>
        <v>75000</v>
      </c>
      <c r="J96" s="17">
        <f t="shared" si="2"/>
        <v>20000</v>
      </c>
      <c r="K96" s="17"/>
      <c r="L96" s="5" t="s">
        <v>290</v>
      </c>
      <c r="M96" s="5" t="s">
        <v>291</v>
      </c>
      <c r="N96" s="5" t="s">
        <v>292</v>
      </c>
    </row>
    <row r="97" spans="1:14" ht="30" customHeight="1">
      <c r="A97" s="1" t="s">
        <v>323</v>
      </c>
      <c r="B97" s="14">
        <v>46935</v>
      </c>
      <c r="C97" s="1" t="s">
        <v>224</v>
      </c>
      <c r="D97" s="18"/>
      <c r="E97" s="20">
        <f>ROUND(E37*설정!$B$7,0)</f>
        <v>9215</v>
      </c>
      <c r="F97" s="18">
        <f t="shared" si="0"/>
        <v>9215</v>
      </c>
      <c r="G97" s="18">
        <f t="shared" si="2"/>
        <v>180000</v>
      </c>
      <c r="H97" s="18">
        <f t="shared" si="2"/>
        <v>55000</v>
      </c>
      <c r="I97" s="18">
        <f t="shared" si="2"/>
        <v>95000</v>
      </c>
      <c r="J97" s="18">
        <f t="shared" si="2"/>
        <v>10000</v>
      </c>
      <c r="K97" s="18"/>
      <c r="L97" s="1" t="s">
        <v>290</v>
      </c>
      <c r="M97" s="1" t="s">
        <v>291</v>
      </c>
      <c r="N97" s="1" t="s">
        <v>292</v>
      </c>
    </row>
    <row r="98" spans="1:14" ht="30" customHeight="1">
      <c r="A98" s="5" t="s">
        <v>324</v>
      </c>
      <c r="B98" s="13">
        <v>46935</v>
      </c>
      <c r="C98" s="5" t="s">
        <v>226</v>
      </c>
      <c r="D98" s="17"/>
      <c r="E98" s="19">
        <f>ROUND(E38*설정!$B$7,0)</f>
        <v>5762</v>
      </c>
      <c r="F98" s="17">
        <f t="shared" si="0"/>
        <v>5762</v>
      </c>
      <c r="G98" s="17">
        <f t="shared" si="2"/>
        <v>230000</v>
      </c>
      <c r="H98" s="17">
        <f t="shared" si="2"/>
        <v>125000</v>
      </c>
      <c r="I98" s="17">
        <f t="shared" si="2"/>
        <v>60000</v>
      </c>
      <c r="J98" s="17">
        <f t="shared" si="2"/>
        <v>17000</v>
      </c>
      <c r="K98" s="17"/>
      <c r="L98" s="5" t="s">
        <v>290</v>
      </c>
      <c r="M98" s="5" t="s">
        <v>291</v>
      </c>
      <c r="N98" s="5" t="s">
        <v>292</v>
      </c>
    </row>
    <row r="99" spans="1:14" ht="30" customHeight="1">
      <c r="A99" s="1" t="s">
        <v>325</v>
      </c>
      <c r="B99" s="14">
        <v>46935</v>
      </c>
      <c r="C99" s="1" t="s">
        <v>228</v>
      </c>
      <c r="D99" s="18"/>
      <c r="E99" s="20">
        <f>ROUND(E39*설정!$B$7,0)</f>
        <v>4899</v>
      </c>
      <c r="F99" s="18">
        <f t="shared" si="0"/>
        <v>4899</v>
      </c>
      <c r="G99" s="18">
        <f t="shared" si="2"/>
        <v>210000</v>
      </c>
      <c r="H99" s="18">
        <f t="shared" si="2"/>
        <v>105000</v>
      </c>
      <c r="I99" s="18">
        <f t="shared" si="2"/>
        <v>65000</v>
      </c>
      <c r="J99" s="18">
        <f t="shared" si="2"/>
        <v>15000</v>
      </c>
      <c r="K99" s="18"/>
      <c r="L99" s="1" t="s">
        <v>290</v>
      </c>
      <c r="M99" s="1" t="s">
        <v>291</v>
      </c>
      <c r="N99" s="1" t="s">
        <v>292</v>
      </c>
    </row>
    <row r="100" spans="1:14" ht="30" customHeight="1">
      <c r="A100" s="5" t="s">
        <v>326</v>
      </c>
      <c r="B100" s="13">
        <v>46935</v>
      </c>
      <c r="C100" s="5" t="s">
        <v>230</v>
      </c>
      <c r="D100" s="17"/>
      <c r="E100" s="19">
        <f>ROUND(E40*설정!$B$7,0)</f>
        <v>2881</v>
      </c>
      <c r="F100" s="17">
        <f t="shared" si="0"/>
        <v>2881</v>
      </c>
      <c r="G100" s="17">
        <f t="shared" si="2"/>
        <v>150000</v>
      </c>
      <c r="H100" s="17">
        <f t="shared" si="2"/>
        <v>70000</v>
      </c>
      <c r="I100" s="17">
        <f t="shared" si="2"/>
        <v>50000</v>
      </c>
      <c r="J100" s="17">
        <f t="shared" si="2"/>
        <v>12000</v>
      </c>
      <c r="K100" s="17"/>
      <c r="L100" s="5" t="s">
        <v>290</v>
      </c>
      <c r="M100" s="5" t="s">
        <v>291</v>
      </c>
      <c r="N100" s="5" t="s">
        <v>292</v>
      </c>
    </row>
  </sheetData>
  <mergeCells count="2">
    <mergeCell ref="A1:N2"/>
    <mergeCell ref="A3:N3"/>
  </mergeCells>
  <phoneticPr fontId="3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3" width="24" customWidth="1"/>
    <col min="4" max="4" width="70" customWidth="1"/>
  </cols>
  <sheetData>
    <row r="1" spans="1:4" ht="30" customHeight="1">
      <c r="A1" s="128" t="s">
        <v>327</v>
      </c>
      <c r="B1" s="128"/>
      <c r="C1" s="128"/>
      <c r="D1" s="128"/>
    </row>
    <row r="2" spans="1:4" ht="30" customHeight="1">
      <c r="A2" s="128"/>
      <c r="B2" s="128"/>
      <c r="C2" s="128"/>
      <c r="D2" s="128"/>
    </row>
    <row r="3" spans="1:4" ht="43.95" customHeight="1">
      <c r="A3" s="129" t="s">
        <v>328</v>
      </c>
      <c r="B3" s="130"/>
      <c r="C3" s="130"/>
      <c r="D3" s="130"/>
    </row>
    <row r="4" spans="1:4" ht="30" customHeight="1">
      <c r="A4" s="1"/>
      <c r="B4" s="1"/>
      <c r="C4" s="1"/>
      <c r="D4" s="1"/>
    </row>
    <row r="5" spans="1:4" ht="42" customHeight="1">
      <c r="A5" s="4" t="s">
        <v>189</v>
      </c>
      <c r="B5" s="4" t="s">
        <v>329</v>
      </c>
      <c r="C5" s="4" t="s">
        <v>330</v>
      </c>
      <c r="D5" s="4" t="s">
        <v>216</v>
      </c>
    </row>
    <row r="6" spans="1:4" ht="30" customHeight="1">
      <c r="A6" s="13">
        <v>46388</v>
      </c>
      <c r="B6" s="15">
        <v>370000000</v>
      </c>
      <c r="C6" s="15">
        <v>370000000</v>
      </c>
      <c r="D6" s="5" t="s">
        <v>331</v>
      </c>
    </row>
    <row r="7" spans="1:4" ht="30" customHeight="1">
      <c r="A7" s="14">
        <v>46419</v>
      </c>
      <c r="B7" s="16">
        <v>370000000</v>
      </c>
      <c r="C7" s="16">
        <v>370000000</v>
      </c>
      <c r="D7" s="1" t="s">
        <v>331</v>
      </c>
    </row>
    <row r="8" spans="1:4" ht="30" customHeight="1">
      <c r="A8" s="13">
        <v>46447</v>
      </c>
      <c r="B8" s="15">
        <v>370000000</v>
      </c>
      <c r="C8" s="15">
        <v>370000000</v>
      </c>
      <c r="D8" s="5" t="s">
        <v>331</v>
      </c>
    </row>
    <row r="9" spans="1:4" ht="30" customHeight="1">
      <c r="A9" s="14">
        <v>46478</v>
      </c>
      <c r="B9" s="16">
        <v>370000000</v>
      </c>
      <c r="C9" s="16">
        <v>370000000</v>
      </c>
      <c r="D9" s="1" t="s">
        <v>331</v>
      </c>
    </row>
    <row r="10" spans="1:4" ht="30" customHeight="1">
      <c r="A10" s="13">
        <v>46508</v>
      </c>
      <c r="B10" s="15">
        <v>370000000</v>
      </c>
      <c r="C10" s="15">
        <v>370000000</v>
      </c>
      <c r="D10" s="5" t="s">
        <v>331</v>
      </c>
    </row>
    <row r="11" spans="1:4" ht="30" customHeight="1">
      <c r="A11" s="14">
        <v>46539</v>
      </c>
      <c r="B11" s="16">
        <v>370000000</v>
      </c>
      <c r="C11" s="16">
        <v>185000000</v>
      </c>
      <c r="D11" s="1" t="s">
        <v>331</v>
      </c>
    </row>
    <row r="12" spans="1:4" ht="30" customHeight="1">
      <c r="A12" s="13">
        <v>46569</v>
      </c>
      <c r="B12" s="15">
        <v>370000000</v>
      </c>
      <c r="C12" s="17"/>
      <c r="D12" s="5" t="s">
        <v>331</v>
      </c>
    </row>
    <row r="13" spans="1:4" ht="30" customHeight="1">
      <c r="A13" s="14">
        <v>46600</v>
      </c>
      <c r="B13" s="16">
        <v>370000000</v>
      </c>
      <c r="C13" s="18"/>
      <c r="D13" s="1" t="s">
        <v>331</v>
      </c>
    </row>
    <row r="14" spans="1:4" ht="30" customHeight="1">
      <c r="A14" s="13">
        <v>46631</v>
      </c>
      <c r="B14" s="15">
        <v>370000000</v>
      </c>
      <c r="C14" s="17"/>
      <c r="D14" s="5" t="s">
        <v>331</v>
      </c>
    </row>
    <row r="15" spans="1:4" ht="30" customHeight="1">
      <c r="A15" s="14">
        <v>46661</v>
      </c>
      <c r="B15" s="16">
        <v>370000000</v>
      </c>
      <c r="C15" s="18"/>
      <c r="D15" s="1" t="s">
        <v>331</v>
      </c>
    </row>
    <row r="16" spans="1:4" ht="30" customHeight="1">
      <c r="A16" s="13">
        <v>46692</v>
      </c>
      <c r="B16" s="15">
        <v>370000000</v>
      </c>
      <c r="C16" s="17"/>
      <c r="D16" s="5" t="s">
        <v>331</v>
      </c>
    </row>
    <row r="17" spans="1:4" ht="30" customHeight="1">
      <c r="A17" s="14">
        <v>46722</v>
      </c>
      <c r="B17" s="16">
        <v>370000000</v>
      </c>
      <c r="C17" s="18"/>
      <c r="D17" s="1" t="s">
        <v>331</v>
      </c>
    </row>
    <row r="18" spans="1:4" ht="30" customHeight="1">
      <c r="A18" s="13">
        <v>46753</v>
      </c>
      <c r="B18" s="19">
        <f>설정!$B$21</f>
        <v>370000000</v>
      </c>
      <c r="C18" s="17"/>
      <c r="D18" s="5" t="s">
        <v>332</v>
      </c>
    </row>
    <row r="19" spans="1:4" ht="30" customHeight="1">
      <c r="A19" s="14">
        <v>46784</v>
      </c>
      <c r="B19" s="20">
        <f>설정!$B$21</f>
        <v>370000000</v>
      </c>
      <c r="C19" s="18"/>
      <c r="D19" s="1" t="s">
        <v>332</v>
      </c>
    </row>
    <row r="20" spans="1:4" ht="30" customHeight="1">
      <c r="A20" s="13">
        <v>46813</v>
      </c>
      <c r="B20" s="19">
        <f>설정!$B$21</f>
        <v>370000000</v>
      </c>
      <c r="C20" s="17"/>
      <c r="D20" s="5" t="s">
        <v>332</v>
      </c>
    </row>
    <row r="21" spans="1:4" ht="30" customHeight="1">
      <c r="A21" s="14">
        <v>46844</v>
      </c>
      <c r="B21" s="20">
        <f>설정!$B$21</f>
        <v>370000000</v>
      </c>
      <c r="C21" s="18"/>
      <c r="D21" s="1" t="s">
        <v>332</v>
      </c>
    </row>
    <row r="22" spans="1:4" ht="30" customHeight="1">
      <c r="A22" s="13">
        <v>46874</v>
      </c>
      <c r="B22" s="19">
        <f>설정!$B$21</f>
        <v>370000000</v>
      </c>
      <c r="C22" s="17"/>
      <c r="D22" s="5" t="s">
        <v>332</v>
      </c>
    </row>
    <row r="23" spans="1:4" ht="30" customHeight="1">
      <c r="A23" s="14">
        <v>46905</v>
      </c>
      <c r="B23" s="20">
        <f>설정!$B$21</f>
        <v>370000000</v>
      </c>
      <c r="C23" s="18"/>
      <c r="D23" s="1" t="s">
        <v>332</v>
      </c>
    </row>
    <row r="24" spans="1:4" ht="30" customHeight="1">
      <c r="A24" s="13">
        <v>46935</v>
      </c>
      <c r="B24" s="19">
        <f>설정!$B$21</f>
        <v>370000000</v>
      </c>
      <c r="C24" s="17"/>
      <c r="D24" s="5" t="s">
        <v>332</v>
      </c>
    </row>
  </sheetData>
  <mergeCells count="2">
    <mergeCell ref="A1:D2"/>
    <mergeCell ref="A3:D3"/>
  </mergeCells>
  <phoneticPr fontId="3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9" customWidth="1"/>
    <col min="3" max="3" width="18" customWidth="1"/>
    <col min="4" max="4" width="12" customWidth="1"/>
    <col min="5" max="7" width="20" customWidth="1"/>
    <col min="8" max="8" width="60" customWidth="1"/>
  </cols>
  <sheetData>
    <row r="1" spans="1:8" ht="30" customHeight="1">
      <c r="A1" s="128" t="s">
        <v>333</v>
      </c>
      <c r="B1" s="128"/>
      <c r="C1" s="128"/>
      <c r="D1" s="128"/>
      <c r="E1" s="128"/>
      <c r="F1" s="128"/>
      <c r="G1" s="128"/>
      <c r="H1" s="128"/>
    </row>
    <row r="2" spans="1:8" ht="30" customHeight="1">
      <c r="A2" s="128"/>
      <c r="B2" s="128"/>
      <c r="C2" s="128"/>
      <c r="D2" s="128"/>
      <c r="E2" s="128"/>
      <c r="F2" s="128"/>
      <c r="G2" s="128"/>
      <c r="H2" s="128"/>
    </row>
    <row r="3" spans="1:8" ht="43.95" customHeight="1">
      <c r="A3" s="129" t="s">
        <v>334</v>
      </c>
      <c r="B3" s="130"/>
      <c r="C3" s="130"/>
      <c r="D3" s="130"/>
      <c r="E3" s="130"/>
      <c r="F3" s="130"/>
      <c r="G3" s="130"/>
      <c r="H3" s="130"/>
    </row>
    <row r="4" spans="1:8" ht="30" customHeight="1">
      <c r="A4" s="1"/>
      <c r="B4" s="1"/>
      <c r="C4" s="1"/>
      <c r="D4" s="1"/>
      <c r="E4" s="1"/>
      <c r="F4" s="1"/>
      <c r="G4" s="1"/>
      <c r="H4" s="1"/>
    </row>
    <row r="5" spans="1:8" ht="42" customHeight="1">
      <c r="A5" s="4" t="s">
        <v>190</v>
      </c>
      <c r="B5" s="4" t="s">
        <v>335</v>
      </c>
      <c r="C5" s="4" t="s">
        <v>336</v>
      </c>
      <c r="D5" s="4" t="s">
        <v>337</v>
      </c>
      <c r="E5" s="4" t="s">
        <v>338</v>
      </c>
      <c r="F5" s="4" t="s">
        <v>212</v>
      </c>
      <c r="G5" s="4" t="s">
        <v>339</v>
      </c>
      <c r="H5" s="4" t="s">
        <v>340</v>
      </c>
    </row>
    <row r="6" spans="1:8" ht="30" customHeight="1">
      <c r="A6" s="5" t="s">
        <v>219</v>
      </c>
      <c r="B6" s="5" t="s">
        <v>341</v>
      </c>
      <c r="C6" s="5" t="s">
        <v>342</v>
      </c>
      <c r="D6" s="15">
        <v>1</v>
      </c>
      <c r="E6" s="19">
        <f>설정!$B$13</f>
        <v>2000</v>
      </c>
      <c r="F6" s="19">
        <f>물량원가기준!I6</f>
        <v>75000</v>
      </c>
      <c r="G6" s="17">
        <f>F6-D6*E6</f>
        <v>73000</v>
      </c>
      <c r="H6" s="5" t="s">
        <v>343</v>
      </c>
    </row>
    <row r="7" spans="1:8" ht="30" customHeight="1">
      <c r="A7" s="1" t="s">
        <v>224</v>
      </c>
      <c r="B7" s="1" t="s">
        <v>341</v>
      </c>
      <c r="C7" s="1" t="s">
        <v>342</v>
      </c>
      <c r="D7" s="16">
        <v>1</v>
      </c>
      <c r="E7" s="20">
        <f>설정!$B$13</f>
        <v>2000</v>
      </c>
      <c r="F7" s="20">
        <f>물량원가기준!I7</f>
        <v>95000</v>
      </c>
      <c r="G7" s="18">
        <f>F7-D7*E7</f>
        <v>93000</v>
      </c>
      <c r="H7" s="1" t="s">
        <v>343</v>
      </c>
    </row>
    <row r="8" spans="1:8" ht="30" customHeight="1">
      <c r="A8" s="5" t="s">
        <v>226</v>
      </c>
      <c r="B8" s="5" t="s">
        <v>341</v>
      </c>
      <c r="C8" s="5" t="s">
        <v>342</v>
      </c>
      <c r="D8" s="15">
        <v>0</v>
      </c>
      <c r="E8" s="19">
        <f>설정!$B$13</f>
        <v>2000</v>
      </c>
      <c r="F8" s="19">
        <f>물량원가기준!I8</f>
        <v>60000</v>
      </c>
      <c r="G8" s="17">
        <f>F8-D8*E8</f>
        <v>60000</v>
      </c>
      <c r="H8" s="5" t="s">
        <v>343</v>
      </c>
    </row>
    <row r="9" spans="1:8" ht="30" customHeight="1">
      <c r="A9" s="1" t="s">
        <v>228</v>
      </c>
      <c r="B9" s="1" t="s">
        <v>341</v>
      </c>
      <c r="C9" s="1" t="s">
        <v>342</v>
      </c>
      <c r="D9" s="16">
        <v>0</v>
      </c>
      <c r="E9" s="20">
        <f>설정!$B$13</f>
        <v>2000</v>
      </c>
      <c r="F9" s="20">
        <f>물량원가기준!I9</f>
        <v>65000</v>
      </c>
      <c r="G9" s="18">
        <f>F9-D9*E9</f>
        <v>65000</v>
      </c>
      <c r="H9" s="1" t="s">
        <v>343</v>
      </c>
    </row>
    <row r="10" spans="1:8" ht="30" customHeight="1">
      <c r="A10" s="5" t="s">
        <v>230</v>
      </c>
      <c r="B10" s="5" t="s">
        <v>341</v>
      </c>
      <c r="C10" s="5" t="s">
        <v>342</v>
      </c>
      <c r="D10" s="15">
        <v>0</v>
      </c>
      <c r="E10" s="19">
        <f>설정!$B$13</f>
        <v>2000</v>
      </c>
      <c r="F10" s="19">
        <f>물량원가기준!I10</f>
        <v>50000</v>
      </c>
      <c r="G10" s="17">
        <f>F10-D10*E10</f>
        <v>50000</v>
      </c>
      <c r="H10" s="5" t="s">
        <v>343</v>
      </c>
    </row>
  </sheetData>
  <mergeCells count="2">
    <mergeCell ref="A1:H2"/>
    <mergeCell ref="A3:H3"/>
  </mergeCells>
  <phoneticPr fontId="3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0" customWidth="1"/>
    <col min="3" max="3" width="23" customWidth="1"/>
    <col min="4" max="4" width="20" customWidth="1"/>
    <col min="5" max="7" width="17" customWidth="1"/>
    <col min="8" max="8" width="24" customWidth="1"/>
    <col min="9" max="9" width="14" customWidth="1"/>
    <col min="10" max="10" width="31" customWidth="1"/>
  </cols>
  <sheetData>
    <row r="1" spans="1:10" ht="30" customHeight="1">
      <c r="A1" s="128" t="s">
        <v>344</v>
      </c>
      <c r="B1" s="128"/>
      <c r="C1" s="128"/>
      <c r="D1" s="128"/>
      <c r="E1" s="128"/>
      <c r="F1" s="128"/>
      <c r="G1" s="128"/>
      <c r="H1" s="128"/>
      <c r="I1" s="128"/>
      <c r="J1" s="128"/>
    </row>
    <row r="2" spans="1:10" ht="30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</row>
    <row r="3" spans="1:10" ht="43.95" customHeight="1">
      <c r="A3" s="129" t="s">
        <v>345</v>
      </c>
      <c r="B3" s="130"/>
      <c r="C3" s="130"/>
      <c r="D3" s="130"/>
      <c r="E3" s="130"/>
      <c r="F3" s="130"/>
      <c r="G3" s="130"/>
      <c r="H3" s="130"/>
      <c r="I3" s="130"/>
      <c r="J3" s="130"/>
    </row>
    <row r="4" spans="1:10" ht="30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2" customHeight="1">
      <c r="A5" s="4" t="s">
        <v>123</v>
      </c>
      <c r="B5" s="4" t="s">
        <v>124</v>
      </c>
      <c r="C5" s="4" t="s">
        <v>346</v>
      </c>
      <c r="D5" s="4" t="s">
        <v>335</v>
      </c>
      <c r="E5" s="4" t="s">
        <v>80</v>
      </c>
      <c r="F5" s="4" t="s">
        <v>347</v>
      </c>
      <c r="G5" s="4" t="s">
        <v>59</v>
      </c>
      <c r="H5" s="4" t="s">
        <v>348</v>
      </c>
      <c r="I5" s="4" t="s">
        <v>349</v>
      </c>
      <c r="J5" s="4" t="s">
        <v>350</v>
      </c>
    </row>
    <row r="6" spans="1:10" ht="30" customHeight="1">
      <c r="A6" s="5" t="s">
        <v>138</v>
      </c>
      <c r="B6" s="5" t="s">
        <v>139</v>
      </c>
      <c r="C6" s="5" t="s">
        <v>351</v>
      </c>
      <c r="D6" s="5" t="s">
        <v>341</v>
      </c>
      <c r="E6" s="19">
        <f>설정!$B$13</f>
        <v>2000</v>
      </c>
      <c r="F6" s="19">
        <f>설정!B14</f>
        <v>2200</v>
      </c>
      <c r="G6" s="21">
        <f>설정!$B$6</f>
        <v>46569</v>
      </c>
      <c r="H6" s="5" t="s">
        <v>352</v>
      </c>
      <c r="I6" s="5" t="s">
        <v>353</v>
      </c>
      <c r="J6" s="5" t="s">
        <v>354</v>
      </c>
    </row>
    <row r="7" spans="1:10" ht="30" customHeight="1">
      <c r="A7" s="1" t="s">
        <v>140</v>
      </c>
      <c r="B7" s="1" t="s">
        <v>141</v>
      </c>
      <c r="C7" s="1" t="s">
        <v>351</v>
      </c>
      <c r="D7" s="1" t="s">
        <v>341</v>
      </c>
      <c r="E7" s="20">
        <f>설정!$B$13</f>
        <v>2000</v>
      </c>
      <c r="F7" s="20">
        <f>설정!B15</f>
        <v>2100</v>
      </c>
      <c r="G7" s="22">
        <f>설정!$B$6</f>
        <v>46569</v>
      </c>
      <c r="H7" s="1" t="s">
        <v>355</v>
      </c>
      <c r="I7" s="1" t="s">
        <v>356</v>
      </c>
      <c r="J7" s="1" t="s">
        <v>357</v>
      </c>
    </row>
    <row r="8" spans="1:10" ht="30" customHeight="1">
      <c r="A8" s="5" t="s">
        <v>142</v>
      </c>
      <c r="B8" s="5" t="s">
        <v>143</v>
      </c>
      <c r="C8" s="5" t="s">
        <v>351</v>
      </c>
      <c r="D8" s="5" t="s">
        <v>341</v>
      </c>
      <c r="E8" s="19">
        <f>설정!$B$13</f>
        <v>2000</v>
      </c>
      <c r="F8" s="19">
        <f>설정!B16</f>
        <v>2120</v>
      </c>
      <c r="G8" s="21">
        <f>설정!$B$6</f>
        <v>46569</v>
      </c>
      <c r="H8" s="5" t="s">
        <v>358</v>
      </c>
      <c r="I8" s="5" t="s">
        <v>359</v>
      </c>
      <c r="J8" s="5" t="s">
        <v>360</v>
      </c>
    </row>
    <row r="9" spans="1:10" ht="30" customHeight="1">
      <c r="A9" s="1" t="s">
        <v>144</v>
      </c>
      <c r="B9" s="1" t="s">
        <v>145</v>
      </c>
      <c r="C9" s="1" t="s">
        <v>351</v>
      </c>
      <c r="D9" s="1" t="s">
        <v>341</v>
      </c>
      <c r="E9" s="20">
        <f>설정!$B$13</f>
        <v>2000</v>
      </c>
      <c r="F9" s="20">
        <f>설정!B17</f>
        <v>2120</v>
      </c>
      <c r="G9" s="22">
        <f>설정!$B$6</f>
        <v>46569</v>
      </c>
      <c r="H9" s="1" t="s">
        <v>361</v>
      </c>
      <c r="I9" s="1" t="s">
        <v>362</v>
      </c>
      <c r="J9" s="1" t="s">
        <v>363</v>
      </c>
    </row>
    <row r="10" spans="1:10" ht="30" customHeight="1">
      <c r="A10" s="5" t="s">
        <v>103</v>
      </c>
      <c r="B10" s="5" t="s">
        <v>146</v>
      </c>
      <c r="C10" s="5" t="s">
        <v>351</v>
      </c>
      <c r="D10" s="5" t="s">
        <v>341</v>
      </c>
      <c r="E10" s="19">
        <f>설정!$B$13</f>
        <v>2000</v>
      </c>
      <c r="F10" s="19">
        <f>설정!B18</f>
        <v>2120</v>
      </c>
      <c r="G10" s="21">
        <f>설정!$B$6</f>
        <v>46569</v>
      </c>
      <c r="H10" s="5" t="s">
        <v>364</v>
      </c>
      <c r="I10" s="5" t="s">
        <v>365</v>
      </c>
      <c r="J10" s="5" t="s">
        <v>366</v>
      </c>
    </row>
  </sheetData>
  <mergeCells count="2">
    <mergeCell ref="A1:J2"/>
    <mergeCell ref="A3:J3"/>
  </mergeCells>
  <phoneticPr fontId="3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17" customWidth="1"/>
    <col min="3" max="3" width="31" customWidth="1"/>
    <col min="4" max="4" width="23" customWidth="1"/>
    <col min="5" max="5" width="15" customWidth="1"/>
    <col min="6" max="6" width="35" customWidth="1"/>
    <col min="7" max="7" width="33" customWidth="1"/>
    <col min="8" max="8" width="31" customWidth="1"/>
    <col min="9" max="9" width="25" customWidth="1"/>
    <col min="10" max="10" width="29" customWidth="1"/>
    <col min="11" max="11" width="65" customWidth="1"/>
    <col min="12" max="12" width="17" customWidth="1"/>
    <col min="13" max="13" width="24" customWidth="1"/>
    <col min="14" max="14" width="35" customWidth="1"/>
  </cols>
  <sheetData>
    <row r="1" spans="1:14" ht="30" customHeight="1">
      <c r="A1" s="128" t="s">
        <v>367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</row>
    <row r="2" spans="1:14" ht="30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</row>
    <row r="3" spans="1:14" ht="43.95" customHeight="1">
      <c r="A3" s="129" t="s">
        <v>368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2" customHeight="1">
      <c r="A5" s="4" t="s">
        <v>369</v>
      </c>
      <c r="B5" s="4" t="s">
        <v>370</v>
      </c>
      <c r="C5" s="4" t="s">
        <v>371</v>
      </c>
      <c r="D5" s="4" t="s">
        <v>372</v>
      </c>
      <c r="E5" s="4" t="s">
        <v>373</v>
      </c>
      <c r="F5" s="4" t="s">
        <v>374</v>
      </c>
      <c r="G5" s="4" t="s">
        <v>375</v>
      </c>
      <c r="H5" s="4" t="s">
        <v>376</v>
      </c>
      <c r="I5" s="4" t="s">
        <v>377</v>
      </c>
      <c r="J5" s="4" t="s">
        <v>348</v>
      </c>
      <c r="K5" s="4" t="s">
        <v>378</v>
      </c>
      <c r="L5" s="4" t="s">
        <v>379</v>
      </c>
      <c r="M5" s="4" t="s">
        <v>380</v>
      </c>
      <c r="N5" s="4" t="s">
        <v>381</v>
      </c>
    </row>
    <row r="6" spans="1:14" ht="40.049999999999997" customHeight="1">
      <c r="A6" s="5" t="s">
        <v>382</v>
      </c>
      <c r="B6" s="5" t="s">
        <v>383</v>
      </c>
      <c r="C6" s="5" t="s">
        <v>384</v>
      </c>
      <c r="D6" s="5" t="s">
        <v>385</v>
      </c>
      <c r="E6" s="5" t="s">
        <v>386</v>
      </c>
      <c r="F6" s="5" t="s">
        <v>387</v>
      </c>
      <c r="G6" s="5" t="s">
        <v>388</v>
      </c>
      <c r="H6" s="5" t="s">
        <v>389</v>
      </c>
      <c r="I6" s="5" t="s">
        <v>389</v>
      </c>
      <c r="J6" s="5" t="s">
        <v>390</v>
      </c>
      <c r="K6" s="5" t="s">
        <v>391</v>
      </c>
      <c r="L6" s="5" t="s">
        <v>392</v>
      </c>
      <c r="M6" s="5"/>
      <c r="N6" s="5"/>
    </row>
    <row r="7" spans="1:14" ht="40.049999999999997" customHeight="1">
      <c r="A7" s="1" t="s">
        <v>353</v>
      </c>
      <c r="B7" s="1" t="s">
        <v>393</v>
      </c>
      <c r="C7" s="1" t="s">
        <v>394</v>
      </c>
      <c r="D7" s="1" t="s">
        <v>395</v>
      </c>
      <c r="E7" s="1" t="s">
        <v>396</v>
      </c>
      <c r="F7" s="1" t="s">
        <v>397</v>
      </c>
      <c r="G7" s="1" t="s">
        <v>398</v>
      </c>
      <c r="H7" s="1" t="s">
        <v>399</v>
      </c>
      <c r="I7" s="1" t="s">
        <v>400</v>
      </c>
      <c r="J7" s="1" t="s">
        <v>389</v>
      </c>
      <c r="K7" s="1" t="s">
        <v>401</v>
      </c>
      <c r="L7" s="1" t="s">
        <v>402</v>
      </c>
      <c r="M7" s="1" t="s">
        <v>403</v>
      </c>
      <c r="N7" s="1" t="s">
        <v>404</v>
      </c>
    </row>
    <row r="8" spans="1:14" ht="40.049999999999997" customHeight="1">
      <c r="A8" s="5" t="s">
        <v>405</v>
      </c>
      <c r="B8" s="5" t="s">
        <v>406</v>
      </c>
      <c r="C8" s="5" t="s">
        <v>407</v>
      </c>
      <c r="D8" s="5" t="s">
        <v>408</v>
      </c>
      <c r="E8" s="5" t="s">
        <v>409</v>
      </c>
      <c r="F8" s="5" t="s">
        <v>410</v>
      </c>
      <c r="G8" s="5" t="s">
        <v>411</v>
      </c>
      <c r="H8" s="5" t="s">
        <v>99</v>
      </c>
      <c r="I8" s="5" t="s">
        <v>412</v>
      </c>
      <c r="J8" s="5" t="s">
        <v>389</v>
      </c>
      <c r="K8" s="5" t="s">
        <v>413</v>
      </c>
      <c r="L8" s="5" t="s">
        <v>402</v>
      </c>
      <c r="M8" s="5" t="s">
        <v>414</v>
      </c>
      <c r="N8" s="5" t="s">
        <v>415</v>
      </c>
    </row>
    <row r="9" spans="1:14" ht="40.049999999999997" customHeight="1">
      <c r="A9" s="1" t="s">
        <v>356</v>
      </c>
      <c r="B9" s="1" t="s">
        <v>416</v>
      </c>
      <c r="C9" s="1" t="s">
        <v>417</v>
      </c>
      <c r="D9" s="1" t="s">
        <v>395</v>
      </c>
      <c r="E9" s="1" t="s">
        <v>409</v>
      </c>
      <c r="F9" s="1" t="s">
        <v>418</v>
      </c>
      <c r="G9" s="1" t="s">
        <v>419</v>
      </c>
      <c r="H9" s="11" t="str">
        <f>설정!B19</f>
        <v>2027-06-21 18:00:00 KST</v>
      </c>
      <c r="I9" s="1" t="s">
        <v>420</v>
      </c>
      <c r="J9" s="1" t="s">
        <v>421</v>
      </c>
      <c r="K9" s="1" t="s">
        <v>422</v>
      </c>
      <c r="L9" s="1" t="s">
        <v>402</v>
      </c>
      <c r="M9" s="1" t="s">
        <v>423</v>
      </c>
      <c r="N9" s="1" t="s">
        <v>424</v>
      </c>
    </row>
    <row r="10" spans="1:14" ht="40.049999999999997" customHeight="1">
      <c r="A10" s="5" t="s">
        <v>359</v>
      </c>
      <c r="B10" s="5" t="s">
        <v>425</v>
      </c>
      <c r="C10" s="5" t="s">
        <v>426</v>
      </c>
      <c r="D10" s="5" t="s">
        <v>395</v>
      </c>
      <c r="E10" s="5" t="s">
        <v>427</v>
      </c>
      <c r="F10" s="5" t="s">
        <v>428</v>
      </c>
      <c r="G10" s="5" t="s">
        <v>429</v>
      </c>
      <c r="H10" s="12" t="str">
        <f>설정!B19</f>
        <v>2027-06-21 18:00:00 KST</v>
      </c>
      <c r="I10" s="5" t="s">
        <v>430</v>
      </c>
      <c r="J10" s="5" t="s">
        <v>389</v>
      </c>
      <c r="K10" s="5" t="s">
        <v>431</v>
      </c>
      <c r="L10" s="5" t="s">
        <v>402</v>
      </c>
      <c r="M10" s="5" t="s">
        <v>432</v>
      </c>
      <c r="N10" s="5" t="s">
        <v>433</v>
      </c>
    </row>
    <row r="11" spans="1:14" ht="40.049999999999997" customHeight="1">
      <c r="A11" s="1" t="s">
        <v>434</v>
      </c>
      <c r="B11" s="1" t="s">
        <v>435</v>
      </c>
      <c r="C11" s="1" t="s">
        <v>436</v>
      </c>
      <c r="D11" s="1" t="s">
        <v>395</v>
      </c>
      <c r="E11" s="1" t="s">
        <v>409</v>
      </c>
      <c r="F11" s="1" t="s">
        <v>437</v>
      </c>
      <c r="G11" s="1" t="s">
        <v>438</v>
      </c>
      <c r="H11" s="1" t="s">
        <v>439</v>
      </c>
      <c r="I11" s="1" t="s">
        <v>430</v>
      </c>
      <c r="J11" s="1" t="s">
        <v>358</v>
      </c>
      <c r="K11" s="1" t="s">
        <v>440</v>
      </c>
      <c r="L11" s="1" t="s">
        <v>402</v>
      </c>
      <c r="M11" s="1" t="s">
        <v>441</v>
      </c>
      <c r="N11" s="1" t="s">
        <v>442</v>
      </c>
    </row>
    <row r="12" spans="1:14" ht="40.049999999999997" customHeight="1">
      <c r="A12" s="5" t="s">
        <v>362</v>
      </c>
      <c r="B12" s="5" t="s">
        <v>443</v>
      </c>
      <c r="C12" s="5" t="s">
        <v>444</v>
      </c>
      <c r="D12" s="5" t="s">
        <v>395</v>
      </c>
      <c r="E12" s="5" t="s">
        <v>445</v>
      </c>
      <c r="F12" s="5" t="s">
        <v>446</v>
      </c>
      <c r="G12" s="5" t="s">
        <v>447</v>
      </c>
      <c r="H12" s="5" t="s">
        <v>439</v>
      </c>
      <c r="I12" s="5" t="s">
        <v>448</v>
      </c>
      <c r="J12" s="5" t="s">
        <v>361</v>
      </c>
      <c r="K12" s="5" t="s">
        <v>449</v>
      </c>
      <c r="L12" s="5" t="s">
        <v>402</v>
      </c>
      <c r="M12" s="5" t="s">
        <v>450</v>
      </c>
      <c r="N12" s="5" t="s">
        <v>451</v>
      </c>
    </row>
    <row r="13" spans="1:14" ht="40.049999999999997" customHeight="1">
      <c r="A13" s="1" t="s">
        <v>452</v>
      </c>
      <c r="B13" s="1" t="s">
        <v>453</v>
      </c>
      <c r="C13" s="1" t="s">
        <v>454</v>
      </c>
      <c r="D13" s="1" t="s">
        <v>455</v>
      </c>
      <c r="E13" s="1" t="s">
        <v>456</v>
      </c>
      <c r="F13" s="1" t="s">
        <v>457</v>
      </c>
      <c r="G13" s="1" t="s">
        <v>458</v>
      </c>
      <c r="H13" s="1" t="s">
        <v>439</v>
      </c>
      <c r="I13" s="1" t="s">
        <v>459</v>
      </c>
      <c r="J13" s="1" t="s">
        <v>361</v>
      </c>
      <c r="K13" s="1" t="s">
        <v>460</v>
      </c>
      <c r="L13" s="1" t="s">
        <v>402</v>
      </c>
      <c r="M13" s="1" t="s">
        <v>461</v>
      </c>
      <c r="N13" s="1" t="s">
        <v>462</v>
      </c>
    </row>
    <row r="14" spans="1:14" ht="40.049999999999997" customHeight="1">
      <c r="A14" s="5" t="s">
        <v>463</v>
      </c>
      <c r="B14" s="5" t="s">
        <v>464</v>
      </c>
      <c r="C14" s="5" t="s">
        <v>465</v>
      </c>
      <c r="D14" s="5" t="s">
        <v>466</v>
      </c>
      <c r="E14" s="5" t="s">
        <v>456</v>
      </c>
      <c r="F14" s="5" t="s">
        <v>467</v>
      </c>
      <c r="G14" s="5" t="s">
        <v>468</v>
      </c>
      <c r="H14" s="5" t="s">
        <v>469</v>
      </c>
      <c r="I14" s="5" t="s">
        <v>470</v>
      </c>
      <c r="J14" s="5" t="s">
        <v>361</v>
      </c>
      <c r="K14" s="5" t="s">
        <v>471</v>
      </c>
      <c r="L14" s="5" t="s">
        <v>402</v>
      </c>
      <c r="M14" s="5" t="s">
        <v>472</v>
      </c>
      <c r="N14" s="5" t="s">
        <v>473</v>
      </c>
    </row>
    <row r="15" spans="1:14" ht="40.049999999999997" customHeight="1">
      <c r="A15" s="1" t="s">
        <v>365</v>
      </c>
      <c r="B15" s="1" t="s">
        <v>474</v>
      </c>
      <c r="C15" s="1" t="s">
        <v>475</v>
      </c>
      <c r="D15" s="1" t="s">
        <v>476</v>
      </c>
      <c r="E15" s="1" t="s">
        <v>456</v>
      </c>
      <c r="F15" s="1" t="s">
        <v>477</v>
      </c>
      <c r="G15" s="1" t="s">
        <v>478</v>
      </c>
      <c r="H15" s="1" t="s">
        <v>389</v>
      </c>
      <c r="I15" s="1" t="s">
        <v>479</v>
      </c>
      <c r="J15" s="1" t="s">
        <v>364</v>
      </c>
      <c r="K15" s="1" t="s">
        <v>480</v>
      </c>
      <c r="L15" s="1" t="s">
        <v>402</v>
      </c>
      <c r="M15" s="1" t="s">
        <v>481</v>
      </c>
      <c r="N15" s="1" t="s">
        <v>482</v>
      </c>
    </row>
    <row r="16" spans="1:14" ht="40.049999999999997" customHeight="1">
      <c r="A16" s="5" t="s">
        <v>483</v>
      </c>
      <c r="B16" s="5" t="s">
        <v>484</v>
      </c>
      <c r="C16" s="5" t="s">
        <v>485</v>
      </c>
      <c r="D16" s="5" t="s">
        <v>395</v>
      </c>
      <c r="E16" s="5" t="s">
        <v>486</v>
      </c>
      <c r="F16" s="5" t="s">
        <v>487</v>
      </c>
      <c r="G16" s="5" t="s">
        <v>488</v>
      </c>
      <c r="H16" s="5" t="s">
        <v>389</v>
      </c>
      <c r="I16" s="5" t="s">
        <v>489</v>
      </c>
      <c r="J16" s="5" t="s">
        <v>364</v>
      </c>
      <c r="K16" s="5" t="s">
        <v>490</v>
      </c>
      <c r="L16" s="5" t="s">
        <v>402</v>
      </c>
      <c r="M16" s="5" t="s">
        <v>491</v>
      </c>
      <c r="N16" s="5" t="s">
        <v>492</v>
      </c>
    </row>
    <row r="17" spans="1:14" ht="40.049999999999997" customHeight="1">
      <c r="A17" s="1" t="s">
        <v>493</v>
      </c>
      <c r="B17" s="1" t="s">
        <v>494</v>
      </c>
      <c r="C17" s="1" t="s">
        <v>495</v>
      </c>
      <c r="D17" s="1" t="s">
        <v>395</v>
      </c>
      <c r="E17" s="1" t="s">
        <v>496</v>
      </c>
      <c r="F17" s="1" t="s">
        <v>497</v>
      </c>
      <c r="G17" s="1" t="s">
        <v>498</v>
      </c>
      <c r="H17" s="1" t="s">
        <v>469</v>
      </c>
      <c r="I17" s="1" t="s">
        <v>499</v>
      </c>
      <c r="J17" s="1" t="s">
        <v>364</v>
      </c>
      <c r="K17" s="1" t="s">
        <v>500</v>
      </c>
      <c r="L17" s="1" t="s">
        <v>402</v>
      </c>
      <c r="M17" s="1" t="s">
        <v>501</v>
      </c>
      <c r="N17" s="1" t="s">
        <v>502</v>
      </c>
    </row>
    <row r="18" spans="1:14" ht="40.049999999999997" customHeight="1">
      <c r="A18" s="5" t="s">
        <v>503</v>
      </c>
      <c r="B18" s="5" t="s">
        <v>504</v>
      </c>
      <c r="C18" s="5" t="s">
        <v>505</v>
      </c>
      <c r="D18" s="5" t="s">
        <v>385</v>
      </c>
      <c r="E18" s="5" t="s">
        <v>496</v>
      </c>
      <c r="F18" s="5" t="s">
        <v>506</v>
      </c>
      <c r="G18" s="5" t="s">
        <v>507</v>
      </c>
      <c r="H18" s="5" t="s">
        <v>508</v>
      </c>
      <c r="I18" s="5" t="s">
        <v>509</v>
      </c>
      <c r="J18" s="5" t="s">
        <v>364</v>
      </c>
      <c r="K18" s="5" t="s">
        <v>510</v>
      </c>
      <c r="L18" s="5" t="s">
        <v>402</v>
      </c>
      <c r="M18" s="5" t="s">
        <v>501</v>
      </c>
      <c r="N18" s="5" t="s">
        <v>511</v>
      </c>
    </row>
    <row r="19" spans="1:14" ht="40.049999999999997" customHeight="1">
      <c r="A19" s="1" t="s">
        <v>512</v>
      </c>
      <c r="B19" s="1" t="s">
        <v>513</v>
      </c>
      <c r="C19" s="1" t="s">
        <v>465</v>
      </c>
      <c r="D19" s="1" t="s">
        <v>466</v>
      </c>
      <c r="E19" s="1" t="s">
        <v>456</v>
      </c>
      <c r="F19" s="1" t="s">
        <v>514</v>
      </c>
      <c r="G19" s="1" t="s">
        <v>515</v>
      </c>
      <c r="H19" s="1" t="s">
        <v>516</v>
      </c>
      <c r="I19" s="1" t="s">
        <v>517</v>
      </c>
      <c r="J19" s="1" t="s">
        <v>361</v>
      </c>
      <c r="K19" s="1" t="s">
        <v>518</v>
      </c>
      <c r="L19" s="1" t="s">
        <v>519</v>
      </c>
      <c r="M19" s="1" t="s">
        <v>520</v>
      </c>
      <c r="N19" s="1" t="s">
        <v>521</v>
      </c>
    </row>
  </sheetData>
  <mergeCells count="2">
    <mergeCell ref="A1:N2"/>
    <mergeCell ref="A3:N3"/>
  </mergeCells>
  <phoneticPr fontId="3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5" customWidth="1"/>
    <col min="2" max="2" width="24" customWidth="1"/>
    <col min="3" max="3" width="25" customWidth="1"/>
    <col min="4" max="4" width="30" customWidth="1"/>
    <col min="5" max="5" width="100" customWidth="1"/>
    <col min="6" max="6" width="72" customWidth="1"/>
  </cols>
  <sheetData>
    <row r="1" spans="1:6" ht="30" customHeight="1">
      <c r="A1" s="128" t="s">
        <v>522</v>
      </c>
      <c r="B1" s="128"/>
      <c r="C1" s="128"/>
      <c r="D1" s="128"/>
      <c r="E1" s="128"/>
      <c r="F1" s="128"/>
    </row>
    <row r="2" spans="1:6" ht="30" customHeight="1">
      <c r="A2" s="128"/>
      <c r="B2" s="128"/>
      <c r="C2" s="128"/>
      <c r="D2" s="128"/>
      <c r="E2" s="128"/>
      <c r="F2" s="128"/>
    </row>
    <row r="3" spans="1:6" ht="43.95" customHeight="1">
      <c r="A3" s="129" t="s">
        <v>523</v>
      </c>
      <c r="B3" s="130"/>
      <c r="C3" s="130"/>
      <c r="D3" s="130"/>
      <c r="E3" s="130"/>
      <c r="F3" s="130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4" t="s">
        <v>524</v>
      </c>
      <c r="B5" s="4" t="s">
        <v>525</v>
      </c>
      <c r="C5" s="4" t="s">
        <v>346</v>
      </c>
      <c r="D5" s="4" t="s">
        <v>526</v>
      </c>
      <c r="E5" s="4" t="s">
        <v>527</v>
      </c>
      <c r="F5" s="4" t="s">
        <v>528</v>
      </c>
    </row>
    <row r="6" spans="1:6" ht="40.049999999999997" customHeight="1">
      <c r="A6" s="5" t="s">
        <v>400</v>
      </c>
      <c r="B6" s="5" t="s">
        <v>529</v>
      </c>
      <c r="C6" s="5" t="s">
        <v>351</v>
      </c>
      <c r="D6" s="5" t="s">
        <v>530</v>
      </c>
      <c r="E6" s="5" t="s">
        <v>531</v>
      </c>
      <c r="F6" s="5" t="s">
        <v>532</v>
      </c>
    </row>
    <row r="7" spans="1:6" ht="30" customHeight="1">
      <c r="A7" s="1" t="s">
        <v>412</v>
      </c>
      <c r="B7" s="1" t="s">
        <v>533</v>
      </c>
      <c r="C7" s="1" t="s">
        <v>351</v>
      </c>
      <c r="D7" s="1" t="s">
        <v>534</v>
      </c>
      <c r="E7" s="1" t="s">
        <v>535</v>
      </c>
      <c r="F7" s="1" t="s">
        <v>536</v>
      </c>
    </row>
    <row r="8" spans="1:6" ht="40.049999999999997" customHeight="1">
      <c r="A8" s="5" t="s">
        <v>420</v>
      </c>
      <c r="B8" s="5" t="s">
        <v>537</v>
      </c>
      <c r="C8" s="5" t="s">
        <v>351</v>
      </c>
      <c r="D8" s="5" t="s">
        <v>538</v>
      </c>
      <c r="E8" s="5" t="s">
        <v>539</v>
      </c>
      <c r="F8" s="5" t="s">
        <v>540</v>
      </c>
    </row>
    <row r="9" spans="1:6" ht="30" customHeight="1">
      <c r="A9" s="1" t="s">
        <v>430</v>
      </c>
      <c r="B9" s="1" t="s">
        <v>541</v>
      </c>
      <c r="C9" s="1" t="s">
        <v>351</v>
      </c>
      <c r="D9" s="1" t="s">
        <v>542</v>
      </c>
      <c r="E9" s="1" t="s">
        <v>543</v>
      </c>
      <c r="F9" s="1" t="s">
        <v>544</v>
      </c>
    </row>
    <row r="10" spans="1:6" ht="40.049999999999997" customHeight="1">
      <c r="A10" s="5" t="s">
        <v>448</v>
      </c>
      <c r="B10" s="5" t="s">
        <v>545</v>
      </c>
      <c r="C10" s="5" t="s">
        <v>351</v>
      </c>
      <c r="D10" s="5" t="s">
        <v>395</v>
      </c>
      <c r="E10" s="5" t="s">
        <v>546</v>
      </c>
      <c r="F10" s="5" t="s">
        <v>547</v>
      </c>
    </row>
    <row r="11" spans="1:6" ht="30" customHeight="1">
      <c r="A11" s="1" t="s">
        <v>459</v>
      </c>
      <c r="B11" s="1" t="s">
        <v>548</v>
      </c>
      <c r="C11" s="1" t="s">
        <v>351</v>
      </c>
      <c r="D11" s="1" t="s">
        <v>549</v>
      </c>
      <c r="E11" s="1" t="s">
        <v>550</v>
      </c>
      <c r="F11" s="1" t="s">
        <v>551</v>
      </c>
    </row>
    <row r="12" spans="1:6" ht="30" customHeight="1">
      <c r="A12" s="5" t="s">
        <v>470</v>
      </c>
      <c r="B12" s="5" t="s">
        <v>552</v>
      </c>
      <c r="C12" s="5" t="s">
        <v>351</v>
      </c>
      <c r="D12" s="5" t="s">
        <v>553</v>
      </c>
      <c r="E12" s="5" t="s">
        <v>554</v>
      </c>
      <c r="F12" s="5" t="s">
        <v>555</v>
      </c>
    </row>
    <row r="13" spans="1:6" ht="30" customHeight="1">
      <c r="A13" s="1" t="s">
        <v>479</v>
      </c>
      <c r="B13" s="1" t="s">
        <v>482</v>
      </c>
      <c r="C13" s="1" t="s">
        <v>351</v>
      </c>
      <c r="D13" s="1" t="s">
        <v>556</v>
      </c>
      <c r="E13" s="1" t="s">
        <v>557</v>
      </c>
      <c r="F13" s="1" t="s">
        <v>558</v>
      </c>
    </row>
    <row r="14" spans="1:6" ht="30" customHeight="1">
      <c r="A14" s="5" t="s">
        <v>517</v>
      </c>
      <c r="B14" s="5" t="s">
        <v>514</v>
      </c>
      <c r="C14" s="5" t="s">
        <v>351</v>
      </c>
      <c r="D14" s="5" t="s">
        <v>553</v>
      </c>
      <c r="E14" s="5" t="s">
        <v>559</v>
      </c>
      <c r="F14" s="5" t="s">
        <v>560</v>
      </c>
    </row>
    <row r="15" spans="1:6" ht="30" customHeight="1">
      <c r="A15" s="1" t="s">
        <v>561</v>
      </c>
      <c r="B15" s="1" t="s">
        <v>562</v>
      </c>
      <c r="C15" s="1" t="s">
        <v>563</v>
      </c>
      <c r="D15" s="1" t="s">
        <v>564</v>
      </c>
      <c r="E15" s="1" t="s">
        <v>565</v>
      </c>
      <c r="F15" s="1" t="s">
        <v>566</v>
      </c>
    </row>
    <row r="16" spans="1:6" ht="30" customHeight="1">
      <c r="A16" s="5" t="s">
        <v>567</v>
      </c>
      <c r="B16" s="5" t="s">
        <v>562</v>
      </c>
      <c r="C16" s="5" t="s">
        <v>568</v>
      </c>
      <c r="D16" s="5" t="s">
        <v>569</v>
      </c>
      <c r="E16" s="5" t="s">
        <v>570</v>
      </c>
      <c r="F16" s="5" t="s">
        <v>571</v>
      </c>
    </row>
  </sheetData>
  <mergeCells count="2">
    <mergeCell ref="A1:F2"/>
    <mergeCell ref="A3:F3"/>
  </mergeCells>
  <phoneticPr fontId="3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2" customWidth="1"/>
    <col min="2" max="2" width="51" customWidth="1"/>
    <col min="3" max="3" width="85" customWidth="1"/>
  </cols>
  <sheetData>
    <row r="1" spans="1:3" ht="30" customHeight="1">
      <c r="A1" s="128" t="s">
        <v>572</v>
      </c>
      <c r="B1" s="128"/>
      <c r="C1" s="128"/>
    </row>
    <row r="2" spans="1:3" ht="30" customHeight="1">
      <c r="A2" s="128"/>
      <c r="B2" s="128"/>
      <c r="C2" s="128"/>
    </row>
    <row r="3" spans="1:3" ht="43.95" customHeight="1">
      <c r="A3" s="129" t="s">
        <v>573</v>
      </c>
      <c r="B3" s="130"/>
      <c r="C3" s="130"/>
    </row>
    <row r="4" spans="1:3" ht="30" customHeight="1">
      <c r="A4" s="1"/>
      <c r="B4" s="1"/>
      <c r="C4" s="1"/>
    </row>
    <row r="5" spans="1:3" ht="42" customHeight="1">
      <c r="A5" s="4" t="s">
        <v>574</v>
      </c>
      <c r="B5" s="4" t="s">
        <v>56</v>
      </c>
      <c r="C5" s="4" t="s">
        <v>575</v>
      </c>
    </row>
    <row r="6" spans="1:3" ht="30" customHeight="1">
      <c r="A6" s="5" t="s">
        <v>576</v>
      </c>
      <c r="B6" s="5" t="s">
        <v>577</v>
      </c>
      <c r="C6" s="5" t="s">
        <v>578</v>
      </c>
    </row>
    <row r="7" spans="1:3" ht="30" customHeight="1">
      <c r="A7" s="1" t="s">
        <v>579</v>
      </c>
      <c r="B7" s="1" t="s">
        <v>580</v>
      </c>
      <c r="C7" s="1" t="s">
        <v>581</v>
      </c>
    </row>
    <row r="8" spans="1:3" ht="30" customHeight="1">
      <c r="A8" s="5" t="s">
        <v>582</v>
      </c>
      <c r="B8" s="5" t="s">
        <v>583</v>
      </c>
      <c r="C8" s="5" t="s">
        <v>584</v>
      </c>
    </row>
    <row r="9" spans="1:3" ht="30" customHeight="1">
      <c r="A9" s="1" t="s">
        <v>585</v>
      </c>
      <c r="B9" s="1" t="s">
        <v>390</v>
      </c>
      <c r="C9" s="1" t="s">
        <v>586</v>
      </c>
    </row>
    <row r="10" spans="1:3" ht="30" customHeight="1">
      <c r="A10" s="5" t="s">
        <v>587</v>
      </c>
      <c r="B10" s="5" t="s">
        <v>364</v>
      </c>
      <c r="C10" s="5" t="s">
        <v>588</v>
      </c>
    </row>
    <row r="11" spans="1:3" ht="30" customHeight="1">
      <c r="A11" s="1" t="s">
        <v>123</v>
      </c>
      <c r="B11" s="11" t="str">
        <f>설정!B20</f>
        <v>PV-APP01</v>
      </c>
      <c r="C11" s="1" t="s">
        <v>589</v>
      </c>
    </row>
    <row r="12" spans="1:3" ht="30" customHeight="1">
      <c r="A12" s="5" t="s">
        <v>590</v>
      </c>
      <c r="B12" s="5" t="s">
        <v>591</v>
      </c>
      <c r="C12" s="5" t="s">
        <v>592</v>
      </c>
    </row>
    <row r="13" spans="1:3" ht="30" customHeight="1">
      <c r="A13" s="1" t="s">
        <v>593</v>
      </c>
      <c r="B13" s="1" t="s">
        <v>594</v>
      </c>
      <c r="C13" s="1" t="s">
        <v>595</v>
      </c>
    </row>
    <row r="14" spans="1:3" ht="30" customHeight="1">
      <c r="A14" s="5" t="s">
        <v>596</v>
      </c>
      <c r="B14" s="19">
        <f>통합손익!I21</f>
        <v>-14000000</v>
      </c>
      <c r="C14" s="5" t="s">
        <v>597</v>
      </c>
    </row>
    <row r="15" spans="1:3" ht="30" customHeight="1">
      <c r="A15" s="1" t="s">
        <v>598</v>
      </c>
      <c r="B15" s="20">
        <f>통합손익!J21</f>
        <v>-9364320</v>
      </c>
      <c r="C15" s="1" t="s">
        <v>599</v>
      </c>
    </row>
    <row r="16" spans="1:3" ht="30" customHeight="1">
      <c r="A16" s="5" t="s">
        <v>600</v>
      </c>
      <c r="B16" s="19">
        <f>통합손익!K21</f>
        <v>3299986680</v>
      </c>
      <c r="C16" s="5" t="s">
        <v>601</v>
      </c>
    </row>
    <row r="17" spans="1:3" ht="30" customHeight="1">
      <c r="A17" s="1" t="s">
        <v>602</v>
      </c>
      <c r="B17" s="20">
        <f>통합손익!N21</f>
        <v>177303320</v>
      </c>
      <c r="C17" s="1" t="s">
        <v>603</v>
      </c>
    </row>
    <row r="18" spans="1:3" ht="40.049999999999997" customHeight="1">
      <c r="A18" s="5" t="s">
        <v>604</v>
      </c>
      <c r="B18" s="19">
        <f>단가안비교!I10</f>
        <v>18817440</v>
      </c>
      <c r="C18" s="5" t="s">
        <v>605</v>
      </c>
    </row>
    <row r="19" spans="1:3" ht="30" customHeight="1">
      <c r="A19" s="1" t="s">
        <v>606</v>
      </c>
      <c r="B19" s="20">
        <f>통합손익!K22</f>
        <v>3173163560</v>
      </c>
      <c r="C19" s="1" t="s">
        <v>607</v>
      </c>
    </row>
    <row r="20" spans="1:3" ht="30" customHeight="1">
      <c r="A20" s="5" t="s">
        <v>608</v>
      </c>
      <c r="B20" s="5" t="s">
        <v>478</v>
      </c>
      <c r="C20" s="5" t="s">
        <v>609</v>
      </c>
    </row>
    <row r="21" spans="1:3" ht="30" customHeight="1">
      <c r="A21" s="1" t="s">
        <v>610</v>
      </c>
      <c r="B21" s="1" t="s">
        <v>39</v>
      </c>
      <c r="C21" s="1" t="s">
        <v>611</v>
      </c>
    </row>
    <row r="22" spans="1:3" ht="30" customHeight="1">
      <c r="A22" s="5" t="s">
        <v>612</v>
      </c>
      <c r="B22" s="5" t="s">
        <v>613</v>
      </c>
      <c r="C22" s="5" t="s">
        <v>614</v>
      </c>
    </row>
    <row r="23" spans="1:3" ht="30" customHeight="1">
      <c r="A23" s="1" t="s">
        <v>615</v>
      </c>
      <c r="B23" s="1" t="s">
        <v>616</v>
      </c>
      <c r="C23" s="1" t="s">
        <v>617</v>
      </c>
    </row>
    <row r="24" spans="1:3" ht="30" customHeight="1">
      <c r="A24" s="5" t="s">
        <v>618</v>
      </c>
      <c r="B24" s="5" t="s">
        <v>619</v>
      </c>
      <c r="C24" s="5" t="s">
        <v>620</v>
      </c>
    </row>
    <row r="25" spans="1:3" ht="30" customHeight="1">
      <c r="A25" s="1" t="s">
        <v>621</v>
      </c>
      <c r="B25" s="1" t="s">
        <v>622</v>
      </c>
      <c r="C25" s="1" t="s">
        <v>623</v>
      </c>
    </row>
  </sheetData>
  <mergeCells count="2">
    <mergeCell ref="A1:C2"/>
    <mergeCell ref="A3:C3"/>
  </mergeCells>
  <phoneticPr fontId="3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49" customWidth="1"/>
    <col min="4" max="4" width="16" customWidth="1"/>
    <col min="5" max="5" width="22" customWidth="1"/>
    <col min="6" max="6" width="44" customWidth="1"/>
    <col min="7" max="7" width="76" customWidth="1"/>
    <col min="8" max="8" width="20" customWidth="1"/>
    <col min="9" max="9" width="23" customWidth="1"/>
  </cols>
  <sheetData>
    <row r="1" spans="1:9" ht="30" customHeight="1">
      <c r="A1" s="128" t="s">
        <v>624</v>
      </c>
      <c r="B1" s="128"/>
      <c r="C1" s="128"/>
      <c r="D1" s="128"/>
      <c r="E1" s="128"/>
      <c r="F1" s="128"/>
      <c r="G1" s="128"/>
      <c r="H1" s="128"/>
      <c r="I1" s="128"/>
    </row>
    <row r="2" spans="1:9" ht="30" customHeight="1">
      <c r="A2" s="128"/>
      <c r="B2" s="128"/>
      <c r="C2" s="128"/>
      <c r="D2" s="128"/>
      <c r="E2" s="128"/>
      <c r="F2" s="128"/>
      <c r="G2" s="128"/>
      <c r="H2" s="128"/>
      <c r="I2" s="128"/>
    </row>
    <row r="3" spans="1:9" ht="43.95" customHeight="1">
      <c r="A3" s="129" t="s">
        <v>625</v>
      </c>
      <c r="B3" s="130"/>
      <c r="C3" s="130"/>
      <c r="D3" s="130"/>
      <c r="E3" s="130"/>
      <c r="F3" s="130"/>
      <c r="G3" s="130"/>
      <c r="H3" s="130"/>
      <c r="I3" s="130"/>
    </row>
    <row r="4" spans="1:9" ht="30" customHeight="1">
      <c r="A4" s="1"/>
      <c r="B4" s="1"/>
      <c r="C4" s="1"/>
      <c r="D4" s="1"/>
      <c r="E4" s="1"/>
      <c r="F4" s="1"/>
      <c r="G4" s="1"/>
      <c r="H4" s="1"/>
      <c r="I4" s="1"/>
    </row>
    <row r="5" spans="1:9" ht="42" customHeight="1">
      <c r="A5" s="4" t="s">
        <v>626</v>
      </c>
      <c r="B5" s="4" t="s">
        <v>627</v>
      </c>
      <c r="C5" s="4" t="s">
        <v>628</v>
      </c>
      <c r="D5" s="4" t="s">
        <v>127</v>
      </c>
      <c r="E5" s="4" t="s">
        <v>629</v>
      </c>
      <c r="F5" s="4" t="s">
        <v>630</v>
      </c>
      <c r="G5" s="4" t="s">
        <v>631</v>
      </c>
      <c r="H5" s="4" t="s">
        <v>632</v>
      </c>
      <c r="I5" s="4" t="s">
        <v>633</v>
      </c>
    </row>
    <row r="6" spans="1:9" ht="30" customHeight="1">
      <c r="A6" s="5" t="s">
        <v>512</v>
      </c>
      <c r="B6" s="5" t="s">
        <v>514</v>
      </c>
      <c r="C6" s="5" t="s">
        <v>634</v>
      </c>
      <c r="D6" s="25"/>
      <c r="E6" s="17"/>
      <c r="F6" s="5" t="s">
        <v>635</v>
      </c>
      <c r="G6" s="5" t="s">
        <v>636</v>
      </c>
      <c r="H6" s="5" t="s">
        <v>637</v>
      </c>
      <c r="I6" s="5" t="s">
        <v>638</v>
      </c>
    </row>
    <row r="7" spans="1:9" ht="30" customHeight="1">
      <c r="A7" s="1" t="s">
        <v>639</v>
      </c>
      <c r="B7" s="1" t="s">
        <v>640</v>
      </c>
      <c r="C7" s="1" t="s">
        <v>641</v>
      </c>
      <c r="D7" s="32">
        <v>2.5000000000000001E-2</v>
      </c>
      <c r="E7" s="20">
        <f>단가안비교!G9*50</f>
        <v>7840600</v>
      </c>
      <c r="F7" s="1" t="s">
        <v>642</v>
      </c>
      <c r="G7" s="1" t="s">
        <v>643</v>
      </c>
      <c r="H7" s="11" t="str">
        <f>IF(OR(D7&gt;=설정!$B$9,E7&gt;=설정!$B$11),"중요",IF(OR(D7&gt;=설정!$B$8,E7&gt;=설정!$B$10),"관심","정상"))</f>
        <v>관심</v>
      </c>
      <c r="I7" s="11" t="str">
        <f>IF(E7&gt;=설정!$B$12,"대표 대상","대표 비대상")</f>
        <v>대표 비대상</v>
      </c>
    </row>
    <row r="8" spans="1:9" ht="30" customHeight="1">
      <c r="A8" s="5" t="s">
        <v>644</v>
      </c>
      <c r="B8" s="5" t="s">
        <v>645</v>
      </c>
      <c r="C8" s="5" t="s">
        <v>646</v>
      </c>
      <c r="D8" s="33">
        <v>0</v>
      </c>
      <c r="E8" s="15">
        <v>9999999</v>
      </c>
      <c r="F8" s="5" t="s">
        <v>640</v>
      </c>
      <c r="G8" s="5" t="s">
        <v>647</v>
      </c>
      <c r="H8" s="12" t="str">
        <f>IF(OR(D8&gt;=설정!$B$9,E8&gt;=설정!$B$11),"중요",IF(OR(D8&gt;=설정!$B$8,E8&gt;=설정!$B$10),"관심","정상"))</f>
        <v>관심</v>
      </c>
      <c r="I8" s="12" t="str">
        <f>IF(E8&gt;=설정!$B$12,"대표 대상","대표 비대상")</f>
        <v>대표 비대상</v>
      </c>
    </row>
    <row r="9" spans="1:9" ht="30" customHeight="1">
      <c r="A9" s="1" t="s">
        <v>648</v>
      </c>
      <c r="B9" s="1" t="s">
        <v>649</v>
      </c>
      <c r="C9" s="1" t="s">
        <v>646</v>
      </c>
      <c r="D9" s="32">
        <v>0</v>
      </c>
      <c r="E9" s="16">
        <v>10000000</v>
      </c>
      <c r="F9" s="1" t="s">
        <v>650</v>
      </c>
      <c r="G9" s="1" t="s">
        <v>651</v>
      </c>
      <c r="H9" s="11" t="str">
        <f>IF(OR(D9&gt;=설정!$B$9,E9&gt;=설정!$B$11),"중요",IF(OR(D9&gt;=설정!$B$8,E9&gt;=설정!$B$10),"관심","정상"))</f>
        <v>중요</v>
      </c>
      <c r="I9" s="11" t="str">
        <f>IF(E9&gt;=설정!$B$12,"대표 대상","대표 비대상")</f>
        <v>대표 대상</v>
      </c>
    </row>
    <row r="10" spans="1:9" ht="30" customHeight="1">
      <c r="A10" s="5" t="s">
        <v>652</v>
      </c>
      <c r="B10" s="5" t="s">
        <v>653</v>
      </c>
      <c r="C10" s="5" t="s">
        <v>654</v>
      </c>
      <c r="D10" s="25"/>
      <c r="E10" s="17"/>
      <c r="F10" s="5" t="s">
        <v>655</v>
      </c>
      <c r="G10" s="5" t="s">
        <v>656</v>
      </c>
      <c r="H10" s="5" t="s">
        <v>637</v>
      </c>
      <c r="I10" s="5" t="s">
        <v>638</v>
      </c>
    </row>
    <row r="11" spans="1:9" ht="30" customHeight="1">
      <c r="A11" s="1" t="s">
        <v>657</v>
      </c>
      <c r="B11" s="1" t="s">
        <v>658</v>
      </c>
      <c r="C11" s="1" t="s">
        <v>659</v>
      </c>
      <c r="D11" s="26"/>
      <c r="E11" s="18"/>
      <c r="F11" s="1" t="s">
        <v>660</v>
      </c>
      <c r="G11" s="1" t="s">
        <v>661</v>
      </c>
      <c r="H11" s="1" t="s">
        <v>637</v>
      </c>
      <c r="I11" s="1" t="s">
        <v>638</v>
      </c>
    </row>
    <row r="12" spans="1:9" ht="30" customHeight="1">
      <c r="A12" s="5" t="s">
        <v>662</v>
      </c>
      <c r="B12" s="5" t="s">
        <v>663</v>
      </c>
      <c r="C12" s="5" t="s">
        <v>664</v>
      </c>
      <c r="D12" s="25"/>
      <c r="E12" s="17"/>
      <c r="F12" s="5" t="s">
        <v>665</v>
      </c>
      <c r="G12" s="5" t="s">
        <v>666</v>
      </c>
      <c r="H12" s="5" t="s">
        <v>637</v>
      </c>
      <c r="I12" s="5" t="s">
        <v>638</v>
      </c>
    </row>
    <row r="13" spans="1:9" ht="30" customHeight="1">
      <c r="A13" s="1" t="s">
        <v>667</v>
      </c>
      <c r="B13" s="1" t="s">
        <v>668</v>
      </c>
      <c r="C13" s="1" t="s">
        <v>669</v>
      </c>
      <c r="D13" s="26"/>
      <c r="E13" s="18"/>
      <c r="F13" s="1" t="s">
        <v>670</v>
      </c>
      <c r="G13" s="1" t="s">
        <v>671</v>
      </c>
      <c r="H13" s="1" t="s">
        <v>637</v>
      </c>
      <c r="I13" s="1" t="s">
        <v>638</v>
      </c>
    </row>
    <row r="14" spans="1:9" ht="30" customHeight="1">
      <c r="A14" s="5" t="s">
        <v>672</v>
      </c>
      <c r="B14" s="5" t="s">
        <v>673</v>
      </c>
      <c r="C14" s="5" t="s">
        <v>674</v>
      </c>
      <c r="D14" s="33">
        <v>0.05</v>
      </c>
      <c r="E14" s="15">
        <v>0</v>
      </c>
      <c r="F14" s="5" t="s">
        <v>675</v>
      </c>
      <c r="G14" s="5" t="s">
        <v>676</v>
      </c>
      <c r="H14" s="12" t="str">
        <f>IF(OR(D14&gt;=설정!$B$9,E14&gt;=설정!$B$11),"중요",IF(OR(D14&gt;=설정!$B$8,E14&gt;=설정!$B$10),"관심","정상"))</f>
        <v>관심</v>
      </c>
      <c r="I14" s="12" t="str">
        <f>IF(E14&gt;=설정!$B$12,"대표 대상","대표 비대상")</f>
        <v>대표 비대상</v>
      </c>
    </row>
    <row r="15" spans="1:9" ht="30" customHeight="1">
      <c r="A15" s="1" t="s">
        <v>677</v>
      </c>
      <c r="B15" s="1" t="s">
        <v>678</v>
      </c>
      <c r="C15" s="1" t="s">
        <v>679</v>
      </c>
      <c r="D15" s="32">
        <v>0.1</v>
      </c>
      <c r="E15" s="16">
        <v>0</v>
      </c>
      <c r="F15" s="1" t="s">
        <v>680</v>
      </c>
      <c r="G15" s="1" t="s">
        <v>676</v>
      </c>
      <c r="H15" s="11" t="str">
        <f>IF(OR(D15&gt;=설정!$B$9,E15&gt;=설정!$B$11),"중요",IF(OR(D15&gt;=설정!$B$8,E15&gt;=설정!$B$10),"관심","정상"))</f>
        <v>중요</v>
      </c>
      <c r="I15" s="11" t="str">
        <f>IF(E15&gt;=설정!$B$12,"대표 대상","대표 비대상")</f>
        <v>대표 비대상</v>
      </c>
    </row>
    <row r="16" spans="1:9" ht="30" customHeight="1">
      <c r="A16" s="5" t="s">
        <v>681</v>
      </c>
      <c r="B16" s="5" t="s">
        <v>682</v>
      </c>
      <c r="C16" s="5" t="s">
        <v>683</v>
      </c>
      <c r="D16" s="33">
        <v>0</v>
      </c>
      <c r="E16" s="15">
        <v>5000000</v>
      </c>
      <c r="F16" s="5" t="s">
        <v>675</v>
      </c>
      <c r="G16" s="5" t="s">
        <v>684</v>
      </c>
      <c r="H16" s="12" t="str">
        <f>IF(OR(D16&gt;=설정!$B$9,E16&gt;=설정!$B$11),"중요",IF(OR(D16&gt;=설정!$B$8,E16&gt;=설정!$B$10),"관심","정상"))</f>
        <v>관심</v>
      </c>
      <c r="I16" s="12" t="str">
        <f>IF(E16&gt;=설정!$B$12,"대표 대상","대표 비대상")</f>
        <v>대표 비대상</v>
      </c>
    </row>
    <row r="17" spans="1:9" ht="30" customHeight="1">
      <c r="A17" s="1" t="s">
        <v>685</v>
      </c>
      <c r="B17" s="1" t="s">
        <v>686</v>
      </c>
      <c r="C17" s="1" t="s">
        <v>687</v>
      </c>
      <c r="D17" s="32">
        <v>0</v>
      </c>
      <c r="E17" s="16">
        <v>10000000</v>
      </c>
      <c r="F17" s="1" t="s">
        <v>680</v>
      </c>
      <c r="G17" s="1" t="s">
        <v>684</v>
      </c>
      <c r="H17" s="11" t="str">
        <f>IF(OR(D17&gt;=설정!$B$9,E17&gt;=설정!$B$11),"중요",IF(OR(D17&gt;=설정!$B$8,E17&gt;=설정!$B$10),"관심","정상"))</f>
        <v>중요</v>
      </c>
      <c r="I17" s="11" t="str">
        <f>IF(E17&gt;=설정!$B$12,"대표 대상","대표 비대상")</f>
        <v>대표 대상</v>
      </c>
    </row>
    <row r="18" spans="1:9" ht="30" customHeight="1">
      <c r="A18" s="5" t="s">
        <v>688</v>
      </c>
      <c r="B18" s="5" t="s">
        <v>689</v>
      </c>
      <c r="C18" s="5" t="s">
        <v>690</v>
      </c>
      <c r="D18" s="25"/>
      <c r="E18" s="17"/>
      <c r="F18" s="5" t="s">
        <v>691</v>
      </c>
      <c r="G18" s="5" t="s">
        <v>692</v>
      </c>
      <c r="H18" s="5" t="s">
        <v>637</v>
      </c>
      <c r="I18" s="5" t="s">
        <v>638</v>
      </c>
    </row>
    <row r="19" spans="1:9" ht="30" customHeight="1">
      <c r="A19" s="1" t="s">
        <v>693</v>
      </c>
      <c r="B19" s="1" t="s">
        <v>694</v>
      </c>
      <c r="C19" s="1" t="s">
        <v>695</v>
      </c>
      <c r="D19" s="26"/>
      <c r="E19" s="18"/>
      <c r="F19" s="1" t="s">
        <v>696</v>
      </c>
      <c r="G19" s="1" t="s">
        <v>697</v>
      </c>
      <c r="H19" s="1" t="s">
        <v>637</v>
      </c>
      <c r="I19" s="1" t="s">
        <v>638</v>
      </c>
    </row>
    <row r="20" spans="1:9" ht="30" customHeight="1">
      <c r="A20" s="5" t="s">
        <v>698</v>
      </c>
      <c r="B20" s="5" t="s">
        <v>699</v>
      </c>
      <c r="C20" s="5" t="s">
        <v>700</v>
      </c>
      <c r="D20" s="25"/>
      <c r="E20" s="17"/>
      <c r="F20" s="5" t="s">
        <v>701</v>
      </c>
      <c r="G20" s="5" t="s">
        <v>702</v>
      </c>
      <c r="H20" s="5" t="s">
        <v>637</v>
      </c>
      <c r="I20" s="5" t="s">
        <v>638</v>
      </c>
    </row>
  </sheetData>
  <mergeCells count="2">
    <mergeCell ref="A1:I2"/>
    <mergeCell ref="A3:I3"/>
  </mergeCells>
  <phoneticPr fontId="3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28" customWidth="1"/>
    <col min="3" max="4" width="90" customWidth="1"/>
    <col min="5" max="5" width="30" customWidth="1"/>
  </cols>
  <sheetData>
    <row r="1" spans="1:5" ht="30" customHeight="1">
      <c r="A1" s="128" t="s">
        <v>703</v>
      </c>
      <c r="B1" s="128"/>
      <c r="C1" s="128"/>
      <c r="D1" s="128"/>
      <c r="E1" s="128"/>
    </row>
    <row r="2" spans="1:5" ht="30" customHeight="1">
      <c r="A2" s="128"/>
      <c r="B2" s="128"/>
      <c r="C2" s="128"/>
      <c r="D2" s="128"/>
      <c r="E2" s="128"/>
    </row>
    <row r="3" spans="1:5" ht="43.95" customHeight="1">
      <c r="A3" s="129" t="s">
        <v>704</v>
      </c>
      <c r="B3" s="130"/>
      <c r="C3" s="130"/>
      <c r="D3" s="130"/>
      <c r="E3" s="130"/>
    </row>
    <row r="4" spans="1:5" ht="30" customHeight="1">
      <c r="A4" s="1"/>
      <c r="B4" s="1"/>
      <c r="C4" s="1"/>
      <c r="D4" s="1"/>
      <c r="E4" s="1"/>
    </row>
    <row r="5" spans="1:5" ht="42" customHeight="1">
      <c r="A5" s="4" t="s">
        <v>705</v>
      </c>
      <c r="B5" s="4" t="s">
        <v>2</v>
      </c>
      <c r="C5" s="4" t="s">
        <v>706</v>
      </c>
      <c r="D5" s="4" t="s">
        <v>707</v>
      </c>
      <c r="E5" s="4" t="s">
        <v>152</v>
      </c>
    </row>
    <row r="6" spans="1:5" ht="30" customHeight="1">
      <c r="A6" s="5" t="s">
        <v>708</v>
      </c>
      <c r="B6" s="5" t="s">
        <v>709</v>
      </c>
      <c r="C6" s="5" t="s">
        <v>710</v>
      </c>
      <c r="D6" s="5" t="s">
        <v>711</v>
      </c>
      <c r="E6" s="5" t="s">
        <v>712</v>
      </c>
    </row>
    <row r="7" spans="1:5" ht="30" customHeight="1">
      <c r="A7" s="1" t="s">
        <v>713</v>
      </c>
      <c r="B7" s="1" t="s">
        <v>714</v>
      </c>
      <c r="C7" s="1" t="s">
        <v>710</v>
      </c>
      <c r="D7" s="1" t="s">
        <v>715</v>
      </c>
      <c r="E7" s="1" t="s">
        <v>712</v>
      </c>
    </row>
    <row r="8" spans="1:5" ht="30" customHeight="1">
      <c r="A8" s="5" t="s">
        <v>716</v>
      </c>
      <c r="B8" s="5" t="s">
        <v>717</v>
      </c>
      <c r="C8" s="5" t="s">
        <v>710</v>
      </c>
      <c r="D8" s="5" t="s">
        <v>718</v>
      </c>
      <c r="E8" s="5" t="s">
        <v>712</v>
      </c>
    </row>
    <row r="9" spans="1:5" ht="30" customHeight="1">
      <c r="A9" s="1" t="s">
        <v>719</v>
      </c>
      <c r="B9" s="1" t="s">
        <v>720</v>
      </c>
      <c r="C9" s="1" t="s">
        <v>721</v>
      </c>
      <c r="D9" s="1" t="s">
        <v>722</v>
      </c>
      <c r="E9" s="1" t="s">
        <v>723</v>
      </c>
    </row>
    <row r="10" spans="1:5" ht="30" customHeight="1">
      <c r="A10" s="5" t="s">
        <v>724</v>
      </c>
      <c r="B10" s="5" t="s">
        <v>725</v>
      </c>
      <c r="C10" s="5" t="s">
        <v>726</v>
      </c>
      <c r="D10" s="5" t="s">
        <v>727</v>
      </c>
      <c r="E10" s="5" t="s">
        <v>723</v>
      </c>
    </row>
    <row r="11" spans="1:5" ht="30" customHeight="1">
      <c r="A11" s="1" t="s">
        <v>728</v>
      </c>
      <c r="B11" s="1" t="s">
        <v>729</v>
      </c>
      <c r="C11" s="1" t="s">
        <v>710</v>
      </c>
      <c r="D11" s="1" t="s">
        <v>730</v>
      </c>
      <c r="E11" s="1" t="s">
        <v>712</v>
      </c>
    </row>
    <row r="12" spans="1:5" ht="30" customHeight="1">
      <c r="A12" s="5" t="s">
        <v>731</v>
      </c>
      <c r="B12" s="5" t="s">
        <v>732</v>
      </c>
      <c r="C12" s="5" t="s">
        <v>710</v>
      </c>
      <c r="D12" s="5" t="s">
        <v>733</v>
      </c>
      <c r="E12" s="5" t="s">
        <v>712</v>
      </c>
    </row>
    <row r="13" spans="1:5" ht="30" customHeight="1">
      <c r="A13" s="1" t="s">
        <v>734</v>
      </c>
      <c r="B13" s="1" t="s">
        <v>735</v>
      </c>
      <c r="C13" s="1" t="s">
        <v>736</v>
      </c>
      <c r="D13" s="1" t="s">
        <v>737</v>
      </c>
      <c r="E13" s="1" t="s">
        <v>712</v>
      </c>
    </row>
    <row r="14" spans="1:5" ht="30" customHeight="1">
      <c r="A14" s="5" t="s">
        <v>738</v>
      </c>
      <c r="B14" s="5" t="s">
        <v>739</v>
      </c>
      <c r="C14" s="5" t="s">
        <v>710</v>
      </c>
      <c r="D14" s="5" t="s">
        <v>740</v>
      </c>
      <c r="E14" s="5" t="s">
        <v>712</v>
      </c>
    </row>
    <row r="15" spans="1:5" ht="30" customHeight="1">
      <c r="A15" s="1" t="s">
        <v>741</v>
      </c>
      <c r="B15" s="1" t="s">
        <v>742</v>
      </c>
      <c r="C15" s="1" t="s">
        <v>710</v>
      </c>
      <c r="D15" s="1" t="s">
        <v>743</v>
      </c>
      <c r="E15" s="1" t="s">
        <v>712</v>
      </c>
    </row>
  </sheetData>
  <mergeCells count="2">
    <mergeCell ref="A1:E2"/>
    <mergeCell ref="A3:E3"/>
  </mergeCells>
  <phoneticPr fontId="3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48" customWidth="1"/>
    <col min="3" max="3" width="115" customWidth="1"/>
    <col min="4" max="4" width="70" customWidth="1"/>
  </cols>
  <sheetData>
    <row r="1" spans="1:4" ht="30" customHeight="1">
      <c r="A1" s="128" t="s">
        <v>744</v>
      </c>
      <c r="B1" s="128"/>
      <c r="C1" s="128"/>
      <c r="D1" s="128"/>
    </row>
    <row r="2" spans="1:4" ht="30" customHeight="1">
      <c r="A2" s="128"/>
      <c r="B2" s="128"/>
      <c r="C2" s="128"/>
      <c r="D2" s="128"/>
    </row>
    <row r="3" spans="1:4" ht="43.95" customHeight="1">
      <c r="A3" s="129" t="s">
        <v>745</v>
      </c>
      <c r="B3" s="130"/>
      <c r="C3" s="130"/>
      <c r="D3" s="130"/>
    </row>
    <row r="4" spans="1:4" ht="30" customHeight="1">
      <c r="A4" s="1"/>
      <c r="B4" s="1"/>
      <c r="C4" s="1"/>
      <c r="D4" s="1"/>
    </row>
    <row r="5" spans="1:4" ht="42" customHeight="1">
      <c r="A5" s="4" t="s">
        <v>746</v>
      </c>
      <c r="B5" s="4" t="s">
        <v>747</v>
      </c>
      <c r="C5" s="4" t="s">
        <v>748</v>
      </c>
      <c r="D5" s="4" t="s">
        <v>749</v>
      </c>
    </row>
    <row r="6" spans="1:4" ht="30" customHeight="1">
      <c r="A6" s="5" t="s">
        <v>750</v>
      </c>
      <c r="B6" s="5" t="s">
        <v>751</v>
      </c>
      <c r="C6" s="5" t="s">
        <v>752</v>
      </c>
      <c r="D6" s="5" t="s">
        <v>753</v>
      </c>
    </row>
    <row r="7" spans="1:4" ht="30" customHeight="1">
      <c r="A7" s="1" t="s">
        <v>754</v>
      </c>
      <c r="B7" s="1" t="s">
        <v>755</v>
      </c>
      <c r="C7" s="1" t="s">
        <v>756</v>
      </c>
      <c r="D7" s="1" t="s">
        <v>757</v>
      </c>
    </row>
    <row r="8" spans="1:4" ht="30" customHeight="1">
      <c r="A8" s="5" t="s">
        <v>758</v>
      </c>
      <c r="B8" s="5" t="s">
        <v>759</v>
      </c>
      <c r="C8" s="5" t="s">
        <v>760</v>
      </c>
      <c r="D8" s="5" t="s">
        <v>761</v>
      </c>
    </row>
    <row r="9" spans="1:4" ht="30" customHeight="1">
      <c r="A9" s="1" t="s">
        <v>762</v>
      </c>
      <c r="B9" s="1" t="s">
        <v>763</v>
      </c>
      <c r="C9" s="1" t="s">
        <v>764</v>
      </c>
      <c r="D9" s="1" t="s">
        <v>765</v>
      </c>
    </row>
    <row r="10" spans="1:4" ht="30" customHeight="1">
      <c r="A10" s="5" t="s">
        <v>766</v>
      </c>
      <c r="B10" s="5" t="s">
        <v>767</v>
      </c>
      <c r="C10" s="5" t="s">
        <v>768</v>
      </c>
      <c r="D10" s="5" t="s">
        <v>769</v>
      </c>
    </row>
    <row r="11" spans="1:4" ht="30" customHeight="1">
      <c r="A11" s="1" t="s">
        <v>770</v>
      </c>
      <c r="B11" s="1" t="s">
        <v>771</v>
      </c>
      <c r="C11" s="1" t="s">
        <v>772</v>
      </c>
      <c r="D11" s="1" t="s">
        <v>773</v>
      </c>
    </row>
    <row r="12" spans="1:4" ht="30" customHeight="1">
      <c r="A12" s="5" t="s">
        <v>774</v>
      </c>
      <c r="B12" s="5" t="s">
        <v>775</v>
      </c>
      <c r="C12" s="5" t="s">
        <v>776</v>
      </c>
      <c r="D12" s="5" t="s">
        <v>777</v>
      </c>
    </row>
    <row r="13" spans="1:4" ht="30" customHeight="1">
      <c r="A13" s="1" t="s">
        <v>778</v>
      </c>
      <c r="B13" s="1" t="s">
        <v>779</v>
      </c>
      <c r="C13" s="1" t="s">
        <v>780</v>
      </c>
      <c r="D13" s="1" t="s">
        <v>781</v>
      </c>
    </row>
    <row r="14" spans="1:4" ht="30" customHeight="1">
      <c r="A14" s="5" t="s">
        <v>782</v>
      </c>
      <c r="B14" s="5" t="s">
        <v>783</v>
      </c>
      <c r="C14" s="5" t="s">
        <v>784</v>
      </c>
      <c r="D14" s="5" t="s">
        <v>785</v>
      </c>
    </row>
    <row r="15" spans="1:4" ht="30" customHeight="1">
      <c r="A15" s="1" t="s">
        <v>786</v>
      </c>
      <c r="B15" s="1" t="s">
        <v>787</v>
      </c>
      <c r="C15" s="1" t="s">
        <v>788</v>
      </c>
      <c r="D15" s="1" t="s">
        <v>789</v>
      </c>
    </row>
    <row r="16" spans="1:4" ht="30" customHeight="1">
      <c r="A16" s="5" t="s">
        <v>790</v>
      </c>
      <c r="B16" s="5" t="s">
        <v>791</v>
      </c>
      <c r="C16" s="5" t="s">
        <v>792</v>
      </c>
      <c r="D16" s="5" t="s">
        <v>793</v>
      </c>
    </row>
    <row r="17" spans="1:4" ht="40.049999999999997" customHeight="1">
      <c r="A17" s="1" t="s">
        <v>794</v>
      </c>
      <c r="B17" s="1" t="s">
        <v>795</v>
      </c>
      <c r="C17" s="1" t="s">
        <v>796</v>
      </c>
      <c r="D17" s="1" t="s">
        <v>797</v>
      </c>
    </row>
    <row r="18" spans="1:4" ht="30" customHeight="1">
      <c r="A18" s="5" t="s">
        <v>798</v>
      </c>
      <c r="B18" s="5" t="s">
        <v>799</v>
      </c>
      <c r="C18" s="5" t="s">
        <v>800</v>
      </c>
      <c r="D18" s="5" t="s">
        <v>801</v>
      </c>
    </row>
    <row r="19" spans="1:4" ht="40.049999999999997" customHeight="1">
      <c r="A19" s="1" t="s">
        <v>802</v>
      </c>
      <c r="B19" s="1" t="s">
        <v>803</v>
      </c>
      <c r="C19" s="1" t="s">
        <v>804</v>
      </c>
      <c r="D19" s="1" t="s">
        <v>805</v>
      </c>
    </row>
    <row r="20" spans="1:4" ht="30" customHeight="1">
      <c r="A20" s="5" t="s">
        <v>806</v>
      </c>
      <c r="B20" s="5" t="s">
        <v>807</v>
      </c>
      <c r="C20" s="5" t="s">
        <v>808</v>
      </c>
      <c r="D20" s="5" t="s">
        <v>809</v>
      </c>
    </row>
    <row r="21" spans="1:4" ht="40.049999999999997" customHeight="1">
      <c r="A21" s="1" t="s">
        <v>810</v>
      </c>
      <c r="B21" s="1" t="s">
        <v>811</v>
      </c>
      <c r="C21" s="1" t="s">
        <v>812</v>
      </c>
      <c r="D21" s="1" t="s">
        <v>813</v>
      </c>
    </row>
    <row r="22" spans="1:4" ht="30" customHeight="1">
      <c r="A22" s="5" t="s">
        <v>814</v>
      </c>
      <c r="B22" s="5" t="s">
        <v>815</v>
      </c>
      <c r="C22" s="5" t="s">
        <v>816</v>
      </c>
      <c r="D22" s="5" t="s">
        <v>817</v>
      </c>
    </row>
    <row r="23" spans="1:4" ht="30" customHeight="1">
      <c r="A23" s="1" t="s">
        <v>818</v>
      </c>
      <c r="B23" s="1" t="s">
        <v>819</v>
      </c>
      <c r="C23" s="1" t="s">
        <v>820</v>
      </c>
      <c r="D23" s="1" t="s">
        <v>821</v>
      </c>
    </row>
    <row r="24" spans="1:4" ht="30" customHeight="1">
      <c r="A24" s="5" t="s">
        <v>822</v>
      </c>
      <c r="B24" s="5" t="s">
        <v>823</v>
      </c>
      <c r="C24" s="5" t="s">
        <v>824</v>
      </c>
      <c r="D24" s="5" t="s">
        <v>825</v>
      </c>
    </row>
    <row r="25" spans="1:4" ht="30" customHeight="1">
      <c r="A25" s="1" t="s">
        <v>826</v>
      </c>
      <c r="B25" s="1" t="s">
        <v>827</v>
      </c>
      <c r="C25" s="1" t="s">
        <v>828</v>
      </c>
      <c r="D25" s="1" t="s">
        <v>829</v>
      </c>
    </row>
  </sheetData>
  <mergeCells count="2">
    <mergeCell ref="A1:D2"/>
    <mergeCell ref="A3:D3"/>
  </mergeCells>
  <phoneticPr fontId="3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48" customWidth="1"/>
    <col min="3" max="5" width="25" customWidth="1"/>
    <col min="6" max="6" width="22" customWidth="1"/>
  </cols>
  <sheetData>
    <row r="1" spans="1:6" ht="30" customHeight="1">
      <c r="A1" s="128" t="s">
        <v>830</v>
      </c>
      <c r="B1" s="128"/>
      <c r="C1" s="128"/>
      <c r="D1" s="128"/>
      <c r="E1" s="128"/>
      <c r="F1" s="128"/>
    </row>
    <row r="2" spans="1:6" ht="30" customHeight="1">
      <c r="A2" s="128"/>
      <c r="B2" s="128"/>
      <c r="C2" s="128"/>
      <c r="D2" s="128"/>
      <c r="E2" s="128"/>
      <c r="F2" s="128"/>
    </row>
    <row r="3" spans="1:6" ht="43.95" customHeight="1">
      <c r="A3" s="129" t="s">
        <v>831</v>
      </c>
      <c r="B3" s="130"/>
      <c r="C3" s="130"/>
      <c r="D3" s="130"/>
      <c r="E3" s="130"/>
      <c r="F3" s="130"/>
    </row>
    <row r="4" spans="1:6" ht="30" customHeight="1">
      <c r="A4" s="1"/>
      <c r="B4" s="1"/>
      <c r="C4" s="1"/>
      <c r="D4" s="1"/>
      <c r="E4" s="1"/>
      <c r="F4" s="1"/>
    </row>
    <row r="5" spans="1:6" ht="42" customHeight="1">
      <c r="A5" s="4" t="s">
        <v>705</v>
      </c>
      <c r="B5" s="4" t="s">
        <v>832</v>
      </c>
      <c r="C5" s="4" t="s">
        <v>833</v>
      </c>
      <c r="D5" s="4" t="s">
        <v>834</v>
      </c>
      <c r="E5" s="4" t="s">
        <v>835</v>
      </c>
      <c r="F5" s="4" t="s">
        <v>836</v>
      </c>
    </row>
    <row r="6" spans="1:6" ht="30" customHeight="1">
      <c r="A6" s="5" t="s">
        <v>837</v>
      </c>
      <c r="B6" s="5" t="s">
        <v>838</v>
      </c>
      <c r="C6" s="15">
        <v>3323351000</v>
      </c>
      <c r="D6" s="19">
        <f>통합손익!G21</f>
        <v>3323351000</v>
      </c>
      <c r="E6" s="17">
        <f t="shared" ref="E6:E22" si="0">D6-C6</f>
        <v>0</v>
      </c>
      <c r="F6" s="5" t="str">
        <f t="shared" ref="F6:F22" si="1">IF(E6=0,"일치","확인 필요")</f>
        <v>일치</v>
      </c>
    </row>
    <row r="7" spans="1:6" ht="30" customHeight="1">
      <c r="A7" s="1" t="s">
        <v>839</v>
      </c>
      <c r="B7" s="1" t="s">
        <v>840</v>
      </c>
      <c r="C7" s="16">
        <v>3309351000</v>
      </c>
      <c r="D7" s="20">
        <f>통합손익!H21</f>
        <v>3309351000</v>
      </c>
      <c r="E7" s="18">
        <f t="shared" si="0"/>
        <v>0</v>
      </c>
      <c r="F7" s="1" t="str">
        <f t="shared" si="1"/>
        <v>일치</v>
      </c>
    </row>
    <row r="8" spans="1:6" ht="30" customHeight="1">
      <c r="A8" s="5" t="s">
        <v>841</v>
      </c>
      <c r="B8" s="5" t="s">
        <v>842</v>
      </c>
      <c r="C8" s="15">
        <v>-14000000</v>
      </c>
      <c r="D8" s="19">
        <f>통합손익!I21</f>
        <v>-14000000</v>
      </c>
      <c r="E8" s="17">
        <f t="shared" si="0"/>
        <v>0</v>
      </c>
      <c r="F8" s="5" t="str">
        <f t="shared" si="1"/>
        <v>일치</v>
      </c>
    </row>
    <row r="9" spans="1:6" ht="30" customHeight="1">
      <c r="A9" s="1" t="s">
        <v>843</v>
      </c>
      <c r="B9" s="1" t="s">
        <v>844</v>
      </c>
      <c r="C9" s="16">
        <v>3477290000</v>
      </c>
      <c r="D9" s="20">
        <f>통합손익!M21</f>
        <v>3477290000</v>
      </c>
      <c r="E9" s="18">
        <f t="shared" si="0"/>
        <v>0</v>
      </c>
      <c r="F9" s="1" t="str">
        <f t="shared" si="1"/>
        <v>일치</v>
      </c>
    </row>
    <row r="10" spans="1:6" ht="30" customHeight="1">
      <c r="A10" s="5" t="s">
        <v>845</v>
      </c>
      <c r="B10" s="5" t="s">
        <v>846</v>
      </c>
      <c r="C10" s="15">
        <v>60</v>
      </c>
      <c r="D10" s="19">
        <f>SUMPRODUCT(월별계산!N6:N100,월별계산!U6:U100)</f>
        <v>60</v>
      </c>
      <c r="E10" s="17">
        <f t="shared" si="0"/>
        <v>0</v>
      </c>
      <c r="F10" s="5" t="str">
        <f t="shared" si="1"/>
        <v>일치</v>
      </c>
    </row>
    <row r="11" spans="1:6" ht="30" customHeight="1">
      <c r="A11" s="1" t="s">
        <v>847</v>
      </c>
      <c r="B11" s="1" t="s">
        <v>848</v>
      </c>
      <c r="C11" s="16">
        <v>60</v>
      </c>
      <c r="D11" s="20">
        <f>SUM(월별계산!N6:N100)</f>
        <v>60</v>
      </c>
      <c r="E11" s="18">
        <f t="shared" si="0"/>
        <v>0</v>
      </c>
      <c r="F11" s="1" t="str">
        <f t="shared" si="1"/>
        <v>일치</v>
      </c>
    </row>
    <row r="12" spans="1:6" ht="30" customHeight="1">
      <c r="A12" s="5" t="s">
        <v>849</v>
      </c>
      <c r="B12" s="5" t="s">
        <v>850</v>
      </c>
      <c r="C12" s="15">
        <v>0</v>
      </c>
      <c r="D12" s="19">
        <f>SUM(통합손익!O6:O22)</f>
        <v>0</v>
      </c>
      <c r="E12" s="17">
        <f t="shared" si="0"/>
        <v>0</v>
      </c>
      <c r="F12" s="5" t="str">
        <f t="shared" si="1"/>
        <v>일치</v>
      </c>
    </row>
    <row r="13" spans="1:6" ht="30" customHeight="1">
      <c r="A13" s="1" t="s">
        <v>851</v>
      </c>
      <c r="B13" s="1" t="s">
        <v>852</v>
      </c>
      <c r="C13" s="16">
        <v>0</v>
      </c>
      <c r="D13" s="20">
        <f>SUM(통합손익!D28:D30)</f>
        <v>0</v>
      </c>
      <c r="E13" s="18">
        <f t="shared" si="0"/>
        <v>0</v>
      </c>
      <c r="F13" s="1" t="str">
        <f t="shared" si="1"/>
        <v>일치</v>
      </c>
    </row>
    <row r="14" spans="1:6" ht="30" customHeight="1">
      <c r="A14" s="5" t="s">
        <v>853</v>
      </c>
      <c r="B14" s="5" t="s">
        <v>854</v>
      </c>
      <c r="C14" s="15">
        <v>0</v>
      </c>
      <c r="D14" s="19">
        <f>COUNTIFS(부품모델매핑!G6:G10,"&lt;0")</f>
        <v>0</v>
      </c>
      <c r="E14" s="17">
        <f t="shared" si="0"/>
        <v>0</v>
      </c>
      <c r="F14" s="5" t="str">
        <f t="shared" si="1"/>
        <v>일치</v>
      </c>
    </row>
    <row r="15" spans="1:6" ht="30" customHeight="1">
      <c r="A15" s="1" t="s">
        <v>855</v>
      </c>
      <c r="B15" s="1" t="s">
        <v>856</v>
      </c>
      <c r="C15" s="16">
        <v>1</v>
      </c>
      <c r="D15" s="20">
        <f>IF(단가안비교!I8&gt;=설정!B12,1,0)</f>
        <v>1</v>
      </c>
      <c r="E15" s="18">
        <f t="shared" si="0"/>
        <v>0</v>
      </c>
      <c r="F15" s="1" t="str">
        <f t="shared" si="1"/>
        <v>일치</v>
      </c>
    </row>
    <row r="16" spans="1:6" ht="30" customHeight="1">
      <c r="A16" s="5" t="s">
        <v>857</v>
      </c>
      <c r="B16" s="5" t="s">
        <v>858</v>
      </c>
      <c r="C16" s="15">
        <v>1</v>
      </c>
      <c r="D16" s="19">
        <f>IF(단가안비교!N8&gt;0,1,0)</f>
        <v>1</v>
      </c>
      <c r="E16" s="17">
        <f t="shared" si="0"/>
        <v>0</v>
      </c>
      <c r="F16" s="5" t="str">
        <f t="shared" si="1"/>
        <v>일치</v>
      </c>
    </row>
    <row r="17" spans="1:6" ht="30" customHeight="1">
      <c r="A17" s="1" t="s">
        <v>859</v>
      </c>
      <c r="B17" s="1" t="s">
        <v>860</v>
      </c>
      <c r="C17" s="16">
        <v>1</v>
      </c>
      <c r="D17" s="20">
        <f>IF(단가안비교!I8&gt;0,1,0)</f>
        <v>1</v>
      </c>
      <c r="E17" s="18">
        <f t="shared" si="0"/>
        <v>0</v>
      </c>
      <c r="F17" s="1" t="str">
        <f t="shared" si="1"/>
        <v>일치</v>
      </c>
    </row>
    <row r="18" spans="1:6" ht="30" customHeight="1">
      <c r="A18" s="5" t="s">
        <v>861</v>
      </c>
      <c r="B18" s="5" t="s">
        <v>862</v>
      </c>
      <c r="C18" s="15">
        <v>0</v>
      </c>
      <c r="D18" s="19">
        <f>설정!B17-설정!B16</f>
        <v>0</v>
      </c>
      <c r="E18" s="17">
        <f t="shared" si="0"/>
        <v>0</v>
      </c>
      <c r="F18" s="5" t="str">
        <f t="shared" si="1"/>
        <v>일치</v>
      </c>
    </row>
    <row r="19" spans="1:6" ht="30" customHeight="1">
      <c r="A19" s="1" t="s">
        <v>863</v>
      </c>
      <c r="B19" s="1" t="s">
        <v>864</v>
      </c>
      <c r="C19" s="16">
        <v>0</v>
      </c>
      <c r="D19" s="20">
        <f>단가안비교!H10+통합손익!J21</f>
        <v>0</v>
      </c>
      <c r="E19" s="18">
        <f t="shared" si="0"/>
        <v>0</v>
      </c>
      <c r="F19" s="1" t="str">
        <f t="shared" si="1"/>
        <v>일치</v>
      </c>
    </row>
    <row r="20" spans="1:6" ht="30" customHeight="1">
      <c r="A20" s="5" t="s">
        <v>865</v>
      </c>
      <c r="B20" s="5" t="s">
        <v>866</v>
      </c>
      <c r="C20" s="15">
        <v>0</v>
      </c>
      <c r="D20" s="19">
        <f>단가안비교!I10+통합손익!J22</f>
        <v>0</v>
      </c>
      <c r="E20" s="17">
        <f t="shared" si="0"/>
        <v>0</v>
      </c>
      <c r="F20" s="5" t="str">
        <f t="shared" si="1"/>
        <v>일치</v>
      </c>
    </row>
    <row r="21" spans="1:6" ht="30" customHeight="1">
      <c r="A21" s="1" t="s">
        <v>867</v>
      </c>
      <c r="B21" s="1" t="s">
        <v>868</v>
      </c>
      <c r="C21" s="16">
        <v>149280</v>
      </c>
      <c r="D21" s="20">
        <f>SUM(물량원가기준!K6:K65)</f>
        <v>149280</v>
      </c>
      <c r="E21" s="18">
        <f t="shared" si="0"/>
        <v>0</v>
      </c>
      <c r="F21" s="1" t="str">
        <f t="shared" si="1"/>
        <v>일치</v>
      </c>
    </row>
    <row r="22" spans="1:6" ht="30" customHeight="1">
      <c r="A22" s="5" t="s">
        <v>869</v>
      </c>
      <c r="B22" s="5" t="s">
        <v>870</v>
      </c>
      <c r="C22" s="15">
        <v>95</v>
      </c>
      <c r="D22" s="19">
        <f>SUM(월별계산!U6:U100)</f>
        <v>95</v>
      </c>
      <c r="E22" s="17">
        <f t="shared" si="0"/>
        <v>0</v>
      </c>
      <c r="F22" s="5" t="str">
        <f t="shared" si="1"/>
        <v>일치</v>
      </c>
    </row>
  </sheetData>
  <mergeCells count="2">
    <mergeCell ref="A1:F2"/>
    <mergeCell ref="A3:F3"/>
  </mergeCells>
  <phoneticPr fontId="30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87E8B"/>
  </sheetPr>
  <dimension ref="A1:D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2" customWidth="1"/>
    <col min="2" max="2" width="59" customWidth="1"/>
    <col min="3" max="3" width="34" customWidth="1"/>
    <col min="4" max="4" width="95" customWidth="1"/>
  </cols>
  <sheetData>
    <row r="1" spans="1:4">
      <c r="A1" s="131" t="s">
        <v>871</v>
      </c>
      <c r="B1" s="132"/>
      <c r="C1" s="132"/>
      <c r="D1" s="132"/>
    </row>
    <row r="2" spans="1:4">
      <c r="A2" s="132"/>
      <c r="B2" s="132"/>
      <c r="C2" s="132"/>
      <c r="D2" s="132"/>
    </row>
    <row r="3" spans="1:4">
      <c r="A3" s="133" t="s">
        <v>872</v>
      </c>
      <c r="B3" s="133"/>
      <c r="C3" s="133"/>
      <c r="D3" s="133"/>
    </row>
    <row r="4" spans="1:4">
      <c r="A4" s="34"/>
      <c r="B4" s="34"/>
      <c r="C4" s="34"/>
      <c r="D4" s="34"/>
    </row>
    <row r="5" spans="1:4" ht="34.950000000000003" customHeight="1">
      <c r="A5" s="35" t="s">
        <v>2</v>
      </c>
      <c r="B5" s="35" t="s">
        <v>3</v>
      </c>
      <c r="C5" s="35" t="s">
        <v>4</v>
      </c>
      <c r="D5" s="35" t="s">
        <v>873</v>
      </c>
    </row>
    <row r="6" spans="1:4" ht="79.95" customHeight="1">
      <c r="A6" s="36" t="s">
        <v>6</v>
      </c>
      <c r="B6" s="36" t="s">
        <v>874</v>
      </c>
      <c r="C6" s="36" t="s">
        <v>875</v>
      </c>
      <c r="D6" s="36" t="s">
        <v>876</v>
      </c>
    </row>
    <row r="7" spans="1:4" ht="79.95" customHeight="1">
      <c r="A7" s="37" t="s">
        <v>877</v>
      </c>
      <c r="B7" s="37" t="s">
        <v>878</v>
      </c>
      <c r="C7" s="37" t="s">
        <v>879</v>
      </c>
      <c r="D7" s="37" t="s">
        <v>880</v>
      </c>
    </row>
    <row r="8" spans="1:4" ht="79.95" customHeight="1">
      <c r="A8" s="36" t="s">
        <v>881</v>
      </c>
      <c r="B8" s="42">
        <f>통합손익!K21</f>
        <v>3299986680</v>
      </c>
      <c r="C8" s="36" t="s">
        <v>11</v>
      </c>
      <c r="D8" s="36" t="s">
        <v>882</v>
      </c>
    </row>
    <row r="9" spans="1:4" ht="79.95" customHeight="1">
      <c r="A9" s="37" t="s">
        <v>883</v>
      </c>
      <c r="B9" s="43">
        <f>통합손익!N21</f>
        <v>177303320</v>
      </c>
      <c r="C9" s="37" t="s">
        <v>11</v>
      </c>
      <c r="D9" s="37" t="s">
        <v>884</v>
      </c>
    </row>
    <row r="10" spans="1:4" ht="79.95" customHeight="1">
      <c r="A10" s="36" t="s">
        <v>885</v>
      </c>
      <c r="B10" s="42">
        <f>통합손익!M21-통합손익!G21</f>
        <v>153939000</v>
      </c>
      <c r="C10" s="36" t="s">
        <v>11</v>
      </c>
      <c r="D10" s="36" t="s">
        <v>886</v>
      </c>
    </row>
    <row r="11" spans="1:4" ht="79.95" customHeight="1">
      <c r="A11" s="37" t="s">
        <v>887</v>
      </c>
      <c r="B11" s="43">
        <f>통합손익!L21</f>
        <v>-23364320</v>
      </c>
      <c r="C11" s="37" t="s">
        <v>11</v>
      </c>
      <c r="D11" s="37" t="s">
        <v>888</v>
      </c>
    </row>
    <row r="12" spans="1:4" ht="79.95" customHeight="1">
      <c r="A12" s="36" t="s">
        <v>889</v>
      </c>
      <c r="B12" s="42">
        <f>COUNTA(SC03후보!A6:A11)</f>
        <v>6</v>
      </c>
      <c r="C12" s="36" t="s">
        <v>890</v>
      </c>
      <c r="D12" s="36" t="s">
        <v>891</v>
      </c>
    </row>
    <row r="13" spans="1:4" ht="79.95" customHeight="1">
      <c r="A13" s="37" t="s">
        <v>892</v>
      </c>
      <c r="B13" s="43">
        <f>COUNTIF(SC03후보!F6:F11,"INCLUDE")</f>
        <v>4</v>
      </c>
      <c r="C13" s="37" t="s">
        <v>890</v>
      </c>
      <c r="D13" s="37" t="s">
        <v>893</v>
      </c>
    </row>
    <row r="14" spans="1:4" ht="79.95" customHeight="1">
      <c r="A14" s="36" t="s">
        <v>894</v>
      </c>
      <c r="B14" s="42">
        <f>COUNTIF(SC03후보!F6:F11,"EXCLUDE_THIS_REVIEW")</f>
        <v>2</v>
      </c>
      <c r="C14" s="36" t="s">
        <v>890</v>
      </c>
      <c r="D14" s="36" t="s">
        <v>895</v>
      </c>
    </row>
    <row r="15" spans="1:4" ht="79.95" customHeight="1">
      <c r="A15" s="37" t="s">
        <v>896</v>
      </c>
      <c r="B15" s="43">
        <f>COUNTA(SC03과제!A6:A9)</f>
        <v>4</v>
      </c>
      <c r="C15" s="37" t="s">
        <v>890</v>
      </c>
      <c r="D15" s="37" t="s">
        <v>897</v>
      </c>
    </row>
    <row r="16" spans="1:4" ht="79.95" customHeight="1">
      <c r="A16" s="36" t="s">
        <v>898</v>
      </c>
      <c r="B16" s="42">
        <f>COUNTIF(SC03과제!L6:L9,"ACCEPTED")</f>
        <v>4</v>
      </c>
      <c r="C16" s="36" t="s">
        <v>890</v>
      </c>
      <c r="D16" s="36" t="s">
        <v>899</v>
      </c>
    </row>
    <row r="17" spans="1:4" ht="79.95" customHeight="1">
      <c r="A17" s="37" t="s">
        <v>900</v>
      </c>
      <c r="B17" s="44">
        <f>IF(B15=0,"N/A",B16/B15)</f>
        <v>1</v>
      </c>
      <c r="C17" s="37" t="s">
        <v>901</v>
      </c>
      <c r="D17" s="37" t="s">
        <v>902</v>
      </c>
    </row>
    <row r="18" spans="1:4" ht="79.95" customHeight="1">
      <c r="A18" s="36" t="s">
        <v>903</v>
      </c>
      <c r="B18" s="36" t="s">
        <v>904</v>
      </c>
      <c r="C18" s="36" t="s">
        <v>47</v>
      </c>
      <c r="D18" s="36" t="s">
        <v>905</v>
      </c>
    </row>
    <row r="19" spans="1:4" ht="79.95" customHeight="1">
      <c r="A19" s="37" t="s">
        <v>906</v>
      </c>
      <c r="B19" s="37" t="s">
        <v>907</v>
      </c>
      <c r="C19" s="37" t="s">
        <v>908</v>
      </c>
      <c r="D19" s="37" t="s">
        <v>909</v>
      </c>
    </row>
    <row r="20" spans="1:4" ht="79.95" customHeight="1">
      <c r="A20" s="36" t="s">
        <v>910</v>
      </c>
      <c r="B20" s="36" t="s">
        <v>911</v>
      </c>
      <c r="C20" s="36" t="s">
        <v>912</v>
      </c>
      <c r="D20" s="36" t="s">
        <v>913</v>
      </c>
    </row>
    <row r="21" spans="1:4" ht="79.95" customHeight="1">
      <c r="A21" s="37" t="s">
        <v>914</v>
      </c>
      <c r="B21" s="37" t="s">
        <v>915</v>
      </c>
      <c r="C21" s="37" t="s">
        <v>712</v>
      </c>
      <c r="D21" s="37" t="s">
        <v>916</v>
      </c>
    </row>
    <row r="22" spans="1:4" ht="79.95" customHeight="1">
      <c r="A22" s="36" t="s">
        <v>917</v>
      </c>
      <c r="B22" s="36" t="s">
        <v>918</v>
      </c>
      <c r="C22" s="36" t="s">
        <v>919</v>
      </c>
      <c r="D22" s="36" t="s">
        <v>920</v>
      </c>
    </row>
  </sheetData>
  <mergeCells count="2">
    <mergeCell ref="A1:D2"/>
    <mergeCell ref="A3:D3"/>
  </mergeCells>
  <phoneticPr fontId="3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87E8B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2" width="24" customWidth="1"/>
    <col min="3" max="3" width="39" customWidth="1"/>
    <col min="4" max="4" width="55" customWidth="1"/>
    <col min="5" max="5" width="25" customWidth="1"/>
    <col min="6" max="6" width="80" customWidth="1"/>
  </cols>
  <sheetData>
    <row r="1" spans="1:6">
      <c r="A1" s="131" t="s">
        <v>921</v>
      </c>
      <c r="B1" s="132"/>
      <c r="C1" s="132"/>
      <c r="D1" s="132"/>
      <c r="E1" s="132"/>
      <c r="F1" s="132"/>
    </row>
    <row r="2" spans="1:6">
      <c r="A2" s="132"/>
      <c r="B2" s="132"/>
      <c r="C2" s="132"/>
      <c r="D2" s="132"/>
      <c r="E2" s="132"/>
      <c r="F2" s="132"/>
    </row>
    <row r="3" spans="1:6">
      <c r="A3" s="133" t="s">
        <v>872</v>
      </c>
      <c r="B3" s="133"/>
      <c r="C3" s="133"/>
      <c r="D3" s="133"/>
      <c r="E3" s="133"/>
      <c r="F3" s="133"/>
    </row>
    <row r="4" spans="1:6">
      <c r="A4" s="34"/>
      <c r="B4" s="34"/>
      <c r="C4" s="34"/>
      <c r="D4" s="34"/>
      <c r="E4" s="34"/>
      <c r="F4" s="34"/>
    </row>
    <row r="5" spans="1:6" ht="34.950000000000003" customHeight="1">
      <c r="A5" s="35" t="s">
        <v>524</v>
      </c>
      <c r="B5" s="35" t="s">
        <v>922</v>
      </c>
      <c r="C5" s="35" t="s">
        <v>56</v>
      </c>
      <c r="D5" s="35" t="s">
        <v>216</v>
      </c>
      <c r="E5" s="35" t="s">
        <v>923</v>
      </c>
      <c r="F5" s="35" t="s">
        <v>924</v>
      </c>
    </row>
    <row r="6" spans="1:6" ht="79.95" customHeight="1">
      <c r="A6" s="36" t="s">
        <v>925</v>
      </c>
      <c r="B6" s="36" t="s">
        <v>593</v>
      </c>
      <c r="C6" s="36" t="s">
        <v>594</v>
      </c>
      <c r="D6" s="36" t="s">
        <v>926</v>
      </c>
      <c r="E6" s="38">
        <v>46562.416666666664</v>
      </c>
      <c r="F6" s="36" t="s">
        <v>927</v>
      </c>
    </row>
    <row r="7" spans="1:6" ht="79.95" customHeight="1">
      <c r="A7" s="37" t="s">
        <v>928</v>
      </c>
      <c r="B7" s="37" t="s">
        <v>590</v>
      </c>
      <c r="C7" s="37" t="s">
        <v>591</v>
      </c>
      <c r="D7" s="37" t="s">
        <v>929</v>
      </c>
      <c r="E7" s="39">
        <v>46569</v>
      </c>
      <c r="F7" s="37" t="s">
        <v>930</v>
      </c>
    </row>
    <row r="8" spans="1:6" ht="79.95" customHeight="1">
      <c r="A8" s="36" t="s">
        <v>931</v>
      </c>
      <c r="B8" s="36" t="s">
        <v>932</v>
      </c>
      <c r="C8" s="36" t="s">
        <v>933</v>
      </c>
      <c r="D8" s="36" t="s">
        <v>758</v>
      </c>
      <c r="E8" s="38">
        <v>46562.416666666664</v>
      </c>
      <c r="F8" s="36" t="s">
        <v>934</v>
      </c>
    </row>
    <row r="9" spans="1:6" ht="79.95" customHeight="1">
      <c r="A9" s="37" t="s">
        <v>935</v>
      </c>
      <c r="B9" s="37" t="s">
        <v>936</v>
      </c>
      <c r="C9" s="37" t="s">
        <v>577</v>
      </c>
      <c r="D9" s="37" t="s">
        <v>937</v>
      </c>
      <c r="E9" s="39">
        <v>46562.625</v>
      </c>
      <c r="F9" s="37" t="s">
        <v>938</v>
      </c>
    </row>
    <row r="10" spans="1:6" ht="79.95" customHeight="1">
      <c r="A10" s="36" t="s">
        <v>939</v>
      </c>
      <c r="B10" s="36" t="s">
        <v>940</v>
      </c>
      <c r="C10" s="36" t="s">
        <v>941</v>
      </c>
      <c r="D10" s="36" t="s">
        <v>935</v>
      </c>
      <c r="E10" s="38">
        <v>46562.631944444445</v>
      </c>
      <c r="F10" s="36" t="s">
        <v>942</v>
      </c>
    </row>
    <row r="11" spans="1:6" ht="79.95" customHeight="1">
      <c r="A11" s="37" t="s">
        <v>943</v>
      </c>
      <c r="B11" s="37" t="s">
        <v>940</v>
      </c>
      <c r="C11" s="37" t="s">
        <v>944</v>
      </c>
      <c r="D11" s="37" t="s">
        <v>935</v>
      </c>
      <c r="E11" s="39">
        <v>46567.375</v>
      </c>
      <c r="F11" s="37" t="s">
        <v>945</v>
      </c>
    </row>
    <row r="12" spans="1:6" ht="79.95" customHeight="1">
      <c r="A12" s="36" t="s">
        <v>946</v>
      </c>
      <c r="B12" s="36" t="s">
        <v>947</v>
      </c>
      <c r="C12" s="36" t="s">
        <v>948</v>
      </c>
      <c r="D12" s="36" t="s">
        <v>949</v>
      </c>
      <c r="E12" s="38">
        <v>46567.625</v>
      </c>
      <c r="F12" s="36" t="s">
        <v>950</v>
      </c>
    </row>
    <row r="13" spans="1:6" ht="79.95" customHeight="1">
      <c r="A13" s="37" t="s">
        <v>951</v>
      </c>
      <c r="B13" s="37" t="s">
        <v>526</v>
      </c>
      <c r="C13" s="37" t="s">
        <v>952</v>
      </c>
      <c r="D13" s="37" t="s">
        <v>953</v>
      </c>
      <c r="E13" s="39"/>
      <c r="F13" s="37" t="s">
        <v>954</v>
      </c>
    </row>
    <row r="14" spans="1:6" ht="79.95" customHeight="1">
      <c r="A14" s="36" t="s">
        <v>955</v>
      </c>
      <c r="B14" s="36" t="s">
        <v>526</v>
      </c>
      <c r="C14" s="36" t="s">
        <v>956</v>
      </c>
      <c r="D14" s="36" t="s">
        <v>957</v>
      </c>
      <c r="E14" s="38"/>
      <c r="F14" s="36" t="s">
        <v>958</v>
      </c>
    </row>
    <row r="15" spans="1:6" ht="79.95" customHeight="1">
      <c r="A15" s="37" t="s">
        <v>959</v>
      </c>
      <c r="B15" s="37" t="s">
        <v>526</v>
      </c>
      <c r="C15" s="37" t="s">
        <v>960</v>
      </c>
      <c r="D15" s="37" t="s">
        <v>961</v>
      </c>
      <c r="E15" s="39"/>
      <c r="F15" s="37" t="s">
        <v>962</v>
      </c>
    </row>
    <row r="16" spans="1:6" ht="79.95" customHeight="1">
      <c r="A16" s="36" t="s">
        <v>963</v>
      </c>
      <c r="B16" s="36" t="s">
        <v>526</v>
      </c>
      <c r="C16" s="36" t="s">
        <v>964</v>
      </c>
      <c r="D16" s="36" t="s">
        <v>965</v>
      </c>
      <c r="E16" s="38"/>
      <c r="F16" s="36" t="s">
        <v>966</v>
      </c>
    </row>
    <row r="17" spans="1:6" ht="79.95" customHeight="1">
      <c r="A17" s="37" t="s">
        <v>967</v>
      </c>
      <c r="B17" s="37" t="s">
        <v>526</v>
      </c>
      <c r="C17" s="37" t="s">
        <v>968</v>
      </c>
      <c r="D17" s="37" t="s">
        <v>969</v>
      </c>
      <c r="E17" s="39"/>
      <c r="F17" s="37" t="s">
        <v>970</v>
      </c>
    </row>
    <row r="18" spans="1:6" ht="79.95" customHeight="1">
      <c r="A18" s="36" t="s">
        <v>971</v>
      </c>
      <c r="B18" s="36" t="s">
        <v>526</v>
      </c>
      <c r="C18" s="36" t="s">
        <v>972</v>
      </c>
      <c r="D18" s="36" t="s">
        <v>973</v>
      </c>
      <c r="E18" s="38"/>
      <c r="F18" s="36" t="s">
        <v>974</v>
      </c>
    </row>
    <row r="19" spans="1:6" ht="79.95" customHeight="1">
      <c r="A19" s="37" t="s">
        <v>975</v>
      </c>
      <c r="B19" s="37" t="s">
        <v>526</v>
      </c>
      <c r="C19" s="37" t="s">
        <v>976</v>
      </c>
      <c r="D19" s="37" t="s">
        <v>977</v>
      </c>
      <c r="E19" s="39"/>
      <c r="F19" s="37" t="s">
        <v>978</v>
      </c>
    </row>
    <row r="20" spans="1:6" ht="79.95" customHeight="1">
      <c r="A20" s="36" t="s">
        <v>979</v>
      </c>
      <c r="B20" s="36" t="s">
        <v>526</v>
      </c>
      <c r="C20" s="36" t="s">
        <v>980</v>
      </c>
      <c r="D20" s="36" t="s">
        <v>556</v>
      </c>
      <c r="E20" s="38"/>
      <c r="F20" s="36" t="s">
        <v>981</v>
      </c>
    </row>
  </sheetData>
  <mergeCells count="2">
    <mergeCell ref="A1:F2"/>
    <mergeCell ref="A3:F3"/>
  </mergeCells>
  <phoneticPr fontId="30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87E8B"/>
  </sheetPr>
  <dimension ref="A1:I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7" customWidth="1"/>
    <col min="2" max="2" width="18" customWidth="1"/>
    <col min="3" max="3" width="29" customWidth="1"/>
    <col min="4" max="4" width="100" customWidth="1"/>
    <col min="5" max="5" width="65" customWidth="1"/>
    <col min="6" max="6" width="24" customWidth="1"/>
    <col min="7" max="7" width="26" customWidth="1"/>
    <col min="8" max="8" width="34" customWidth="1"/>
    <col min="9" max="9" width="30" customWidth="1"/>
  </cols>
  <sheetData>
    <row r="1" spans="1:9">
      <c r="A1" s="131" t="s">
        <v>982</v>
      </c>
      <c r="B1" s="132"/>
      <c r="C1" s="132"/>
      <c r="D1" s="132"/>
      <c r="E1" s="132"/>
      <c r="F1" s="132"/>
      <c r="G1" s="132"/>
      <c r="H1" s="132"/>
      <c r="I1" s="132"/>
    </row>
    <row r="2" spans="1:9">
      <c r="A2" s="132"/>
      <c r="B2" s="132"/>
      <c r="C2" s="132"/>
      <c r="D2" s="132"/>
      <c r="E2" s="132"/>
      <c r="F2" s="132"/>
      <c r="G2" s="132"/>
      <c r="H2" s="132"/>
      <c r="I2" s="132"/>
    </row>
    <row r="3" spans="1:9">
      <c r="A3" s="133" t="s">
        <v>872</v>
      </c>
      <c r="B3" s="133"/>
      <c r="C3" s="133"/>
      <c r="D3" s="133"/>
      <c r="E3" s="133"/>
      <c r="F3" s="133"/>
      <c r="G3" s="133"/>
      <c r="H3" s="133"/>
      <c r="I3" s="133"/>
    </row>
    <row r="4" spans="1:9">
      <c r="A4" s="34"/>
      <c r="B4" s="34"/>
      <c r="C4" s="34"/>
      <c r="D4" s="34"/>
      <c r="E4" s="34"/>
      <c r="F4" s="34"/>
      <c r="G4" s="34"/>
      <c r="H4" s="34"/>
      <c r="I4" s="34"/>
    </row>
    <row r="5" spans="1:9" ht="34.950000000000003" customHeight="1">
      <c r="A5" s="35" t="s">
        <v>983</v>
      </c>
      <c r="B5" s="35" t="s">
        <v>984</v>
      </c>
      <c r="C5" s="35" t="s">
        <v>985</v>
      </c>
      <c r="D5" s="35" t="s">
        <v>986</v>
      </c>
      <c r="E5" s="35" t="s">
        <v>987</v>
      </c>
      <c r="F5" s="35" t="s">
        <v>988</v>
      </c>
      <c r="G5" s="35" t="s">
        <v>989</v>
      </c>
      <c r="H5" s="35" t="s">
        <v>990</v>
      </c>
      <c r="I5" s="35" t="s">
        <v>991</v>
      </c>
    </row>
    <row r="6" spans="1:9" ht="79.95" customHeight="1">
      <c r="A6" s="36" t="s">
        <v>992</v>
      </c>
      <c r="B6" s="36" t="s">
        <v>993</v>
      </c>
      <c r="C6" s="36" t="s">
        <v>994</v>
      </c>
      <c r="D6" s="36" t="s">
        <v>995</v>
      </c>
      <c r="E6" s="36" t="s">
        <v>996</v>
      </c>
      <c r="F6" s="36" t="s">
        <v>967</v>
      </c>
      <c r="G6" s="38">
        <v>46563.458333333336</v>
      </c>
      <c r="H6" s="36" t="s">
        <v>948</v>
      </c>
      <c r="I6" s="36"/>
    </row>
    <row r="7" spans="1:9" ht="79.95" customHeight="1">
      <c r="A7" s="37" t="s">
        <v>997</v>
      </c>
      <c r="B7" s="37" t="s">
        <v>993</v>
      </c>
      <c r="C7" s="37" t="s">
        <v>998</v>
      </c>
      <c r="D7" s="37" t="s">
        <v>999</v>
      </c>
      <c r="E7" s="37" t="s">
        <v>1000</v>
      </c>
      <c r="F7" s="37" t="s">
        <v>967</v>
      </c>
      <c r="G7" s="39">
        <v>46563.461805555555</v>
      </c>
      <c r="H7" s="37" t="s">
        <v>1001</v>
      </c>
      <c r="I7" s="37"/>
    </row>
    <row r="8" spans="1:9" ht="79.95" customHeight="1">
      <c r="A8" s="36" t="s">
        <v>1002</v>
      </c>
      <c r="B8" s="36" t="s">
        <v>1003</v>
      </c>
      <c r="C8" s="36" t="s">
        <v>994</v>
      </c>
      <c r="D8" s="36" t="s">
        <v>1004</v>
      </c>
      <c r="E8" s="36" t="s">
        <v>1005</v>
      </c>
      <c r="F8" s="36" t="s">
        <v>963</v>
      </c>
      <c r="G8" s="38">
        <v>46563.625</v>
      </c>
      <c r="H8" s="36" t="s">
        <v>948</v>
      </c>
      <c r="I8" s="36"/>
    </row>
    <row r="9" spans="1:9" ht="79.95" customHeight="1">
      <c r="A9" s="37" t="s">
        <v>1006</v>
      </c>
      <c r="B9" s="37" t="s">
        <v>1003</v>
      </c>
      <c r="C9" s="37" t="s">
        <v>998</v>
      </c>
      <c r="D9" s="37" t="s">
        <v>1007</v>
      </c>
      <c r="E9" s="37" t="s">
        <v>1008</v>
      </c>
      <c r="F9" s="37" t="s">
        <v>963</v>
      </c>
      <c r="G9" s="39">
        <v>46563.62847221065</v>
      </c>
      <c r="H9" s="37" t="s">
        <v>1001</v>
      </c>
      <c r="I9" s="37"/>
    </row>
    <row r="10" spans="1:9" ht="79.95" customHeight="1">
      <c r="A10" s="36" t="s">
        <v>1009</v>
      </c>
      <c r="B10" s="36" t="s">
        <v>1010</v>
      </c>
      <c r="C10" s="36" t="s">
        <v>994</v>
      </c>
      <c r="D10" s="36" t="s">
        <v>1011</v>
      </c>
      <c r="E10" s="36" t="s">
        <v>1012</v>
      </c>
      <c r="F10" s="36" t="s">
        <v>959</v>
      </c>
      <c r="G10" s="38">
        <v>46566.416666666664</v>
      </c>
      <c r="H10" s="36" t="s">
        <v>948</v>
      </c>
      <c r="I10" s="36"/>
    </row>
    <row r="11" spans="1:9" ht="79.95" customHeight="1">
      <c r="A11" s="37" t="s">
        <v>1013</v>
      </c>
      <c r="B11" s="37" t="s">
        <v>1010</v>
      </c>
      <c r="C11" s="37" t="s">
        <v>1014</v>
      </c>
      <c r="D11" s="37" t="s">
        <v>1015</v>
      </c>
      <c r="E11" s="37" t="s">
        <v>1016</v>
      </c>
      <c r="F11" s="37" t="s">
        <v>959</v>
      </c>
      <c r="G11" s="39">
        <v>46566.423611111109</v>
      </c>
      <c r="H11" s="37" t="s">
        <v>1017</v>
      </c>
      <c r="I11" s="37" t="s">
        <v>1018</v>
      </c>
    </row>
    <row r="12" spans="1:9" ht="79.95" customHeight="1">
      <c r="A12" s="36" t="s">
        <v>1019</v>
      </c>
      <c r="B12" s="36" t="s">
        <v>385</v>
      </c>
      <c r="C12" s="36" t="s">
        <v>1014</v>
      </c>
      <c r="D12" s="36" t="s">
        <v>1020</v>
      </c>
      <c r="E12" s="36" t="s">
        <v>1021</v>
      </c>
      <c r="F12" s="36" t="s">
        <v>971</v>
      </c>
      <c r="G12" s="38">
        <v>46566.625</v>
      </c>
      <c r="H12" s="36" t="s">
        <v>1017</v>
      </c>
      <c r="I12" s="36" t="s">
        <v>1022</v>
      </c>
    </row>
  </sheetData>
  <mergeCells count="2">
    <mergeCell ref="A1:I2"/>
    <mergeCell ref="A3:I3"/>
  </mergeCells>
  <phoneticPr fontId="3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87E8B"/>
  </sheetPr>
  <dimension ref="A1:J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2" width="18" customWidth="1"/>
    <col min="3" max="3" width="75" customWidth="1"/>
    <col min="4" max="4" width="15" customWidth="1"/>
    <col min="5" max="5" width="25" customWidth="1"/>
    <col min="6" max="6" width="26" customWidth="1"/>
    <col min="7" max="7" width="24" customWidth="1"/>
    <col min="8" max="8" width="26" customWidth="1"/>
    <col min="9" max="9" width="100" customWidth="1"/>
    <col min="10" max="10" width="28" customWidth="1"/>
  </cols>
  <sheetData>
    <row r="1" spans="1:10">
      <c r="A1" s="131" t="s">
        <v>1023</v>
      </c>
      <c r="B1" s="132"/>
      <c r="C1" s="132"/>
      <c r="D1" s="132"/>
      <c r="E1" s="132"/>
      <c r="F1" s="132"/>
      <c r="G1" s="132"/>
      <c r="H1" s="132"/>
      <c r="I1" s="132"/>
      <c r="J1" s="132"/>
    </row>
    <row r="2" spans="1:10">
      <c r="A2" s="132"/>
      <c r="B2" s="132"/>
      <c r="C2" s="132"/>
      <c r="D2" s="132"/>
      <c r="E2" s="132"/>
      <c r="F2" s="132"/>
      <c r="G2" s="132"/>
      <c r="H2" s="132"/>
      <c r="I2" s="132"/>
      <c r="J2" s="132"/>
    </row>
    <row r="3" spans="1:10">
      <c r="A3" s="133" t="s">
        <v>872</v>
      </c>
      <c r="B3" s="133"/>
      <c r="C3" s="133"/>
      <c r="D3" s="133"/>
      <c r="E3" s="133"/>
      <c r="F3" s="133"/>
      <c r="G3" s="133"/>
      <c r="H3" s="133"/>
      <c r="I3" s="133"/>
      <c r="J3" s="133"/>
    </row>
    <row r="4" spans="1:10">
      <c r="A4" s="34"/>
      <c r="B4" s="34"/>
      <c r="C4" s="34"/>
      <c r="D4" s="34"/>
      <c r="E4" s="34"/>
      <c r="F4" s="34"/>
      <c r="G4" s="34"/>
      <c r="H4" s="34"/>
      <c r="I4" s="34"/>
      <c r="J4" s="34"/>
    </row>
    <row r="5" spans="1:10" ht="34.950000000000003" customHeight="1">
      <c r="A5" s="35" t="s">
        <v>1024</v>
      </c>
      <c r="B5" s="35" t="s">
        <v>1025</v>
      </c>
      <c r="C5" s="35" t="s">
        <v>1026</v>
      </c>
      <c r="D5" s="35" t="s">
        <v>1027</v>
      </c>
      <c r="E5" s="35" t="s">
        <v>1028</v>
      </c>
      <c r="F5" s="35" t="s">
        <v>376</v>
      </c>
      <c r="G5" s="35" t="s">
        <v>1029</v>
      </c>
      <c r="H5" s="35" t="s">
        <v>1030</v>
      </c>
      <c r="I5" s="35" t="s">
        <v>1031</v>
      </c>
      <c r="J5" s="35" t="s">
        <v>990</v>
      </c>
    </row>
    <row r="6" spans="1:10" ht="79.95" customHeight="1">
      <c r="A6" s="36" t="s">
        <v>1032</v>
      </c>
      <c r="B6" s="36" t="s">
        <v>1013</v>
      </c>
      <c r="C6" s="36" t="s">
        <v>1033</v>
      </c>
      <c r="D6" s="40" t="b">
        <v>0</v>
      </c>
      <c r="E6" s="36" t="s">
        <v>959</v>
      </c>
      <c r="F6" s="38">
        <v>46574.75</v>
      </c>
      <c r="G6" s="36" t="s">
        <v>955</v>
      </c>
      <c r="H6" s="38">
        <v>46566.708333333336</v>
      </c>
      <c r="I6" s="36" t="s">
        <v>1034</v>
      </c>
      <c r="J6" s="36" t="s">
        <v>1035</v>
      </c>
    </row>
    <row r="7" spans="1:10" ht="79.95" customHeight="1">
      <c r="A7" s="37" t="s">
        <v>1036</v>
      </c>
      <c r="B7" s="37" t="s">
        <v>1019</v>
      </c>
      <c r="C7" s="37" t="s">
        <v>1037</v>
      </c>
      <c r="D7" s="41" t="b">
        <v>0</v>
      </c>
      <c r="E7" s="37" t="s">
        <v>971</v>
      </c>
      <c r="F7" s="39">
        <v>46574.75</v>
      </c>
      <c r="G7" s="37" t="s">
        <v>955</v>
      </c>
      <c r="H7" s="39">
        <v>46566.711805555555</v>
      </c>
      <c r="I7" s="37" t="s">
        <v>1038</v>
      </c>
      <c r="J7" s="37" t="s">
        <v>1035</v>
      </c>
    </row>
  </sheetData>
  <mergeCells count="2">
    <mergeCell ref="A1:J2"/>
    <mergeCell ref="A3:J3"/>
  </mergeCells>
  <phoneticPr fontId="3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87E8B"/>
  </sheetPr>
  <dimension ref="A1:I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3" customWidth="1"/>
    <col min="2" max="2" width="29" customWidth="1"/>
    <col min="3" max="3" width="20" customWidth="1"/>
    <col min="4" max="4" width="25" customWidth="1"/>
    <col min="5" max="5" width="26" customWidth="1"/>
    <col min="6" max="6" width="39" customWidth="1"/>
    <col min="7" max="7" width="108" customWidth="1"/>
    <col min="8" max="8" width="53" customWidth="1"/>
    <col min="9" max="9" width="30" customWidth="1"/>
  </cols>
  <sheetData>
    <row r="1" spans="1:9">
      <c r="A1" s="131" t="s">
        <v>1039</v>
      </c>
      <c r="B1" s="132"/>
      <c r="C1" s="132"/>
      <c r="D1" s="132"/>
      <c r="E1" s="132"/>
      <c r="F1" s="132"/>
      <c r="G1" s="132"/>
      <c r="H1" s="132"/>
      <c r="I1" s="132"/>
    </row>
    <row r="2" spans="1:9">
      <c r="A2" s="132"/>
      <c r="B2" s="132"/>
      <c r="C2" s="132"/>
      <c r="D2" s="132"/>
      <c r="E2" s="132"/>
      <c r="F2" s="132"/>
      <c r="G2" s="132"/>
      <c r="H2" s="132"/>
      <c r="I2" s="132"/>
    </row>
    <row r="3" spans="1:9">
      <c r="A3" s="133" t="s">
        <v>872</v>
      </c>
      <c r="B3" s="133"/>
      <c r="C3" s="133"/>
      <c r="D3" s="133"/>
      <c r="E3" s="133"/>
      <c r="F3" s="133"/>
      <c r="G3" s="133"/>
      <c r="H3" s="133"/>
      <c r="I3" s="133"/>
    </row>
    <row r="4" spans="1:9">
      <c r="A4" s="34"/>
      <c r="B4" s="34"/>
      <c r="C4" s="34"/>
      <c r="D4" s="34"/>
      <c r="E4" s="34"/>
      <c r="F4" s="34"/>
      <c r="G4" s="34"/>
      <c r="H4" s="34"/>
      <c r="I4" s="34"/>
    </row>
    <row r="5" spans="1:9" ht="34.950000000000003" customHeight="1">
      <c r="A5" s="35" t="s">
        <v>524</v>
      </c>
      <c r="B5" s="35" t="s">
        <v>525</v>
      </c>
      <c r="C5" s="35" t="s">
        <v>1040</v>
      </c>
      <c r="D5" s="35" t="s">
        <v>1041</v>
      </c>
      <c r="E5" s="35" t="s">
        <v>371</v>
      </c>
      <c r="F5" s="35" t="s">
        <v>1042</v>
      </c>
      <c r="G5" s="35" t="s">
        <v>1043</v>
      </c>
      <c r="H5" s="35" t="s">
        <v>1044</v>
      </c>
      <c r="I5" s="35" t="s">
        <v>990</v>
      </c>
    </row>
    <row r="6" spans="1:9" ht="79.95" customHeight="1">
      <c r="A6" s="36" t="s">
        <v>1045</v>
      </c>
      <c r="B6" s="36" t="s">
        <v>1046</v>
      </c>
      <c r="C6" s="36" t="s">
        <v>1045</v>
      </c>
      <c r="D6" s="36" t="s">
        <v>955</v>
      </c>
      <c r="E6" s="38">
        <v>46567.416666666664</v>
      </c>
      <c r="F6" s="36" t="s">
        <v>1047</v>
      </c>
      <c r="G6" s="36" t="s">
        <v>1048</v>
      </c>
      <c r="H6" s="36" t="s">
        <v>1049</v>
      </c>
      <c r="I6" s="36" t="s">
        <v>1050</v>
      </c>
    </row>
    <row r="7" spans="1:9" ht="79.95" customHeight="1">
      <c r="A7" s="37" t="s">
        <v>1051</v>
      </c>
      <c r="B7" s="37" t="s">
        <v>1052</v>
      </c>
      <c r="C7" s="37" t="s">
        <v>1045</v>
      </c>
      <c r="D7" s="37" t="s">
        <v>955</v>
      </c>
      <c r="E7" s="39">
        <v>46567.416666666664</v>
      </c>
      <c r="F7" s="37" t="s">
        <v>1053</v>
      </c>
      <c r="G7" s="37" t="s">
        <v>1054</v>
      </c>
      <c r="H7" s="37" t="s">
        <v>943</v>
      </c>
      <c r="I7" s="37" t="s">
        <v>1055</v>
      </c>
    </row>
    <row r="8" spans="1:9" ht="79.95" customHeight="1">
      <c r="A8" s="36" t="s">
        <v>1056</v>
      </c>
      <c r="B8" s="36" t="s">
        <v>1052</v>
      </c>
      <c r="C8" s="36" t="s">
        <v>1045</v>
      </c>
      <c r="D8" s="36" t="s">
        <v>951</v>
      </c>
      <c r="E8" s="38">
        <v>46567.416666666664</v>
      </c>
      <c r="F8" s="36" t="s">
        <v>1053</v>
      </c>
      <c r="G8" s="36" t="s">
        <v>1054</v>
      </c>
      <c r="H8" s="36" t="s">
        <v>943</v>
      </c>
      <c r="I8" s="36" t="s">
        <v>1055</v>
      </c>
    </row>
    <row r="9" spans="1:9" ht="79.95" customHeight="1">
      <c r="A9" s="37" t="s">
        <v>1057</v>
      </c>
      <c r="B9" s="37" t="s">
        <v>1052</v>
      </c>
      <c r="C9" s="37" t="s">
        <v>1045</v>
      </c>
      <c r="D9" s="37" t="s">
        <v>959</v>
      </c>
      <c r="E9" s="39">
        <v>46567.416666666664</v>
      </c>
      <c r="F9" s="37" t="s">
        <v>1053</v>
      </c>
      <c r="G9" s="37" t="s">
        <v>1054</v>
      </c>
      <c r="H9" s="37" t="s">
        <v>943</v>
      </c>
      <c r="I9" s="37" t="s">
        <v>1055</v>
      </c>
    </row>
    <row r="10" spans="1:9" ht="79.95" customHeight="1">
      <c r="A10" s="36" t="s">
        <v>1058</v>
      </c>
      <c r="B10" s="36" t="s">
        <v>1052</v>
      </c>
      <c r="C10" s="36" t="s">
        <v>1045</v>
      </c>
      <c r="D10" s="36" t="s">
        <v>963</v>
      </c>
      <c r="E10" s="38">
        <v>46567.416666666664</v>
      </c>
      <c r="F10" s="36" t="s">
        <v>1053</v>
      </c>
      <c r="G10" s="36" t="s">
        <v>1054</v>
      </c>
      <c r="H10" s="36" t="s">
        <v>943</v>
      </c>
      <c r="I10" s="36" t="s">
        <v>1055</v>
      </c>
    </row>
    <row r="11" spans="1:9" ht="79.95" customHeight="1">
      <c r="A11" s="37" t="s">
        <v>1059</v>
      </c>
      <c r="B11" s="37" t="s">
        <v>1052</v>
      </c>
      <c r="C11" s="37" t="s">
        <v>1045</v>
      </c>
      <c r="D11" s="37" t="s">
        <v>967</v>
      </c>
      <c r="E11" s="39">
        <v>46567.416666666664</v>
      </c>
      <c r="F11" s="37" t="s">
        <v>1053</v>
      </c>
      <c r="G11" s="37" t="s">
        <v>1054</v>
      </c>
      <c r="H11" s="37" t="s">
        <v>943</v>
      </c>
      <c r="I11" s="37" t="s">
        <v>1055</v>
      </c>
    </row>
    <row r="12" spans="1:9" ht="79.95" customHeight="1">
      <c r="A12" s="36" t="s">
        <v>1060</v>
      </c>
      <c r="B12" s="36" t="s">
        <v>1052</v>
      </c>
      <c r="C12" s="36" t="s">
        <v>1045</v>
      </c>
      <c r="D12" s="36" t="s">
        <v>971</v>
      </c>
      <c r="E12" s="38">
        <v>46567.416666666664</v>
      </c>
      <c r="F12" s="36" t="s">
        <v>1053</v>
      </c>
      <c r="G12" s="36" t="s">
        <v>1054</v>
      </c>
      <c r="H12" s="36" t="s">
        <v>943</v>
      </c>
      <c r="I12" s="36" t="s">
        <v>1055</v>
      </c>
    </row>
    <row r="13" spans="1:9" ht="79.95" customHeight="1">
      <c r="A13" s="37" t="s">
        <v>1061</v>
      </c>
      <c r="B13" s="37" t="s">
        <v>1062</v>
      </c>
      <c r="C13" s="37" t="s">
        <v>1045</v>
      </c>
      <c r="D13" s="37" t="s">
        <v>955</v>
      </c>
      <c r="E13" s="39">
        <v>46567.423611111109</v>
      </c>
      <c r="F13" s="37" t="s">
        <v>1063</v>
      </c>
      <c r="G13" s="37" t="s">
        <v>1064</v>
      </c>
      <c r="H13" s="37" t="s">
        <v>935</v>
      </c>
      <c r="I13" s="37" t="s">
        <v>1065</v>
      </c>
    </row>
    <row r="14" spans="1:9" ht="79.95" customHeight="1">
      <c r="A14" s="36" t="s">
        <v>1066</v>
      </c>
      <c r="B14" s="36" t="s">
        <v>1067</v>
      </c>
      <c r="C14" s="36" t="s">
        <v>1045</v>
      </c>
      <c r="D14" s="36" t="s">
        <v>951</v>
      </c>
      <c r="E14" s="38">
        <v>46567.425000000003</v>
      </c>
      <c r="F14" s="36" t="s">
        <v>1068</v>
      </c>
      <c r="G14" s="36" t="s">
        <v>1069</v>
      </c>
      <c r="H14" s="36" t="s">
        <v>1070</v>
      </c>
      <c r="I14" s="36" t="s">
        <v>1071</v>
      </c>
    </row>
    <row r="15" spans="1:9" ht="79.95" customHeight="1">
      <c r="A15" s="37" t="s">
        <v>1072</v>
      </c>
      <c r="B15" s="37" t="s">
        <v>1073</v>
      </c>
      <c r="C15" s="37" t="s">
        <v>1045</v>
      </c>
      <c r="D15" s="37" t="s">
        <v>959</v>
      </c>
      <c r="E15" s="39">
        <v>46567.431944432872</v>
      </c>
      <c r="F15" s="37" t="s">
        <v>1074</v>
      </c>
      <c r="G15" s="37" t="s">
        <v>1075</v>
      </c>
      <c r="H15" s="37" t="s">
        <v>1076</v>
      </c>
      <c r="I15" s="37" t="s">
        <v>1071</v>
      </c>
    </row>
    <row r="16" spans="1:9" ht="79.95" customHeight="1">
      <c r="A16" s="36" t="s">
        <v>1077</v>
      </c>
      <c r="B16" s="36" t="s">
        <v>1073</v>
      </c>
      <c r="C16" s="36" t="s">
        <v>1045</v>
      </c>
      <c r="D16" s="36" t="s">
        <v>967</v>
      </c>
      <c r="E16" s="38">
        <v>46567.4375</v>
      </c>
      <c r="F16" s="36" t="s">
        <v>1078</v>
      </c>
      <c r="G16" s="36" t="s">
        <v>1079</v>
      </c>
      <c r="H16" s="36" t="s">
        <v>1080</v>
      </c>
      <c r="I16" s="36" t="s">
        <v>1071</v>
      </c>
    </row>
    <row r="17" spans="1:9" ht="79.95" customHeight="1">
      <c r="A17" s="37" t="s">
        <v>912</v>
      </c>
      <c r="B17" s="37" t="s">
        <v>1081</v>
      </c>
      <c r="C17" s="37" t="s">
        <v>1045</v>
      </c>
      <c r="D17" s="37" t="s">
        <v>955</v>
      </c>
      <c r="E17" s="39">
        <v>46567.451388888891</v>
      </c>
      <c r="F17" s="37" t="s">
        <v>1082</v>
      </c>
      <c r="G17" s="37" t="s">
        <v>1083</v>
      </c>
      <c r="H17" s="37" t="s">
        <v>1084</v>
      </c>
      <c r="I17" s="37" t="s">
        <v>1085</v>
      </c>
    </row>
    <row r="18" spans="1:9" ht="79.95" customHeight="1">
      <c r="A18" s="36" t="s">
        <v>946</v>
      </c>
      <c r="B18" s="36" t="s">
        <v>1086</v>
      </c>
      <c r="C18" s="36" t="s">
        <v>1045</v>
      </c>
      <c r="D18" s="36" t="s">
        <v>955</v>
      </c>
      <c r="E18" s="38">
        <v>46567.625</v>
      </c>
      <c r="F18" s="36" t="s">
        <v>1087</v>
      </c>
      <c r="G18" s="36" t="s">
        <v>1088</v>
      </c>
      <c r="H18" s="36" t="s">
        <v>1089</v>
      </c>
      <c r="I18" s="36" t="s">
        <v>948</v>
      </c>
    </row>
    <row r="19" spans="1:9" ht="79.95" customHeight="1">
      <c r="A19" s="37" t="s">
        <v>1090</v>
      </c>
      <c r="B19" s="37" t="s">
        <v>1091</v>
      </c>
      <c r="C19" s="37" t="s">
        <v>1090</v>
      </c>
      <c r="D19" s="37" t="s">
        <v>979</v>
      </c>
      <c r="E19" s="39">
        <v>46580.416666666664</v>
      </c>
      <c r="F19" s="37" t="s">
        <v>1092</v>
      </c>
      <c r="G19" s="37" t="s">
        <v>1093</v>
      </c>
      <c r="H19" s="37" t="s">
        <v>1094</v>
      </c>
      <c r="I19" s="37" t="s">
        <v>1095</v>
      </c>
    </row>
  </sheetData>
  <mergeCells count="2">
    <mergeCell ref="A1:I2"/>
    <mergeCell ref="A3:I3"/>
  </mergeCells>
  <phoneticPr fontId="30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87E8B"/>
  </sheetPr>
  <dimension ref="A1:M1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2" width="16" customWidth="1"/>
    <col min="3" max="3" width="48" customWidth="1"/>
    <col min="4" max="4" width="55" customWidth="1"/>
    <col min="5" max="5" width="75" customWidth="1"/>
    <col min="6" max="6" width="32" customWidth="1"/>
    <col min="7" max="7" width="91" customWidth="1"/>
    <col min="8" max="8" width="18" customWidth="1"/>
    <col min="9" max="9" width="25" customWidth="1"/>
    <col min="10" max="10" width="24" customWidth="1"/>
    <col min="11" max="11" width="26" customWidth="1"/>
    <col min="12" max="13" width="22" customWidth="1"/>
  </cols>
  <sheetData>
    <row r="1" spans="1:13">
      <c r="A1" s="131" t="s">
        <v>1096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</row>
    <row r="2" spans="1:13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</row>
    <row r="3" spans="1:13">
      <c r="A3" s="133" t="s">
        <v>872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</row>
    <row r="4" spans="1:1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34.950000000000003" customHeight="1">
      <c r="A5" s="35" t="s">
        <v>1097</v>
      </c>
      <c r="B5" s="35" t="s">
        <v>984</v>
      </c>
      <c r="C5" s="35" t="s">
        <v>1098</v>
      </c>
      <c r="D5" s="35" t="s">
        <v>1099</v>
      </c>
      <c r="E5" s="35" t="s">
        <v>1100</v>
      </c>
      <c r="F5" s="35" t="s">
        <v>1101</v>
      </c>
      <c r="G5" s="35" t="s">
        <v>1102</v>
      </c>
      <c r="H5" s="35" t="s">
        <v>1103</v>
      </c>
      <c r="I5" s="35" t="s">
        <v>987</v>
      </c>
      <c r="J5" s="35" t="s">
        <v>1104</v>
      </c>
      <c r="K5" s="35" t="s">
        <v>1030</v>
      </c>
      <c r="L5" s="35" t="s">
        <v>1105</v>
      </c>
      <c r="M5" s="35" t="s">
        <v>1106</v>
      </c>
    </row>
    <row r="6" spans="1:13" ht="79.95" customHeight="1">
      <c r="A6" s="36" t="s">
        <v>1107</v>
      </c>
      <c r="B6" s="36" t="s">
        <v>1010</v>
      </c>
      <c r="C6" s="36" t="s">
        <v>1108</v>
      </c>
      <c r="D6" s="36" t="s">
        <v>1109</v>
      </c>
      <c r="E6" s="36" t="s">
        <v>1110</v>
      </c>
      <c r="F6" s="36" t="s">
        <v>1111</v>
      </c>
      <c r="G6" s="36" t="s">
        <v>1112</v>
      </c>
      <c r="H6" s="36" t="s">
        <v>1113</v>
      </c>
      <c r="I6" s="36" t="s">
        <v>1072</v>
      </c>
      <c r="J6" s="36" t="s">
        <v>955</v>
      </c>
      <c r="K6" s="38">
        <v>46567.451388888891</v>
      </c>
      <c r="L6" s="36"/>
      <c r="M6" s="36"/>
    </row>
    <row r="7" spans="1:13" ht="79.95" customHeight="1">
      <c r="A7" s="37" t="s">
        <v>1114</v>
      </c>
      <c r="B7" s="37" t="s">
        <v>1003</v>
      </c>
      <c r="C7" s="37" t="s">
        <v>1115</v>
      </c>
      <c r="D7" s="37" t="s">
        <v>1116</v>
      </c>
      <c r="E7" s="37" t="s">
        <v>1117</v>
      </c>
      <c r="F7" s="37" t="s">
        <v>1111</v>
      </c>
      <c r="G7" s="37" t="s">
        <v>1118</v>
      </c>
      <c r="H7" s="37" t="s">
        <v>1119</v>
      </c>
      <c r="I7" s="37" t="s">
        <v>1002</v>
      </c>
      <c r="J7" s="37" t="s">
        <v>955</v>
      </c>
      <c r="K7" s="39">
        <v>46567.451388888891</v>
      </c>
      <c r="L7" s="37"/>
      <c r="M7" s="37"/>
    </row>
    <row r="8" spans="1:13" ht="79.95" customHeight="1">
      <c r="A8" s="36" t="s">
        <v>1120</v>
      </c>
      <c r="B8" s="36" t="s">
        <v>1003</v>
      </c>
      <c r="C8" s="36" t="s">
        <v>1121</v>
      </c>
      <c r="D8" s="36" t="s">
        <v>1122</v>
      </c>
      <c r="E8" s="36" t="s">
        <v>1123</v>
      </c>
      <c r="F8" s="36" t="s">
        <v>1111</v>
      </c>
      <c r="G8" s="36" t="s">
        <v>1124</v>
      </c>
      <c r="H8" s="36" t="s">
        <v>1119</v>
      </c>
      <c r="I8" s="36" t="s">
        <v>1002</v>
      </c>
      <c r="J8" s="36" t="s">
        <v>955</v>
      </c>
      <c r="K8" s="38">
        <v>46567.451388888891</v>
      </c>
      <c r="L8" s="36"/>
      <c r="M8" s="36"/>
    </row>
    <row r="9" spans="1:13" ht="79.95" customHeight="1">
      <c r="A9" s="37" t="s">
        <v>1125</v>
      </c>
      <c r="B9" s="37" t="s">
        <v>993</v>
      </c>
      <c r="C9" s="37" t="s">
        <v>1126</v>
      </c>
      <c r="D9" s="37" t="s">
        <v>1127</v>
      </c>
      <c r="E9" s="37" t="s">
        <v>1128</v>
      </c>
      <c r="F9" s="37" t="s">
        <v>1111</v>
      </c>
      <c r="G9" s="37" t="s">
        <v>1129</v>
      </c>
      <c r="H9" s="37" t="s">
        <v>1130</v>
      </c>
      <c r="I9" s="37" t="s">
        <v>1077</v>
      </c>
      <c r="J9" s="37" t="s">
        <v>955</v>
      </c>
      <c r="K9" s="39">
        <v>46567.451388888891</v>
      </c>
      <c r="L9" s="37"/>
      <c r="M9" s="37"/>
    </row>
    <row r="10" spans="1:13" ht="79.95" customHeight="1">
      <c r="A10" s="36" t="s">
        <v>1131</v>
      </c>
      <c r="B10" s="36" t="s">
        <v>1010</v>
      </c>
      <c r="C10" s="36" t="s">
        <v>1132</v>
      </c>
      <c r="D10" s="36" t="s">
        <v>1133</v>
      </c>
      <c r="E10" s="36" t="s">
        <v>1134</v>
      </c>
      <c r="F10" s="36" t="s">
        <v>1135</v>
      </c>
      <c r="G10" s="36" t="s">
        <v>1136</v>
      </c>
      <c r="H10" s="36"/>
      <c r="I10" s="36" t="s">
        <v>1072</v>
      </c>
      <c r="J10" s="36" t="s">
        <v>955</v>
      </c>
      <c r="K10" s="38">
        <v>46567.451388888891</v>
      </c>
      <c r="L10" s="36"/>
      <c r="M10" s="36"/>
    </row>
    <row r="11" spans="1:13" ht="79.95" customHeight="1">
      <c r="A11" s="37" t="s">
        <v>1137</v>
      </c>
      <c r="B11" s="37" t="s">
        <v>993</v>
      </c>
      <c r="C11" s="37" t="s">
        <v>1138</v>
      </c>
      <c r="D11" s="37" t="s">
        <v>1139</v>
      </c>
      <c r="E11" s="37" t="s">
        <v>1140</v>
      </c>
      <c r="F11" s="37" t="s">
        <v>1135</v>
      </c>
      <c r="G11" s="37" t="s">
        <v>1141</v>
      </c>
      <c r="H11" s="37"/>
      <c r="I11" s="37" t="s">
        <v>1077</v>
      </c>
      <c r="J11" s="37" t="s">
        <v>955</v>
      </c>
      <c r="K11" s="39">
        <v>46567.451388888891</v>
      </c>
      <c r="L11" s="37"/>
      <c r="M11" s="37"/>
    </row>
  </sheetData>
  <mergeCells count="2">
    <mergeCell ref="A1:M2"/>
    <mergeCell ref="A3:M3"/>
  </mergeCells>
  <phoneticPr fontId="30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87E8B"/>
  </sheetPr>
  <dimension ref="A1:O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40" customWidth="1"/>
    <col min="4" max="4" width="25" customWidth="1"/>
    <col min="5" max="5" width="47" customWidth="1"/>
    <col min="6" max="6" width="100" customWidth="1"/>
    <col min="7" max="7" width="62" customWidth="1"/>
    <col min="8" max="8" width="52" customWidth="1"/>
    <col min="9" max="11" width="26" customWidth="1"/>
    <col min="12" max="12" width="24" customWidth="1"/>
    <col min="13" max="13" width="39" customWidth="1"/>
    <col min="14" max="15" width="22" customWidth="1"/>
  </cols>
  <sheetData>
    <row r="1" spans="1:15">
      <c r="A1" s="131" t="s">
        <v>1142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5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</row>
    <row r="3" spans="1:15">
      <c r="A3" s="133" t="s">
        <v>872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</row>
    <row r="4" spans="1:1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5" ht="34.950000000000003" customHeight="1">
      <c r="A5" s="35" t="s">
        <v>1103</v>
      </c>
      <c r="B5" s="35" t="s">
        <v>1143</v>
      </c>
      <c r="C5" s="35" t="s">
        <v>1144</v>
      </c>
      <c r="D5" s="35" t="s">
        <v>1145</v>
      </c>
      <c r="E5" s="35" t="s">
        <v>1146</v>
      </c>
      <c r="F5" s="35" t="s">
        <v>1147</v>
      </c>
      <c r="G5" s="35" t="s">
        <v>1148</v>
      </c>
      <c r="H5" s="35" t="s">
        <v>1149</v>
      </c>
      <c r="I5" s="35" t="s">
        <v>1150</v>
      </c>
      <c r="J5" s="35" t="s">
        <v>376</v>
      </c>
      <c r="K5" s="35" t="s">
        <v>1151</v>
      </c>
      <c r="L5" s="35" t="s">
        <v>990</v>
      </c>
      <c r="M5" s="35" t="s">
        <v>1152</v>
      </c>
      <c r="N5" s="35" t="s">
        <v>1105</v>
      </c>
      <c r="O5" s="35" t="s">
        <v>1106</v>
      </c>
    </row>
    <row r="6" spans="1:15" ht="79.95" customHeight="1">
      <c r="A6" s="36" t="s">
        <v>1113</v>
      </c>
      <c r="B6" s="36" t="s">
        <v>1107</v>
      </c>
      <c r="C6" s="36" t="s">
        <v>1153</v>
      </c>
      <c r="D6" s="36" t="s">
        <v>959</v>
      </c>
      <c r="E6" s="36" t="s">
        <v>1154</v>
      </c>
      <c r="F6" s="36" t="s">
        <v>1155</v>
      </c>
      <c r="G6" s="36" t="s">
        <v>1156</v>
      </c>
      <c r="H6" s="36" t="s">
        <v>1032</v>
      </c>
      <c r="I6" s="38">
        <v>46567.631944444445</v>
      </c>
      <c r="J6" s="38">
        <v>46574.75</v>
      </c>
      <c r="K6" s="38">
        <v>46568.375</v>
      </c>
      <c r="L6" s="36" t="s">
        <v>1157</v>
      </c>
      <c r="M6" s="36" t="s">
        <v>1158</v>
      </c>
      <c r="N6" s="36"/>
      <c r="O6" s="36"/>
    </row>
    <row r="7" spans="1:15" ht="79.95" customHeight="1">
      <c r="A7" s="37" t="s">
        <v>1119</v>
      </c>
      <c r="B7" s="37" t="s">
        <v>1159</v>
      </c>
      <c r="C7" s="37" t="s">
        <v>1160</v>
      </c>
      <c r="D7" s="37" t="s">
        <v>963</v>
      </c>
      <c r="E7" s="37" t="s">
        <v>1161</v>
      </c>
      <c r="F7" s="37" t="s">
        <v>1162</v>
      </c>
      <c r="G7" s="37" t="s">
        <v>1163</v>
      </c>
      <c r="H7" s="37" t="s">
        <v>1164</v>
      </c>
      <c r="I7" s="39">
        <v>46567.631944444445</v>
      </c>
      <c r="J7" s="39">
        <v>46574.75</v>
      </c>
      <c r="K7" s="39">
        <v>46568.395833333336</v>
      </c>
      <c r="L7" s="37" t="s">
        <v>1157</v>
      </c>
      <c r="M7" s="37" t="s">
        <v>1158</v>
      </c>
      <c r="N7" s="37"/>
      <c r="O7" s="37"/>
    </row>
    <row r="8" spans="1:15" ht="79.95" customHeight="1">
      <c r="A8" s="36" t="s">
        <v>1130</v>
      </c>
      <c r="B8" s="36" t="s">
        <v>1125</v>
      </c>
      <c r="C8" s="36" t="s">
        <v>1165</v>
      </c>
      <c r="D8" s="36" t="s">
        <v>967</v>
      </c>
      <c r="E8" s="36" t="s">
        <v>1166</v>
      </c>
      <c r="F8" s="36" t="s">
        <v>1167</v>
      </c>
      <c r="G8" s="36" t="s">
        <v>1168</v>
      </c>
      <c r="H8" s="36" t="s">
        <v>1169</v>
      </c>
      <c r="I8" s="38">
        <v>46567.631944444445</v>
      </c>
      <c r="J8" s="38">
        <v>46574.75</v>
      </c>
      <c r="K8" s="38">
        <v>46568.416666666664</v>
      </c>
      <c r="L8" s="36" t="s">
        <v>1157</v>
      </c>
      <c r="M8" s="36" t="s">
        <v>1158</v>
      </c>
      <c r="N8" s="36"/>
      <c r="O8" s="36"/>
    </row>
    <row r="9" spans="1:15" ht="79.95" customHeight="1">
      <c r="A9" s="37" t="s">
        <v>1170</v>
      </c>
      <c r="B9" s="37"/>
      <c r="C9" s="37" t="s">
        <v>1171</v>
      </c>
      <c r="D9" s="37" t="s">
        <v>971</v>
      </c>
      <c r="E9" s="37" t="s">
        <v>1172</v>
      </c>
      <c r="F9" s="37" t="s">
        <v>1173</v>
      </c>
      <c r="G9" s="37" t="s">
        <v>1174</v>
      </c>
      <c r="H9" s="37" t="s">
        <v>1036</v>
      </c>
      <c r="I9" s="39">
        <v>46567.631944444445</v>
      </c>
      <c r="J9" s="39">
        <v>46574.75</v>
      </c>
      <c r="K9" s="39">
        <v>46568.458333333336</v>
      </c>
      <c r="L9" s="37" t="s">
        <v>1157</v>
      </c>
      <c r="M9" s="37" t="s">
        <v>1158</v>
      </c>
      <c r="N9" s="37"/>
      <c r="O9" s="37"/>
    </row>
  </sheetData>
  <mergeCells count="2">
    <mergeCell ref="A1:O2"/>
    <mergeCell ref="A3:O3"/>
  </mergeCells>
  <phoneticPr fontId="3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87E8B"/>
  </sheetPr>
  <dimension ref="A1:K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2" width="18" customWidth="1"/>
    <col min="3" max="3" width="27" customWidth="1"/>
    <col min="4" max="4" width="24" customWidth="1"/>
    <col min="5" max="5" width="18" customWidth="1"/>
    <col min="6" max="6" width="20" customWidth="1"/>
    <col min="7" max="7" width="37" customWidth="1"/>
    <col min="8" max="8" width="38" customWidth="1"/>
    <col min="9" max="9" width="32" customWidth="1"/>
    <col min="10" max="10" width="65" customWidth="1"/>
    <col min="11" max="11" width="18" customWidth="1"/>
  </cols>
  <sheetData>
    <row r="1" spans="1:11">
      <c r="A1" s="131" t="s">
        <v>1175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pans="1:11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3" spans="1:11">
      <c r="A3" s="133" t="s">
        <v>872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r="4" spans="1:1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 ht="34.950000000000003" customHeight="1">
      <c r="A5" s="35" t="s">
        <v>1176</v>
      </c>
      <c r="B5" s="35" t="s">
        <v>1177</v>
      </c>
      <c r="C5" s="35" t="s">
        <v>1178</v>
      </c>
      <c r="D5" s="35" t="s">
        <v>1041</v>
      </c>
      <c r="E5" s="35" t="s">
        <v>373</v>
      </c>
      <c r="F5" s="35" t="s">
        <v>370</v>
      </c>
      <c r="G5" s="35" t="s">
        <v>374</v>
      </c>
      <c r="H5" s="35" t="s">
        <v>1179</v>
      </c>
      <c r="I5" s="35" t="s">
        <v>375</v>
      </c>
      <c r="J5" s="35" t="s">
        <v>987</v>
      </c>
      <c r="K5" s="35" t="s">
        <v>369</v>
      </c>
    </row>
    <row r="6" spans="1:11" ht="42" customHeight="1">
      <c r="A6" s="36" t="s">
        <v>1180</v>
      </c>
      <c r="B6" s="36" t="s">
        <v>1181</v>
      </c>
      <c r="C6" s="38">
        <v>46562.420138888891</v>
      </c>
      <c r="D6" s="36" t="s">
        <v>951</v>
      </c>
      <c r="E6" s="36" t="s">
        <v>1182</v>
      </c>
      <c r="F6" s="36" t="s">
        <v>1183</v>
      </c>
      <c r="G6" s="36" t="s">
        <v>1184</v>
      </c>
      <c r="H6" s="36" t="s">
        <v>577</v>
      </c>
      <c r="I6" s="36" t="s">
        <v>1185</v>
      </c>
      <c r="J6" s="36" t="s">
        <v>926</v>
      </c>
      <c r="K6" s="36" t="s">
        <v>1186</v>
      </c>
    </row>
    <row r="7" spans="1:11" ht="42" customHeight="1">
      <c r="A7" s="37" t="s">
        <v>1187</v>
      </c>
      <c r="B7" s="37" t="s">
        <v>1181</v>
      </c>
      <c r="C7" s="39">
        <v>46562.625</v>
      </c>
      <c r="D7" s="37" t="s">
        <v>951</v>
      </c>
      <c r="E7" s="37" t="s">
        <v>1188</v>
      </c>
      <c r="F7" s="37" t="s">
        <v>1189</v>
      </c>
      <c r="G7" s="37" t="s">
        <v>1190</v>
      </c>
      <c r="H7" s="37" t="s">
        <v>935</v>
      </c>
      <c r="I7" s="37" t="s">
        <v>1191</v>
      </c>
      <c r="J7" s="37" t="s">
        <v>1192</v>
      </c>
      <c r="K7" s="37" t="s">
        <v>1193</v>
      </c>
    </row>
    <row r="8" spans="1:11" ht="42" customHeight="1">
      <c r="A8" s="36" t="s">
        <v>1194</v>
      </c>
      <c r="B8" s="36" t="s">
        <v>1181</v>
      </c>
      <c r="C8" s="38">
        <v>46562.666666666664</v>
      </c>
      <c r="D8" s="36" t="s">
        <v>951</v>
      </c>
      <c r="E8" s="36" t="s">
        <v>1195</v>
      </c>
      <c r="F8" s="36" t="s">
        <v>1196</v>
      </c>
      <c r="G8" s="36" t="s">
        <v>1197</v>
      </c>
      <c r="H8" s="36" t="s">
        <v>939</v>
      </c>
      <c r="I8" s="36" t="s">
        <v>1198</v>
      </c>
      <c r="J8" s="36" t="s">
        <v>1172</v>
      </c>
      <c r="K8" s="36" t="s">
        <v>1199</v>
      </c>
    </row>
    <row r="9" spans="1:11" ht="42" customHeight="1">
      <c r="A9" s="37" t="s">
        <v>1200</v>
      </c>
      <c r="B9" s="37" t="s">
        <v>1181</v>
      </c>
      <c r="C9" s="39">
        <v>46563.461805555555</v>
      </c>
      <c r="D9" s="37" t="s">
        <v>967</v>
      </c>
      <c r="E9" s="37" t="s">
        <v>1195</v>
      </c>
      <c r="F9" s="37" t="s">
        <v>1196</v>
      </c>
      <c r="G9" s="37" t="s">
        <v>1201</v>
      </c>
      <c r="H9" s="37" t="s">
        <v>1202</v>
      </c>
      <c r="I9" s="37" t="s">
        <v>1203</v>
      </c>
      <c r="J9" s="37" t="s">
        <v>939</v>
      </c>
      <c r="K9" s="37" t="s">
        <v>1204</v>
      </c>
    </row>
    <row r="10" spans="1:11" ht="42" customHeight="1">
      <c r="A10" s="36" t="s">
        <v>1205</v>
      </c>
      <c r="B10" s="36" t="s">
        <v>1181</v>
      </c>
      <c r="C10" s="38">
        <v>46563.62847221065</v>
      </c>
      <c r="D10" s="36" t="s">
        <v>963</v>
      </c>
      <c r="E10" s="36" t="s">
        <v>1195</v>
      </c>
      <c r="F10" s="36" t="s">
        <v>1196</v>
      </c>
      <c r="G10" s="36" t="s">
        <v>1201</v>
      </c>
      <c r="H10" s="36" t="s">
        <v>1206</v>
      </c>
      <c r="I10" s="36" t="s">
        <v>1203</v>
      </c>
      <c r="J10" s="36" t="s">
        <v>939</v>
      </c>
      <c r="K10" s="36" t="s">
        <v>1204</v>
      </c>
    </row>
    <row r="11" spans="1:11" ht="42" customHeight="1">
      <c r="A11" s="37" t="s">
        <v>1207</v>
      </c>
      <c r="B11" s="37" t="s">
        <v>1181</v>
      </c>
      <c r="C11" s="39">
        <v>46566.423611111109</v>
      </c>
      <c r="D11" s="37" t="s">
        <v>959</v>
      </c>
      <c r="E11" s="37" t="s">
        <v>1195</v>
      </c>
      <c r="F11" s="37" t="s">
        <v>1196</v>
      </c>
      <c r="G11" s="37" t="s">
        <v>1201</v>
      </c>
      <c r="H11" s="37" t="s">
        <v>1208</v>
      </c>
      <c r="I11" s="37" t="s">
        <v>1203</v>
      </c>
      <c r="J11" s="37" t="s">
        <v>939</v>
      </c>
      <c r="K11" s="37" t="s">
        <v>1204</v>
      </c>
    </row>
    <row r="12" spans="1:11" ht="42" customHeight="1">
      <c r="A12" s="36" t="s">
        <v>1209</v>
      </c>
      <c r="B12" s="36" t="s">
        <v>1181</v>
      </c>
      <c r="C12" s="38">
        <v>46566.625</v>
      </c>
      <c r="D12" s="36" t="s">
        <v>971</v>
      </c>
      <c r="E12" s="36" t="s">
        <v>1195</v>
      </c>
      <c r="F12" s="36" t="s">
        <v>1210</v>
      </c>
      <c r="G12" s="36" t="s">
        <v>1211</v>
      </c>
      <c r="H12" s="36" t="s">
        <v>1019</v>
      </c>
      <c r="I12" s="36" t="s">
        <v>1017</v>
      </c>
      <c r="J12" s="36" t="s">
        <v>1036</v>
      </c>
      <c r="K12" s="36" t="s">
        <v>1212</v>
      </c>
    </row>
    <row r="13" spans="1:11" ht="42" customHeight="1">
      <c r="A13" s="37" t="s">
        <v>1213</v>
      </c>
      <c r="B13" s="37" t="s">
        <v>1181</v>
      </c>
      <c r="C13" s="39">
        <v>46566.711805555555</v>
      </c>
      <c r="D13" s="37" t="s">
        <v>955</v>
      </c>
      <c r="E13" s="37" t="s">
        <v>1195</v>
      </c>
      <c r="F13" s="37" t="s">
        <v>1210</v>
      </c>
      <c r="G13" s="37" t="s">
        <v>1214</v>
      </c>
      <c r="H13" s="37" t="s">
        <v>1215</v>
      </c>
      <c r="I13" s="37" t="s">
        <v>1035</v>
      </c>
      <c r="J13" s="37" t="s">
        <v>1216</v>
      </c>
      <c r="K13" s="37" t="s">
        <v>1212</v>
      </c>
    </row>
    <row r="14" spans="1:11" ht="42" customHeight="1">
      <c r="A14" s="36" t="s">
        <v>1217</v>
      </c>
      <c r="B14" s="36" t="s">
        <v>1181</v>
      </c>
      <c r="C14" s="38">
        <v>46567.375</v>
      </c>
      <c r="D14" s="36" t="s">
        <v>955</v>
      </c>
      <c r="E14" s="36" t="s">
        <v>1218</v>
      </c>
      <c r="F14" s="36" t="s">
        <v>1219</v>
      </c>
      <c r="G14" s="36" t="s">
        <v>1220</v>
      </c>
      <c r="H14" s="36" t="s">
        <v>943</v>
      </c>
      <c r="I14" s="36" t="s">
        <v>944</v>
      </c>
      <c r="J14" s="36" t="s">
        <v>939</v>
      </c>
      <c r="K14" s="36" t="s">
        <v>1212</v>
      </c>
    </row>
    <row r="15" spans="1:11" ht="42" customHeight="1">
      <c r="A15" s="37" t="s">
        <v>1221</v>
      </c>
      <c r="B15" s="37" t="s">
        <v>1181</v>
      </c>
      <c r="C15" s="39">
        <v>46567.37847221065</v>
      </c>
      <c r="D15" s="37" t="s">
        <v>951</v>
      </c>
      <c r="E15" s="37" t="s">
        <v>1218</v>
      </c>
      <c r="F15" s="37" t="s">
        <v>1219</v>
      </c>
      <c r="G15" s="37" t="s">
        <v>1222</v>
      </c>
      <c r="H15" s="37" t="s">
        <v>1045</v>
      </c>
      <c r="I15" s="37" t="s">
        <v>1223</v>
      </c>
      <c r="J15" s="37" t="s">
        <v>943</v>
      </c>
      <c r="K15" s="37" t="s">
        <v>1212</v>
      </c>
    </row>
    <row r="16" spans="1:11" ht="42" customHeight="1">
      <c r="A16" s="36" t="s">
        <v>1224</v>
      </c>
      <c r="B16" s="36" t="s">
        <v>1181</v>
      </c>
      <c r="C16" s="38">
        <v>46567.416666666664</v>
      </c>
      <c r="D16" s="36" t="s">
        <v>951</v>
      </c>
      <c r="E16" s="36" t="s">
        <v>1225</v>
      </c>
      <c r="F16" s="36" t="s">
        <v>1226</v>
      </c>
      <c r="G16" s="36" t="s">
        <v>1227</v>
      </c>
      <c r="H16" s="36" t="s">
        <v>1045</v>
      </c>
      <c r="I16" s="36" t="s">
        <v>1228</v>
      </c>
      <c r="J16" s="36" t="s">
        <v>943</v>
      </c>
      <c r="K16" s="36" t="s">
        <v>1229</v>
      </c>
    </row>
    <row r="17" spans="1:11" ht="42" customHeight="1">
      <c r="A17" s="37" t="s">
        <v>1230</v>
      </c>
      <c r="B17" s="37" t="s">
        <v>1181</v>
      </c>
      <c r="C17" s="39">
        <v>46567.451388888891</v>
      </c>
      <c r="D17" s="37" t="s">
        <v>955</v>
      </c>
      <c r="E17" s="37" t="s">
        <v>1225</v>
      </c>
      <c r="F17" s="37" t="s">
        <v>1231</v>
      </c>
      <c r="G17" s="37" t="s">
        <v>1232</v>
      </c>
      <c r="H17" s="37" t="s">
        <v>912</v>
      </c>
      <c r="I17" s="37" t="s">
        <v>1085</v>
      </c>
      <c r="J17" s="37" t="s">
        <v>1233</v>
      </c>
      <c r="K17" s="37" t="s">
        <v>1234</v>
      </c>
    </row>
    <row r="18" spans="1:11" ht="42" customHeight="1">
      <c r="A18" s="36" t="s">
        <v>1235</v>
      </c>
      <c r="B18" s="36" t="s">
        <v>1181</v>
      </c>
      <c r="C18" s="38">
        <v>46567.625</v>
      </c>
      <c r="D18" s="36" t="s">
        <v>955</v>
      </c>
      <c r="E18" s="36" t="s">
        <v>1236</v>
      </c>
      <c r="F18" s="36" t="s">
        <v>1237</v>
      </c>
      <c r="G18" s="36" t="s">
        <v>1087</v>
      </c>
      <c r="H18" s="36" t="s">
        <v>946</v>
      </c>
      <c r="I18" s="36" t="s">
        <v>948</v>
      </c>
      <c r="J18" s="36" t="s">
        <v>912</v>
      </c>
      <c r="K18" s="36" t="s">
        <v>1238</v>
      </c>
    </row>
    <row r="19" spans="1:11" ht="42" customHeight="1">
      <c r="A19" s="37" t="s">
        <v>1239</v>
      </c>
      <c r="B19" s="37" t="s">
        <v>1181</v>
      </c>
      <c r="C19" s="39">
        <v>46567.631944444445</v>
      </c>
      <c r="D19" s="37" t="s">
        <v>955</v>
      </c>
      <c r="E19" s="37" t="s">
        <v>1236</v>
      </c>
      <c r="F19" s="37" t="s">
        <v>1240</v>
      </c>
      <c r="G19" s="37" t="s">
        <v>1241</v>
      </c>
      <c r="H19" s="37" t="s">
        <v>1113</v>
      </c>
      <c r="I19" s="37" t="s">
        <v>1242</v>
      </c>
      <c r="J19" s="37" t="s">
        <v>946</v>
      </c>
      <c r="K19" s="37" t="s">
        <v>1238</v>
      </c>
    </row>
    <row r="20" spans="1:11" ht="42" customHeight="1">
      <c r="A20" s="36" t="s">
        <v>1243</v>
      </c>
      <c r="B20" s="36" t="s">
        <v>1181</v>
      </c>
      <c r="C20" s="38">
        <v>46567.631944444445</v>
      </c>
      <c r="D20" s="36" t="s">
        <v>955</v>
      </c>
      <c r="E20" s="36" t="s">
        <v>1236</v>
      </c>
      <c r="F20" s="36" t="s">
        <v>1240</v>
      </c>
      <c r="G20" s="36" t="s">
        <v>1241</v>
      </c>
      <c r="H20" s="36" t="s">
        <v>1119</v>
      </c>
      <c r="I20" s="36" t="s">
        <v>1242</v>
      </c>
      <c r="J20" s="36" t="s">
        <v>946</v>
      </c>
      <c r="K20" s="36" t="s">
        <v>1238</v>
      </c>
    </row>
    <row r="21" spans="1:11" ht="42" customHeight="1">
      <c r="A21" s="37" t="s">
        <v>1244</v>
      </c>
      <c r="B21" s="37" t="s">
        <v>1181</v>
      </c>
      <c r="C21" s="39">
        <v>46567.631944444445</v>
      </c>
      <c r="D21" s="37" t="s">
        <v>955</v>
      </c>
      <c r="E21" s="37" t="s">
        <v>1236</v>
      </c>
      <c r="F21" s="37" t="s">
        <v>1240</v>
      </c>
      <c r="G21" s="37" t="s">
        <v>1241</v>
      </c>
      <c r="H21" s="37" t="s">
        <v>1130</v>
      </c>
      <c r="I21" s="37" t="s">
        <v>1242</v>
      </c>
      <c r="J21" s="37" t="s">
        <v>946</v>
      </c>
      <c r="K21" s="37" t="s">
        <v>1238</v>
      </c>
    </row>
    <row r="22" spans="1:11" ht="42" customHeight="1">
      <c r="A22" s="36" t="s">
        <v>1245</v>
      </c>
      <c r="B22" s="36" t="s">
        <v>1181</v>
      </c>
      <c r="C22" s="38">
        <v>46567.631944444445</v>
      </c>
      <c r="D22" s="36" t="s">
        <v>955</v>
      </c>
      <c r="E22" s="36" t="s">
        <v>1236</v>
      </c>
      <c r="F22" s="36" t="s">
        <v>1240</v>
      </c>
      <c r="G22" s="36" t="s">
        <v>1241</v>
      </c>
      <c r="H22" s="36" t="s">
        <v>1170</v>
      </c>
      <c r="I22" s="36" t="s">
        <v>1242</v>
      </c>
      <c r="J22" s="36" t="s">
        <v>946</v>
      </c>
      <c r="K22" s="36" t="s">
        <v>1238</v>
      </c>
    </row>
    <row r="23" spans="1:11" ht="42" customHeight="1">
      <c r="A23" s="37" t="s">
        <v>1246</v>
      </c>
      <c r="B23" s="37" t="s">
        <v>1181</v>
      </c>
      <c r="C23" s="39">
        <v>46568.375</v>
      </c>
      <c r="D23" s="37" t="s">
        <v>959</v>
      </c>
      <c r="E23" s="37" t="s">
        <v>1236</v>
      </c>
      <c r="F23" s="37" t="s">
        <v>1247</v>
      </c>
      <c r="G23" s="37" t="s">
        <v>1248</v>
      </c>
      <c r="H23" s="37" t="s">
        <v>1113</v>
      </c>
      <c r="I23" s="37" t="s">
        <v>1157</v>
      </c>
      <c r="J23" s="37" t="s">
        <v>946</v>
      </c>
      <c r="K23" s="37" t="s">
        <v>1249</v>
      </c>
    </row>
    <row r="24" spans="1:11" ht="42" customHeight="1">
      <c r="A24" s="36" t="s">
        <v>1250</v>
      </c>
      <c r="B24" s="36" t="s">
        <v>1181</v>
      </c>
      <c r="C24" s="38">
        <v>46568.395833333336</v>
      </c>
      <c r="D24" s="36" t="s">
        <v>963</v>
      </c>
      <c r="E24" s="36" t="s">
        <v>1236</v>
      </c>
      <c r="F24" s="36" t="s">
        <v>1247</v>
      </c>
      <c r="G24" s="36" t="s">
        <v>1248</v>
      </c>
      <c r="H24" s="36" t="s">
        <v>1119</v>
      </c>
      <c r="I24" s="36" t="s">
        <v>1157</v>
      </c>
      <c r="J24" s="36" t="s">
        <v>946</v>
      </c>
      <c r="K24" s="36" t="s">
        <v>1249</v>
      </c>
    </row>
    <row r="25" spans="1:11" ht="42" customHeight="1">
      <c r="A25" s="37" t="s">
        <v>1251</v>
      </c>
      <c r="B25" s="37" t="s">
        <v>1181</v>
      </c>
      <c r="C25" s="39">
        <v>46568.416666666664</v>
      </c>
      <c r="D25" s="37" t="s">
        <v>967</v>
      </c>
      <c r="E25" s="37" t="s">
        <v>1236</v>
      </c>
      <c r="F25" s="37" t="s">
        <v>1247</v>
      </c>
      <c r="G25" s="37" t="s">
        <v>1248</v>
      </c>
      <c r="H25" s="37" t="s">
        <v>1130</v>
      </c>
      <c r="I25" s="37" t="s">
        <v>1157</v>
      </c>
      <c r="J25" s="37" t="s">
        <v>946</v>
      </c>
      <c r="K25" s="37" t="s">
        <v>1249</v>
      </c>
    </row>
    <row r="26" spans="1:11" ht="42" customHeight="1">
      <c r="A26" s="36" t="s">
        <v>1252</v>
      </c>
      <c r="B26" s="36" t="s">
        <v>1181</v>
      </c>
      <c r="C26" s="38">
        <v>46568.458333333336</v>
      </c>
      <c r="D26" s="36" t="s">
        <v>971</v>
      </c>
      <c r="E26" s="36" t="s">
        <v>1236</v>
      </c>
      <c r="F26" s="36" t="s">
        <v>1247</v>
      </c>
      <c r="G26" s="36" t="s">
        <v>1248</v>
      </c>
      <c r="H26" s="36" t="s">
        <v>1170</v>
      </c>
      <c r="I26" s="36" t="s">
        <v>1157</v>
      </c>
      <c r="J26" s="36" t="s">
        <v>946</v>
      </c>
      <c r="K26" s="36" t="s">
        <v>1249</v>
      </c>
    </row>
    <row r="27" spans="1:11" ht="42" customHeight="1">
      <c r="A27" s="37" t="s">
        <v>1253</v>
      </c>
      <c r="B27" s="37" t="s">
        <v>1181</v>
      </c>
      <c r="C27" s="39">
        <v>46568.479166666664</v>
      </c>
      <c r="D27" s="37" t="s">
        <v>951</v>
      </c>
      <c r="E27" s="37" t="s">
        <v>1254</v>
      </c>
      <c r="F27" s="37" t="s">
        <v>1255</v>
      </c>
      <c r="G27" s="37" t="s">
        <v>1256</v>
      </c>
      <c r="H27" s="37" t="s">
        <v>577</v>
      </c>
      <c r="I27" s="37" t="s">
        <v>907</v>
      </c>
      <c r="J27" s="37" t="s">
        <v>1094</v>
      </c>
      <c r="K27" s="37" t="s">
        <v>1257</v>
      </c>
    </row>
  </sheetData>
  <mergeCells count="2">
    <mergeCell ref="A1:K2"/>
    <mergeCell ref="A3:K3"/>
  </mergeCells>
  <phoneticPr fontId="30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87E8B"/>
  </sheetPr>
  <dimension ref="A1:D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64" customWidth="1"/>
    <col min="3" max="3" width="42" customWidth="1"/>
    <col min="4" max="4" width="90" customWidth="1"/>
  </cols>
  <sheetData>
    <row r="1" spans="1:4">
      <c r="A1" s="131" t="s">
        <v>1258</v>
      </c>
      <c r="B1" s="132"/>
      <c r="C1" s="132"/>
      <c r="D1" s="132"/>
    </row>
    <row r="2" spans="1:4">
      <c r="A2" s="132"/>
      <c r="B2" s="132"/>
      <c r="C2" s="132"/>
      <c r="D2" s="132"/>
    </row>
    <row r="3" spans="1:4">
      <c r="A3" s="133" t="s">
        <v>872</v>
      </c>
      <c r="B3" s="133"/>
      <c r="C3" s="133"/>
      <c r="D3" s="133"/>
    </row>
    <row r="4" spans="1:4">
      <c r="A4" s="34"/>
      <c r="B4" s="34"/>
      <c r="C4" s="34"/>
      <c r="D4" s="34"/>
    </row>
    <row r="5" spans="1:4" ht="34.950000000000003" customHeight="1">
      <c r="A5" s="35" t="s">
        <v>574</v>
      </c>
      <c r="B5" s="35" t="s">
        <v>56</v>
      </c>
      <c r="C5" s="35" t="s">
        <v>216</v>
      </c>
      <c r="D5" s="35" t="s">
        <v>631</v>
      </c>
    </row>
    <row r="6" spans="1:4" ht="79.95" customHeight="1">
      <c r="A6" s="36" t="s">
        <v>1259</v>
      </c>
      <c r="B6" s="36" t="s">
        <v>1094</v>
      </c>
      <c r="C6" s="36" t="s">
        <v>1253</v>
      </c>
      <c r="D6" s="36" t="s">
        <v>1260</v>
      </c>
    </row>
    <row r="7" spans="1:4" ht="79.95" customHeight="1">
      <c r="A7" s="37" t="s">
        <v>576</v>
      </c>
      <c r="B7" s="37" t="s">
        <v>577</v>
      </c>
      <c r="C7" s="37" t="s">
        <v>926</v>
      </c>
      <c r="D7" s="37" t="s">
        <v>1261</v>
      </c>
    </row>
    <row r="8" spans="1:4" ht="79.95" customHeight="1">
      <c r="A8" s="36" t="s">
        <v>940</v>
      </c>
      <c r="B8" s="36" t="s">
        <v>943</v>
      </c>
      <c r="C8" s="36" t="s">
        <v>935</v>
      </c>
      <c r="D8" s="36" t="s">
        <v>1262</v>
      </c>
    </row>
    <row r="9" spans="1:4" ht="79.95" customHeight="1">
      <c r="A9" s="37" t="s">
        <v>947</v>
      </c>
      <c r="B9" s="37" t="s">
        <v>946</v>
      </c>
      <c r="C9" s="37" t="s">
        <v>949</v>
      </c>
      <c r="D9" s="37" t="s">
        <v>1263</v>
      </c>
    </row>
    <row r="10" spans="1:4" ht="79.95" customHeight="1">
      <c r="A10" s="36" t="s">
        <v>1264</v>
      </c>
      <c r="B10" s="36" t="s">
        <v>1265</v>
      </c>
      <c r="C10" s="36" t="s">
        <v>1266</v>
      </c>
      <c r="D10" s="36" t="s">
        <v>1267</v>
      </c>
    </row>
    <row r="11" spans="1:4" ht="79.95" customHeight="1">
      <c r="A11" s="37" t="s">
        <v>1268</v>
      </c>
      <c r="B11" s="37" t="s">
        <v>1215</v>
      </c>
      <c r="C11" s="37" t="s">
        <v>1269</v>
      </c>
      <c r="D11" s="37" t="s">
        <v>1270</v>
      </c>
    </row>
    <row r="12" spans="1:4" ht="79.95" customHeight="1">
      <c r="A12" s="36" t="s">
        <v>1271</v>
      </c>
      <c r="B12" s="36" t="s">
        <v>1272</v>
      </c>
      <c r="C12" s="36" t="s">
        <v>1273</v>
      </c>
      <c r="D12" s="36" t="s">
        <v>1274</v>
      </c>
    </row>
    <row r="13" spans="1:4" ht="79.95" customHeight="1">
      <c r="A13" s="37" t="s">
        <v>1275</v>
      </c>
      <c r="B13" s="37" t="s">
        <v>1276</v>
      </c>
      <c r="C13" s="37" t="s">
        <v>1277</v>
      </c>
      <c r="D13" s="37" t="s">
        <v>1278</v>
      </c>
    </row>
    <row r="14" spans="1:4" ht="79.95" customHeight="1">
      <c r="A14" s="36" t="s">
        <v>1279</v>
      </c>
      <c r="B14" s="38">
        <v>46574.75</v>
      </c>
      <c r="C14" s="36" t="s">
        <v>1266</v>
      </c>
      <c r="D14" s="36" t="s">
        <v>1280</v>
      </c>
    </row>
    <row r="15" spans="1:4" ht="79.95" customHeight="1">
      <c r="A15" s="37" t="s">
        <v>1281</v>
      </c>
      <c r="B15" s="39">
        <v>46576.75</v>
      </c>
      <c r="C15" s="37" t="s">
        <v>1090</v>
      </c>
      <c r="D15" s="37" t="s">
        <v>1282</v>
      </c>
    </row>
    <row r="16" spans="1:4" ht="79.95" customHeight="1">
      <c r="A16" s="36" t="s">
        <v>610</v>
      </c>
      <c r="B16" s="36" t="s">
        <v>39</v>
      </c>
      <c r="C16" s="36" t="s">
        <v>926</v>
      </c>
      <c r="D16" s="36" t="s">
        <v>1283</v>
      </c>
    </row>
    <row r="17" spans="1:4" ht="79.95" customHeight="1">
      <c r="A17" s="37" t="s">
        <v>612</v>
      </c>
      <c r="B17" s="37" t="s">
        <v>613</v>
      </c>
      <c r="C17" s="37" t="s">
        <v>926</v>
      </c>
      <c r="D17" s="37" t="s">
        <v>1284</v>
      </c>
    </row>
    <row r="18" spans="1:4" ht="79.95" customHeight="1">
      <c r="A18" s="36" t="s">
        <v>1285</v>
      </c>
      <c r="B18" s="36" t="s">
        <v>1286</v>
      </c>
      <c r="C18" s="36" t="s">
        <v>1287</v>
      </c>
      <c r="D18" s="36" t="s">
        <v>1288</v>
      </c>
    </row>
    <row r="19" spans="1:4" ht="79.95" customHeight="1">
      <c r="A19" s="37" t="s">
        <v>1289</v>
      </c>
      <c r="B19" s="37" t="s">
        <v>1290</v>
      </c>
      <c r="C19" s="37" t="s">
        <v>1291</v>
      </c>
      <c r="D19" s="37" t="s">
        <v>1292</v>
      </c>
    </row>
    <row r="20" spans="1:4" ht="79.95" customHeight="1">
      <c r="A20" s="36" t="s">
        <v>1293</v>
      </c>
      <c r="B20" s="38">
        <v>46568.479166666664</v>
      </c>
      <c r="C20" s="36" t="s">
        <v>1253</v>
      </c>
      <c r="D20" s="36" t="s">
        <v>1294</v>
      </c>
    </row>
  </sheetData>
  <mergeCells count="2">
    <mergeCell ref="A1:D2"/>
    <mergeCell ref="A3:D3"/>
  </mergeCells>
  <phoneticPr fontId="30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87E8B"/>
  </sheetPr>
  <dimension ref="A1:H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9" customWidth="1"/>
    <col min="2" max="3" width="27" customWidth="1"/>
    <col min="4" max="4" width="29" customWidth="1"/>
    <col min="5" max="5" width="35" customWidth="1"/>
    <col min="6" max="6" width="95" customWidth="1"/>
    <col min="7" max="7" width="49" customWidth="1"/>
    <col min="8" max="8" width="90" customWidth="1"/>
  </cols>
  <sheetData>
    <row r="1" spans="1:8">
      <c r="A1" s="131" t="s">
        <v>1295</v>
      </c>
      <c r="B1" s="132"/>
      <c r="C1" s="132"/>
      <c r="D1" s="132"/>
      <c r="E1" s="132"/>
      <c r="F1" s="132"/>
      <c r="G1" s="132"/>
      <c r="H1" s="132"/>
    </row>
    <row r="2" spans="1:8">
      <c r="A2" s="132"/>
      <c r="B2" s="132"/>
      <c r="C2" s="132"/>
      <c r="D2" s="132"/>
      <c r="E2" s="132"/>
      <c r="F2" s="132"/>
      <c r="G2" s="132"/>
      <c r="H2" s="132"/>
    </row>
    <row r="3" spans="1:8">
      <c r="A3" s="133" t="s">
        <v>872</v>
      </c>
      <c r="B3" s="133"/>
      <c r="C3" s="133"/>
      <c r="D3" s="133"/>
      <c r="E3" s="133"/>
      <c r="F3" s="133"/>
      <c r="G3" s="133"/>
      <c r="H3" s="133"/>
    </row>
    <row r="4" spans="1:8">
      <c r="A4" s="34"/>
      <c r="B4" s="34"/>
      <c r="C4" s="34"/>
      <c r="D4" s="34"/>
      <c r="E4" s="34"/>
      <c r="F4" s="34"/>
      <c r="G4" s="34"/>
      <c r="H4" s="34"/>
    </row>
    <row r="5" spans="1:8" ht="34.950000000000003" customHeight="1">
      <c r="A5" s="35" t="s">
        <v>1177</v>
      </c>
      <c r="B5" s="35" t="s">
        <v>1296</v>
      </c>
      <c r="C5" s="35" t="s">
        <v>1179</v>
      </c>
      <c r="D5" s="35" t="s">
        <v>574</v>
      </c>
      <c r="E5" s="35" t="s">
        <v>1297</v>
      </c>
      <c r="F5" s="35" t="s">
        <v>1298</v>
      </c>
      <c r="G5" s="35" t="s">
        <v>1299</v>
      </c>
      <c r="H5" s="35" t="s">
        <v>1300</v>
      </c>
    </row>
    <row r="6" spans="1:8" ht="79.95" customHeight="1">
      <c r="A6" s="36" t="s">
        <v>1301</v>
      </c>
      <c r="B6" s="36" t="s">
        <v>1302</v>
      </c>
      <c r="C6" s="36" t="s">
        <v>1002</v>
      </c>
      <c r="D6" s="36" t="s">
        <v>990</v>
      </c>
      <c r="E6" s="36" t="s">
        <v>1303</v>
      </c>
      <c r="F6" s="36" t="s">
        <v>1304</v>
      </c>
      <c r="G6" s="36" t="s">
        <v>1305</v>
      </c>
      <c r="H6" s="36" t="s">
        <v>1306</v>
      </c>
    </row>
    <row r="7" spans="1:8" ht="79.95" customHeight="1">
      <c r="A7" s="37" t="s">
        <v>1307</v>
      </c>
      <c r="B7" s="37" t="s">
        <v>1308</v>
      </c>
      <c r="C7" s="37" t="s">
        <v>1113</v>
      </c>
      <c r="D7" s="37" t="s">
        <v>1149</v>
      </c>
      <c r="E7" s="37" t="s">
        <v>1309</v>
      </c>
      <c r="F7" s="37" t="s">
        <v>1310</v>
      </c>
      <c r="G7" s="37" t="s">
        <v>1311</v>
      </c>
      <c r="H7" s="37" t="s">
        <v>1312</v>
      </c>
    </row>
    <row r="8" spans="1:8" ht="79.95" customHeight="1">
      <c r="A8" s="36" t="s">
        <v>1313</v>
      </c>
      <c r="B8" s="36" t="s">
        <v>1314</v>
      </c>
      <c r="C8" s="36" t="s">
        <v>935</v>
      </c>
      <c r="D8" s="36" t="s">
        <v>1315</v>
      </c>
      <c r="E8" s="36">
        <v>2</v>
      </c>
      <c r="F8" s="36" t="s">
        <v>1316</v>
      </c>
      <c r="G8" s="36" t="s">
        <v>1317</v>
      </c>
      <c r="H8" s="36" t="s">
        <v>1318</v>
      </c>
    </row>
    <row r="9" spans="1:8" ht="79.95" customHeight="1">
      <c r="A9" s="37" t="s">
        <v>1319</v>
      </c>
      <c r="B9" s="37" t="s">
        <v>1320</v>
      </c>
      <c r="C9" s="37" t="s">
        <v>943</v>
      </c>
      <c r="D9" s="37" t="s">
        <v>1321</v>
      </c>
      <c r="E9" s="37" t="s">
        <v>1322</v>
      </c>
      <c r="F9" s="37" t="s">
        <v>1323</v>
      </c>
      <c r="G9" s="37" t="s">
        <v>1324</v>
      </c>
      <c r="H9" s="37" t="s">
        <v>1325</v>
      </c>
    </row>
    <row r="10" spans="1:8" ht="79.95" customHeight="1">
      <c r="A10" s="36" t="s">
        <v>1326</v>
      </c>
      <c r="B10" s="36" t="s">
        <v>1308</v>
      </c>
      <c r="C10" s="36" t="s">
        <v>1113</v>
      </c>
      <c r="D10" s="36" t="s">
        <v>1327</v>
      </c>
      <c r="E10" s="36" t="s">
        <v>967</v>
      </c>
      <c r="F10" s="36" t="s">
        <v>1328</v>
      </c>
      <c r="G10" s="36" t="s">
        <v>1329</v>
      </c>
      <c r="H10" s="36" t="s">
        <v>1330</v>
      </c>
    </row>
    <row r="11" spans="1:8" ht="79.95" customHeight="1">
      <c r="A11" s="37" t="s">
        <v>1331</v>
      </c>
      <c r="B11" s="37" t="s">
        <v>1332</v>
      </c>
      <c r="C11" s="37" t="s">
        <v>1113</v>
      </c>
      <c r="D11" s="37" t="s">
        <v>1145</v>
      </c>
      <c r="E11" s="37"/>
      <c r="F11" s="37" t="s">
        <v>1333</v>
      </c>
      <c r="G11" s="37" t="s">
        <v>1334</v>
      </c>
      <c r="H11" s="37" t="s">
        <v>1335</v>
      </c>
    </row>
    <row r="12" spans="1:8" ht="79.95" customHeight="1">
      <c r="A12" s="36" t="s">
        <v>1336</v>
      </c>
      <c r="B12" s="36" t="s">
        <v>1337</v>
      </c>
      <c r="C12" s="36" t="s">
        <v>1338</v>
      </c>
      <c r="D12" s="36" t="s">
        <v>1339</v>
      </c>
      <c r="E12" s="36" t="s">
        <v>1340</v>
      </c>
      <c r="F12" s="36" t="s">
        <v>1341</v>
      </c>
      <c r="G12" s="36" t="s">
        <v>1342</v>
      </c>
      <c r="H12" s="36" t="s">
        <v>1343</v>
      </c>
    </row>
    <row r="13" spans="1:8" ht="79.95" customHeight="1">
      <c r="A13" s="37" t="s">
        <v>1344</v>
      </c>
      <c r="B13" s="37" t="s">
        <v>1345</v>
      </c>
      <c r="C13" s="37" t="s">
        <v>1113</v>
      </c>
      <c r="D13" s="37" t="s">
        <v>1293</v>
      </c>
      <c r="E13" s="37">
        <v>46574.750694444447</v>
      </c>
      <c r="F13" s="37" t="s">
        <v>1346</v>
      </c>
      <c r="G13" s="37" t="s">
        <v>1347</v>
      </c>
      <c r="H13" s="37" t="s">
        <v>1348</v>
      </c>
    </row>
  </sheetData>
  <mergeCells count="2">
    <mergeCell ref="A1:H2"/>
    <mergeCell ref="A3:H3"/>
  </mergeCells>
  <phoneticPr fontId="3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87E8B"/>
  </sheetPr>
  <dimension ref="A1:E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4" customWidth="1"/>
    <col min="2" max="2" width="39" customWidth="1"/>
    <col min="3" max="3" width="115" customWidth="1"/>
    <col min="4" max="4" width="28" customWidth="1"/>
    <col min="5" max="5" width="62" customWidth="1"/>
  </cols>
  <sheetData>
    <row r="1" spans="1:5">
      <c r="A1" s="131" t="s">
        <v>1349</v>
      </c>
      <c r="B1" s="132"/>
      <c r="C1" s="132"/>
      <c r="D1" s="132"/>
      <c r="E1" s="132"/>
    </row>
    <row r="2" spans="1:5">
      <c r="A2" s="132"/>
      <c r="B2" s="132"/>
      <c r="C2" s="132"/>
      <c r="D2" s="132"/>
      <c r="E2" s="132"/>
    </row>
    <row r="3" spans="1:5">
      <c r="A3" s="133" t="s">
        <v>872</v>
      </c>
      <c r="B3" s="133"/>
      <c r="C3" s="133"/>
      <c r="D3" s="133"/>
      <c r="E3" s="133"/>
    </row>
    <row r="4" spans="1:5">
      <c r="A4" s="34"/>
      <c r="B4" s="34"/>
      <c r="C4" s="34"/>
      <c r="D4" s="34"/>
      <c r="E4" s="34"/>
    </row>
    <row r="5" spans="1:5" ht="34.950000000000003" customHeight="1">
      <c r="A5" s="35" t="s">
        <v>1350</v>
      </c>
      <c r="B5" s="35" t="s">
        <v>1351</v>
      </c>
      <c r="C5" s="35" t="s">
        <v>1352</v>
      </c>
      <c r="D5" s="35" t="s">
        <v>1353</v>
      </c>
      <c r="E5" s="35" t="s">
        <v>1354</v>
      </c>
    </row>
    <row r="6" spans="1:5" ht="79.95" customHeight="1">
      <c r="A6" s="36" t="s">
        <v>1355</v>
      </c>
      <c r="B6" s="36" t="s">
        <v>1356</v>
      </c>
      <c r="C6" s="36" t="s">
        <v>1357</v>
      </c>
      <c r="D6" s="36" t="s">
        <v>1358</v>
      </c>
      <c r="E6" s="36" t="s">
        <v>1359</v>
      </c>
    </row>
    <row r="7" spans="1:5" ht="79.95" customHeight="1">
      <c r="A7" s="37" t="s">
        <v>1360</v>
      </c>
      <c r="B7" s="37" t="s">
        <v>1361</v>
      </c>
      <c r="C7" s="37" t="s">
        <v>1362</v>
      </c>
      <c r="D7" s="37" t="s">
        <v>1363</v>
      </c>
      <c r="E7" s="37" t="s">
        <v>1364</v>
      </c>
    </row>
    <row r="8" spans="1:5" ht="79.95" customHeight="1">
      <c r="A8" s="36" t="s">
        <v>1269</v>
      </c>
      <c r="B8" s="36" t="s">
        <v>1365</v>
      </c>
      <c r="C8" s="36" t="s">
        <v>1366</v>
      </c>
      <c r="D8" s="36" t="s">
        <v>1367</v>
      </c>
      <c r="E8" s="36" t="s">
        <v>1368</v>
      </c>
    </row>
    <row r="9" spans="1:5" ht="79.95" customHeight="1">
      <c r="A9" s="37" t="s">
        <v>1277</v>
      </c>
      <c r="B9" s="37" t="s">
        <v>1369</v>
      </c>
      <c r="C9" s="37" t="s">
        <v>1370</v>
      </c>
      <c r="D9" s="37" t="s">
        <v>1371</v>
      </c>
      <c r="E9" s="37" t="s">
        <v>1372</v>
      </c>
    </row>
    <row r="10" spans="1:5" ht="79.95" customHeight="1">
      <c r="A10" s="36" t="s">
        <v>1273</v>
      </c>
      <c r="B10" s="36" t="s">
        <v>1373</v>
      </c>
      <c r="C10" s="36" t="s">
        <v>1374</v>
      </c>
      <c r="D10" s="36" t="s">
        <v>1375</v>
      </c>
      <c r="E10" s="36" t="s">
        <v>1376</v>
      </c>
    </row>
    <row r="11" spans="1:5" ht="79.95" customHeight="1">
      <c r="A11" s="37" t="s">
        <v>1266</v>
      </c>
      <c r="B11" s="37" t="s">
        <v>1377</v>
      </c>
      <c r="C11" s="37" t="s">
        <v>1378</v>
      </c>
      <c r="D11" s="37" t="s">
        <v>1379</v>
      </c>
      <c r="E11" s="37" t="s">
        <v>1380</v>
      </c>
    </row>
    <row r="12" spans="1:5" ht="79.95" customHeight="1">
      <c r="A12" s="36" t="s">
        <v>1381</v>
      </c>
      <c r="B12" s="36" t="s">
        <v>1382</v>
      </c>
      <c r="C12" s="36" t="s">
        <v>1383</v>
      </c>
      <c r="D12" s="36" t="s">
        <v>1375</v>
      </c>
      <c r="E12" s="36" t="s">
        <v>1384</v>
      </c>
    </row>
    <row r="13" spans="1:5" ht="79.95" customHeight="1">
      <c r="A13" s="37" t="s">
        <v>1385</v>
      </c>
      <c r="B13" s="37" t="s">
        <v>1386</v>
      </c>
      <c r="C13" s="37" t="s">
        <v>1387</v>
      </c>
      <c r="D13" s="37" t="s">
        <v>1388</v>
      </c>
      <c r="E13" s="37" t="s">
        <v>1389</v>
      </c>
    </row>
    <row r="14" spans="1:5" ht="79.95" customHeight="1">
      <c r="A14" s="36" t="s">
        <v>1390</v>
      </c>
      <c r="B14" s="36" t="s">
        <v>1391</v>
      </c>
      <c r="C14" s="36" t="s">
        <v>1392</v>
      </c>
      <c r="D14" s="36" t="s">
        <v>1393</v>
      </c>
      <c r="E14" s="36" t="s">
        <v>1394</v>
      </c>
    </row>
    <row r="15" spans="1:5" ht="79.95" customHeight="1">
      <c r="A15" s="37" t="s">
        <v>1395</v>
      </c>
      <c r="B15" s="37" t="s">
        <v>1396</v>
      </c>
      <c r="C15" s="37" t="s">
        <v>1397</v>
      </c>
      <c r="D15" s="37" t="s">
        <v>1398</v>
      </c>
      <c r="E15" s="37" t="s">
        <v>1399</v>
      </c>
    </row>
    <row r="16" spans="1:5" ht="79.95" customHeight="1">
      <c r="A16" s="36" t="s">
        <v>1400</v>
      </c>
      <c r="B16" s="36" t="s">
        <v>1401</v>
      </c>
      <c r="C16" s="36" t="s">
        <v>1402</v>
      </c>
      <c r="D16" s="36" t="s">
        <v>1403</v>
      </c>
      <c r="E16" s="36" t="s">
        <v>1404</v>
      </c>
    </row>
    <row r="17" spans="1:5" ht="79.95" customHeight="1">
      <c r="A17" s="37" t="s">
        <v>1405</v>
      </c>
      <c r="B17" s="37" t="s">
        <v>1406</v>
      </c>
      <c r="C17" s="37" t="s">
        <v>1407</v>
      </c>
      <c r="D17" s="37" t="s">
        <v>1408</v>
      </c>
      <c r="E17" s="37" t="s">
        <v>1409</v>
      </c>
    </row>
    <row r="18" spans="1:5" ht="79.95" customHeight="1">
      <c r="A18" s="36" t="s">
        <v>1410</v>
      </c>
      <c r="B18" s="36" t="s">
        <v>1411</v>
      </c>
      <c r="C18" s="36" t="s">
        <v>1412</v>
      </c>
      <c r="D18" s="36" t="s">
        <v>1225</v>
      </c>
      <c r="E18" s="36" t="s">
        <v>1413</v>
      </c>
    </row>
    <row r="19" spans="1:5" ht="79.95" customHeight="1">
      <c r="A19" s="37" t="s">
        <v>1414</v>
      </c>
      <c r="B19" s="37" t="s">
        <v>621</v>
      </c>
      <c r="C19" s="37" t="s">
        <v>1415</v>
      </c>
      <c r="D19" s="37" t="s">
        <v>1416</v>
      </c>
      <c r="E19" s="37" t="s">
        <v>1417</v>
      </c>
    </row>
    <row r="20" spans="1:5" ht="79.95" customHeight="1">
      <c r="A20" s="36" t="s">
        <v>1418</v>
      </c>
      <c r="B20" s="36" t="s">
        <v>1419</v>
      </c>
      <c r="C20" s="36" t="s">
        <v>1420</v>
      </c>
      <c r="D20" s="36" t="s">
        <v>1421</v>
      </c>
      <c r="E20" s="36" t="s">
        <v>1422</v>
      </c>
    </row>
  </sheetData>
  <mergeCells count="2">
    <mergeCell ref="A1:E2"/>
    <mergeCell ref="A3:E3"/>
  </mergeCells>
  <phoneticPr fontId="3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87E8B"/>
  </sheetPr>
  <dimension ref="A1:G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2" width="16" customWidth="1"/>
    <col min="3" max="6" width="26" customWidth="1"/>
    <col min="7" max="7" width="30" customWidth="1"/>
  </cols>
  <sheetData>
    <row r="1" spans="1:7">
      <c r="A1" s="131" t="s">
        <v>1423</v>
      </c>
      <c r="B1" s="132"/>
      <c r="C1" s="132"/>
      <c r="D1" s="132"/>
      <c r="E1" s="132"/>
      <c r="F1" s="132"/>
      <c r="G1" s="132"/>
    </row>
    <row r="2" spans="1:7">
      <c r="A2" s="132"/>
      <c r="B2" s="132"/>
      <c r="C2" s="132"/>
      <c r="D2" s="132"/>
      <c r="E2" s="132"/>
      <c r="F2" s="132"/>
      <c r="G2" s="132"/>
    </row>
    <row r="3" spans="1:7">
      <c r="A3" s="133" t="s">
        <v>872</v>
      </c>
      <c r="B3" s="133"/>
      <c r="C3" s="133"/>
      <c r="D3" s="133"/>
      <c r="E3" s="133"/>
      <c r="F3" s="133"/>
      <c r="G3" s="133"/>
    </row>
    <row r="4" spans="1:7">
      <c r="A4" s="34"/>
      <c r="B4" s="34"/>
      <c r="C4" s="34"/>
      <c r="D4" s="34"/>
      <c r="E4" s="34"/>
      <c r="F4" s="34"/>
      <c r="G4" s="34"/>
    </row>
    <row r="5" spans="1:7" ht="34.950000000000003" customHeight="1">
      <c r="A5" s="35" t="s">
        <v>1424</v>
      </c>
      <c r="B5" s="35" t="s">
        <v>1425</v>
      </c>
      <c r="C5" s="35" t="s">
        <v>1426</v>
      </c>
      <c r="D5" s="35" t="s">
        <v>1427</v>
      </c>
      <c r="E5" s="35" t="s">
        <v>1428</v>
      </c>
      <c r="F5" s="35" t="s">
        <v>1429</v>
      </c>
      <c r="G5" s="35" t="s">
        <v>1430</v>
      </c>
    </row>
    <row r="6" spans="1:7" ht="42" customHeight="1">
      <c r="A6" s="38">
        <v>46562</v>
      </c>
      <c r="B6" s="36">
        <v>1</v>
      </c>
      <c r="C6" s="38">
        <v>46562.375</v>
      </c>
      <c r="D6" s="38">
        <v>46562.75</v>
      </c>
      <c r="E6" s="38">
        <v>46562.420138888891</v>
      </c>
      <c r="F6" s="38">
        <v>46568.479166666664</v>
      </c>
      <c r="G6" s="47">
        <f t="shared" ref="G6:G24" si="0">IF(B6=1,MAX(0,MIN(D6,F6)-MAX(C6,E6))*24,0)</f>
        <v>7.9166666666278616</v>
      </c>
    </row>
    <row r="7" spans="1:7" ht="42" customHeight="1">
      <c r="A7" s="39">
        <v>46563</v>
      </c>
      <c r="B7" s="37">
        <v>1</v>
      </c>
      <c r="C7" s="39">
        <v>46563.375</v>
      </c>
      <c r="D7" s="39">
        <v>46563.75</v>
      </c>
      <c r="E7" s="39">
        <v>46562.420138888891</v>
      </c>
      <c r="F7" s="39">
        <v>46568.479166666664</v>
      </c>
      <c r="G7" s="48">
        <f t="shared" si="0"/>
        <v>9</v>
      </c>
    </row>
    <row r="8" spans="1:7" ht="42" customHeight="1">
      <c r="A8" s="38">
        <v>46564</v>
      </c>
      <c r="B8" s="36">
        <v>0</v>
      </c>
      <c r="C8" s="38">
        <v>46564.375</v>
      </c>
      <c r="D8" s="38">
        <v>46564.75</v>
      </c>
      <c r="E8" s="38">
        <v>46562.420138888891</v>
      </c>
      <c r="F8" s="38">
        <v>46568.479166666664</v>
      </c>
      <c r="G8" s="47">
        <f t="shared" si="0"/>
        <v>0</v>
      </c>
    </row>
    <row r="9" spans="1:7" ht="42" customHeight="1">
      <c r="A9" s="39">
        <v>46565</v>
      </c>
      <c r="B9" s="37">
        <v>0</v>
      </c>
      <c r="C9" s="39">
        <v>46565.375</v>
      </c>
      <c r="D9" s="39">
        <v>46565.75</v>
      </c>
      <c r="E9" s="39">
        <v>46562.420138888891</v>
      </c>
      <c r="F9" s="39">
        <v>46568.479166666664</v>
      </c>
      <c r="G9" s="48">
        <f t="shared" si="0"/>
        <v>0</v>
      </c>
    </row>
    <row r="10" spans="1:7" ht="42" customHeight="1">
      <c r="A10" s="38">
        <v>46566</v>
      </c>
      <c r="B10" s="36">
        <v>1</v>
      </c>
      <c r="C10" s="38">
        <v>46566.375</v>
      </c>
      <c r="D10" s="38">
        <v>46566.75</v>
      </c>
      <c r="E10" s="38">
        <v>46562.420138888891</v>
      </c>
      <c r="F10" s="38">
        <v>46568.479166666664</v>
      </c>
      <c r="G10" s="47">
        <f t="shared" si="0"/>
        <v>9</v>
      </c>
    </row>
    <row r="11" spans="1:7" ht="42" customHeight="1">
      <c r="A11" s="39">
        <v>46567</v>
      </c>
      <c r="B11" s="37">
        <v>1</v>
      </c>
      <c r="C11" s="39">
        <v>46567.375</v>
      </c>
      <c r="D11" s="39">
        <v>46567.75</v>
      </c>
      <c r="E11" s="39">
        <v>46562.420138888891</v>
      </c>
      <c r="F11" s="39">
        <v>46568.479166666664</v>
      </c>
      <c r="G11" s="48">
        <f t="shared" si="0"/>
        <v>9</v>
      </c>
    </row>
    <row r="12" spans="1:7" ht="42" customHeight="1">
      <c r="A12" s="38">
        <v>46568</v>
      </c>
      <c r="B12" s="36">
        <v>1</v>
      </c>
      <c r="C12" s="38">
        <v>46568.375</v>
      </c>
      <c r="D12" s="38">
        <v>46568.75</v>
      </c>
      <c r="E12" s="38">
        <v>46562.420138888891</v>
      </c>
      <c r="F12" s="38">
        <v>46568.479166666664</v>
      </c>
      <c r="G12" s="47">
        <f t="shared" si="0"/>
        <v>2.4999999999417923</v>
      </c>
    </row>
    <row r="13" spans="1:7" ht="42" customHeight="1">
      <c r="A13" s="39">
        <v>46569</v>
      </c>
      <c r="B13" s="37">
        <v>1</v>
      </c>
      <c r="C13" s="39">
        <v>46569.375</v>
      </c>
      <c r="D13" s="39">
        <v>46569.75</v>
      </c>
      <c r="E13" s="39">
        <v>46562.420138888891</v>
      </c>
      <c r="F13" s="39">
        <v>46568.479166666664</v>
      </c>
      <c r="G13" s="48">
        <f t="shared" si="0"/>
        <v>0</v>
      </c>
    </row>
    <row r="14" spans="1:7" ht="42" customHeight="1">
      <c r="A14" s="38">
        <v>46570</v>
      </c>
      <c r="B14" s="36">
        <v>1</v>
      </c>
      <c r="C14" s="38">
        <v>46570.375</v>
      </c>
      <c r="D14" s="38">
        <v>46570.75</v>
      </c>
      <c r="E14" s="38">
        <v>46562.420138888891</v>
      </c>
      <c r="F14" s="38">
        <v>46568.479166666664</v>
      </c>
      <c r="G14" s="47">
        <f t="shared" si="0"/>
        <v>0</v>
      </c>
    </row>
    <row r="15" spans="1:7" ht="42" customHeight="1">
      <c r="A15" s="39">
        <v>46571</v>
      </c>
      <c r="B15" s="37">
        <v>0</v>
      </c>
      <c r="C15" s="39">
        <v>46571.375</v>
      </c>
      <c r="D15" s="39">
        <v>46571.75</v>
      </c>
      <c r="E15" s="39">
        <v>46562.420138888891</v>
      </c>
      <c r="F15" s="39">
        <v>46568.479166666664</v>
      </c>
      <c r="G15" s="48">
        <f t="shared" si="0"/>
        <v>0</v>
      </c>
    </row>
    <row r="16" spans="1:7" ht="42" customHeight="1">
      <c r="A16" s="38">
        <v>46572</v>
      </c>
      <c r="B16" s="36">
        <v>0</v>
      </c>
      <c r="C16" s="38">
        <v>46572.375</v>
      </c>
      <c r="D16" s="38">
        <v>46572.75</v>
      </c>
      <c r="E16" s="38">
        <v>46562.420138888891</v>
      </c>
      <c r="F16" s="38">
        <v>46568.479166666664</v>
      </c>
      <c r="G16" s="47">
        <f t="shared" si="0"/>
        <v>0</v>
      </c>
    </row>
    <row r="17" spans="1:7" ht="42" customHeight="1">
      <c r="A17" s="39">
        <v>46573</v>
      </c>
      <c r="B17" s="37">
        <v>1</v>
      </c>
      <c r="C17" s="39">
        <v>46573.375</v>
      </c>
      <c r="D17" s="39">
        <v>46573.75</v>
      </c>
      <c r="E17" s="39">
        <v>46562.420138888891</v>
      </c>
      <c r="F17" s="39">
        <v>46568.479166666664</v>
      </c>
      <c r="G17" s="48">
        <f t="shared" si="0"/>
        <v>0</v>
      </c>
    </row>
    <row r="18" spans="1:7" ht="42" customHeight="1">
      <c r="A18" s="38">
        <v>46574</v>
      </c>
      <c r="B18" s="36">
        <v>1</v>
      </c>
      <c r="C18" s="38">
        <v>46574.375</v>
      </c>
      <c r="D18" s="38">
        <v>46574.75</v>
      </c>
      <c r="E18" s="38">
        <v>46562.420138888891</v>
      </c>
      <c r="F18" s="38">
        <v>46568.479166666664</v>
      </c>
      <c r="G18" s="47">
        <f t="shared" si="0"/>
        <v>0</v>
      </c>
    </row>
    <row r="19" spans="1:7" ht="42" customHeight="1">
      <c r="A19" s="39">
        <v>46575</v>
      </c>
      <c r="B19" s="37">
        <v>1</v>
      </c>
      <c r="C19" s="39">
        <v>46575.375</v>
      </c>
      <c r="D19" s="39">
        <v>46575.75</v>
      </c>
      <c r="E19" s="39">
        <v>46562.420138888891</v>
      </c>
      <c r="F19" s="39">
        <v>46568.479166666664</v>
      </c>
      <c r="G19" s="48">
        <f t="shared" si="0"/>
        <v>0</v>
      </c>
    </row>
    <row r="20" spans="1:7" ht="42" customHeight="1">
      <c r="A20" s="38">
        <v>46576</v>
      </c>
      <c r="B20" s="36">
        <v>1</v>
      </c>
      <c r="C20" s="38">
        <v>46576.375</v>
      </c>
      <c r="D20" s="38">
        <v>46576.75</v>
      </c>
      <c r="E20" s="38">
        <v>46562.420138888891</v>
      </c>
      <c r="F20" s="38">
        <v>46568.479166666664</v>
      </c>
      <c r="G20" s="47">
        <f t="shared" si="0"/>
        <v>0</v>
      </c>
    </row>
    <row r="21" spans="1:7" ht="42" customHeight="1">
      <c r="A21" s="39">
        <v>46577</v>
      </c>
      <c r="B21" s="37">
        <v>1</v>
      </c>
      <c r="C21" s="39">
        <v>46577.375</v>
      </c>
      <c r="D21" s="39">
        <v>46577.75</v>
      </c>
      <c r="E21" s="39">
        <v>46562.420138888891</v>
      </c>
      <c r="F21" s="39">
        <v>46568.479166666664</v>
      </c>
      <c r="G21" s="48">
        <f t="shared" si="0"/>
        <v>0</v>
      </c>
    </row>
    <row r="22" spans="1:7" ht="42" customHeight="1">
      <c r="A22" s="38">
        <v>46578</v>
      </c>
      <c r="B22" s="36">
        <v>0</v>
      </c>
      <c r="C22" s="38">
        <v>46578.375</v>
      </c>
      <c r="D22" s="38">
        <v>46578.75</v>
      </c>
      <c r="E22" s="38">
        <v>46562.420138888891</v>
      </c>
      <c r="F22" s="38">
        <v>46568.479166666664</v>
      </c>
      <c r="G22" s="47">
        <f t="shared" si="0"/>
        <v>0</v>
      </c>
    </row>
    <row r="23" spans="1:7" ht="42" customHeight="1">
      <c r="A23" s="39">
        <v>46579</v>
      </c>
      <c r="B23" s="37">
        <v>0</v>
      </c>
      <c r="C23" s="39">
        <v>46579.375</v>
      </c>
      <c r="D23" s="39">
        <v>46579.75</v>
      </c>
      <c r="E23" s="39">
        <v>46562.420138888891</v>
      </c>
      <c r="F23" s="39">
        <v>46568.479166666664</v>
      </c>
      <c r="G23" s="48">
        <f t="shared" si="0"/>
        <v>0</v>
      </c>
    </row>
    <row r="24" spans="1:7" ht="42" customHeight="1">
      <c r="A24" s="38">
        <v>46580</v>
      </c>
      <c r="B24" s="36">
        <v>1</v>
      </c>
      <c r="C24" s="38">
        <v>46580.375</v>
      </c>
      <c r="D24" s="38">
        <v>46580.75</v>
      </c>
      <c r="E24" s="38">
        <v>46562.420138888891</v>
      </c>
      <c r="F24" s="38">
        <v>46568.479166666664</v>
      </c>
      <c r="G24" s="47">
        <f t="shared" si="0"/>
        <v>0</v>
      </c>
    </row>
  </sheetData>
  <mergeCells count="2">
    <mergeCell ref="A1:G2"/>
    <mergeCell ref="A3:G3"/>
  </mergeCells>
  <phoneticPr fontId="3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87E8B"/>
  </sheetPr>
  <dimension ref="A1:E1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57" customWidth="1"/>
    <col min="3" max="4" width="27" customWidth="1"/>
    <col min="5" max="5" width="25" customWidth="1"/>
  </cols>
  <sheetData>
    <row r="1" spans="1:5">
      <c r="A1" s="131" t="s">
        <v>1431</v>
      </c>
      <c r="B1" s="132"/>
      <c r="C1" s="132"/>
      <c r="D1" s="132"/>
      <c r="E1" s="132"/>
    </row>
    <row r="2" spans="1:5">
      <c r="A2" s="132"/>
      <c r="B2" s="132"/>
      <c r="C2" s="132"/>
      <c r="D2" s="132"/>
      <c r="E2" s="132"/>
    </row>
    <row r="3" spans="1:5">
      <c r="A3" s="133" t="s">
        <v>872</v>
      </c>
      <c r="B3" s="133"/>
      <c r="C3" s="133"/>
      <c r="D3" s="133"/>
      <c r="E3" s="133"/>
    </row>
    <row r="4" spans="1:5">
      <c r="A4" s="34"/>
      <c r="B4" s="34"/>
      <c r="C4" s="34"/>
      <c r="D4" s="34"/>
      <c r="E4" s="34"/>
    </row>
    <row r="5" spans="1:5" ht="34.950000000000003" customHeight="1">
      <c r="A5" s="35" t="s">
        <v>1432</v>
      </c>
      <c r="B5" s="35" t="s">
        <v>832</v>
      </c>
      <c r="C5" s="35" t="s">
        <v>1433</v>
      </c>
      <c r="D5" s="35" t="s">
        <v>1434</v>
      </c>
      <c r="E5" s="35" t="s">
        <v>1435</v>
      </c>
    </row>
    <row r="6" spans="1:5" ht="42" customHeight="1">
      <c r="A6" s="36" t="s">
        <v>1436</v>
      </c>
      <c r="B6" s="36" t="s">
        <v>1437</v>
      </c>
      <c r="C6" s="45">
        <v>3299986680</v>
      </c>
      <c r="D6" s="45">
        <f>통합손익!K21</f>
        <v>3299986680</v>
      </c>
      <c r="E6" s="36" t="str">
        <f t="shared" ref="E6:E16" si="0">IF(ABS(D6-C6)&lt;0.00001,"일치","확인 필요")</f>
        <v>일치</v>
      </c>
    </row>
    <row r="7" spans="1:5" ht="42" customHeight="1">
      <c r="A7" s="37" t="s">
        <v>1438</v>
      </c>
      <c r="B7" s="37" t="s">
        <v>1439</v>
      </c>
      <c r="C7" s="46">
        <v>177303320</v>
      </c>
      <c r="D7" s="46">
        <f>통합손익!N21</f>
        <v>177303320</v>
      </c>
      <c r="E7" s="37" t="str">
        <f t="shared" si="0"/>
        <v>일치</v>
      </c>
    </row>
    <row r="8" spans="1:5" ht="42" customHeight="1">
      <c r="A8" s="36" t="s">
        <v>1440</v>
      </c>
      <c r="B8" s="36" t="s">
        <v>1441</v>
      </c>
      <c r="C8" s="45">
        <v>6</v>
      </c>
      <c r="D8" s="45">
        <f>SC03요약!B12</f>
        <v>6</v>
      </c>
      <c r="E8" s="36" t="str">
        <f t="shared" si="0"/>
        <v>일치</v>
      </c>
    </row>
    <row r="9" spans="1:5" ht="42" customHeight="1">
      <c r="A9" s="37" t="s">
        <v>1442</v>
      </c>
      <c r="B9" s="37" t="s">
        <v>1443</v>
      </c>
      <c r="C9" s="46">
        <v>4</v>
      </c>
      <c r="D9" s="46">
        <f>SC03요약!B13</f>
        <v>4</v>
      </c>
      <c r="E9" s="37" t="str">
        <f t="shared" si="0"/>
        <v>일치</v>
      </c>
    </row>
    <row r="10" spans="1:5" ht="42" customHeight="1">
      <c r="A10" s="36" t="s">
        <v>1444</v>
      </c>
      <c r="B10" s="36" t="s">
        <v>1445</v>
      </c>
      <c r="C10" s="45">
        <v>2</v>
      </c>
      <c r="D10" s="45">
        <f>SC03요약!B14</f>
        <v>2</v>
      </c>
      <c r="E10" s="36" t="str">
        <f t="shared" si="0"/>
        <v>일치</v>
      </c>
    </row>
    <row r="11" spans="1:5" ht="42" customHeight="1">
      <c r="A11" s="37" t="s">
        <v>1446</v>
      </c>
      <c r="B11" s="37" t="s">
        <v>1447</v>
      </c>
      <c r="C11" s="46">
        <v>4</v>
      </c>
      <c r="D11" s="46">
        <f>SC03요약!B15</f>
        <v>4</v>
      </c>
      <c r="E11" s="37" t="str">
        <f t="shared" si="0"/>
        <v>일치</v>
      </c>
    </row>
    <row r="12" spans="1:5" ht="42" customHeight="1">
      <c r="A12" s="36" t="s">
        <v>1448</v>
      </c>
      <c r="B12" s="36" t="s">
        <v>900</v>
      </c>
      <c r="C12" s="45">
        <v>1</v>
      </c>
      <c r="D12" s="45">
        <f>SC03요약!B17</f>
        <v>1</v>
      </c>
      <c r="E12" s="36" t="str">
        <f t="shared" si="0"/>
        <v>일치</v>
      </c>
    </row>
    <row r="13" spans="1:5" ht="42" customHeight="1">
      <c r="A13" s="37" t="s">
        <v>1449</v>
      </c>
      <c r="B13" s="37" t="s">
        <v>1450</v>
      </c>
      <c r="C13" s="46">
        <v>2</v>
      </c>
      <c r="D13" s="46">
        <f>COUNTA(SC03쟁점!A6:A7)</f>
        <v>2</v>
      </c>
      <c r="E13" s="37" t="str">
        <f t="shared" si="0"/>
        <v>일치</v>
      </c>
    </row>
    <row r="14" spans="1:5" ht="42" customHeight="1">
      <c r="A14" s="36" t="s">
        <v>1451</v>
      </c>
      <c r="B14" s="36" t="s">
        <v>1452</v>
      </c>
      <c r="C14" s="45">
        <v>0</v>
      </c>
      <c r="D14" s="45">
        <f>SC03요약!B10-SC03요약!B11-SC03요약!B9</f>
        <v>0</v>
      </c>
      <c r="E14" s="36" t="str">
        <f t="shared" si="0"/>
        <v>일치</v>
      </c>
    </row>
    <row r="15" spans="1:5" ht="42" customHeight="1">
      <c r="A15" s="37" t="s">
        <v>1453</v>
      </c>
      <c r="B15" s="37" t="s">
        <v>1454</v>
      </c>
      <c r="C15" s="46">
        <v>37.416666666666664</v>
      </c>
      <c r="D15" s="46">
        <f>SUM(SC03영업시간!G6:G24)</f>
        <v>37.416666666569654</v>
      </c>
      <c r="E15" s="37" t="str">
        <f t="shared" si="0"/>
        <v>일치</v>
      </c>
    </row>
    <row r="16" spans="1:5" ht="42" customHeight="1">
      <c r="A16" s="36" t="s">
        <v>1455</v>
      </c>
      <c r="B16" s="36" t="s">
        <v>1456</v>
      </c>
      <c r="C16" s="45">
        <v>145.41666666666666</v>
      </c>
      <c r="D16" s="45">
        <f>(SC03영업시간!F6-SC03영업시간!E6)*24</f>
        <v>145.41666666656965</v>
      </c>
      <c r="E16" s="36" t="str">
        <f t="shared" si="0"/>
        <v>일치</v>
      </c>
    </row>
  </sheetData>
  <mergeCells count="2">
    <mergeCell ref="A1:E2"/>
    <mergeCell ref="A3:E3"/>
  </mergeCells>
  <phoneticPr fontId="30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87E8B"/>
  </sheetPr>
  <dimension ref="A1:F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4" customWidth="1"/>
    <col min="2" max="4" width="28" customWidth="1"/>
    <col min="5" max="5" width="30" customWidth="1"/>
    <col min="6" max="6" width="45" customWidth="1"/>
  </cols>
  <sheetData>
    <row r="1" spans="1:6">
      <c r="A1" s="131" t="s">
        <v>1457</v>
      </c>
      <c r="B1" s="132"/>
      <c r="C1" s="132"/>
      <c r="D1" s="132"/>
      <c r="E1" s="132"/>
      <c r="F1" s="132"/>
    </row>
    <row r="2" spans="1:6">
      <c r="A2" s="132"/>
      <c r="B2" s="132"/>
      <c r="C2" s="132"/>
      <c r="D2" s="132"/>
      <c r="E2" s="132"/>
      <c r="F2" s="132"/>
    </row>
    <row r="3" spans="1:6">
      <c r="A3" s="133" t="s">
        <v>872</v>
      </c>
      <c r="B3" s="133"/>
      <c r="C3" s="133"/>
      <c r="D3" s="133"/>
      <c r="E3" s="133"/>
      <c r="F3" s="133"/>
    </row>
    <row r="4" spans="1:6">
      <c r="A4" s="34"/>
      <c r="B4" s="34"/>
      <c r="C4" s="34"/>
      <c r="D4" s="34"/>
      <c r="E4" s="34"/>
      <c r="F4" s="34"/>
    </row>
    <row r="5" spans="1:6" ht="34.950000000000003" customHeight="1">
      <c r="A5" s="35" t="s">
        <v>1458</v>
      </c>
      <c r="B5" s="35" t="s">
        <v>1459</v>
      </c>
      <c r="C5" s="35" t="s">
        <v>1460</v>
      </c>
      <c r="D5" s="35" t="s">
        <v>1461</v>
      </c>
      <c r="E5" s="35" t="s">
        <v>1462</v>
      </c>
      <c r="F5" s="35" t="s">
        <v>1463</v>
      </c>
    </row>
    <row r="6" spans="1:6" ht="79.95" customHeight="1">
      <c r="A6" s="36" t="s">
        <v>219</v>
      </c>
      <c r="B6" s="49">
        <f>SUMIFS(월별계산!$K$6:$K$100,월별계산!$C$6:$C$100,A6,월별계산!$B$6:$B$100,"&gt;="&amp;DATE(2027,7,1),월별계산!$B$6:$B$100,"&lt;"&amp;DATE(2027,10,1))</f>
        <v>336300000</v>
      </c>
      <c r="C6" s="49">
        <f>SUMIFS(월별계산!$M$6:$M$100,월별계산!$C$6:$C$100,A6,월별계산!$B$6:$B$100,"&gt;="&amp;DATE(2027,7,1),월별계산!$B$6:$B$100,"&lt;"&amp;DATE(2027,10,1))</f>
        <v>0</v>
      </c>
      <c r="D6" s="49">
        <f>-SUMIFS(월별계산!$P$6:$P$100,월별계산!$C$6:$C$100,A6,월별계산!$B$6:$B$100,"&gt;="&amp;DATE(2027,7,1),월별계산!$B$6:$B$100,"&lt;"&amp;DATE(2027,10,1))</f>
        <v>-1345200</v>
      </c>
      <c r="E6" s="49">
        <f>SUMIFS(월별계산!$Q$6:$Q$100,월별계산!$C$6:$C$100,A6,월별계산!$B$6:$B$100,"&gt;="&amp;DATE(2027,7,1),월별계산!$B$6:$B$100,"&lt;"&amp;DATE(2027,10,1))</f>
        <v>334954800</v>
      </c>
      <c r="F6" s="36" t="s">
        <v>1464</v>
      </c>
    </row>
    <row r="7" spans="1:6" ht="79.95" customHeight="1">
      <c r="A7" s="37" t="s">
        <v>224</v>
      </c>
      <c r="B7" s="49">
        <f>SUMIFS(월별계산!$K$6:$K$100,월별계산!$C$6:$C$100,A7,월별계산!$B$6:$B$100,"&gt;="&amp;DATE(2027,7,1),월별계산!$B$6:$B$100,"&lt;"&amp;DATE(2027,10,1))</f>
        <v>560500000</v>
      </c>
      <c r="C7" s="49">
        <f>SUMIFS(월별계산!$M$6:$M$100,월별계산!$C$6:$C$100,A7,월별계산!$B$6:$B$100,"&gt;="&amp;DATE(2027,7,1),월별계산!$B$6:$B$100,"&lt;"&amp;DATE(2027,10,1))</f>
        <v>-14000000</v>
      </c>
      <c r="D7" s="49">
        <f>-SUMIFS(월별계산!$P$6:$P$100,월별계산!$C$6:$C$100,A7,월별계산!$B$6:$B$100,"&gt;="&amp;DATE(2027,7,1),월별계산!$B$6:$B$100,"&lt;"&amp;DATE(2027,10,1))</f>
        <v>-3279000</v>
      </c>
      <c r="E7" s="49">
        <f>SUMIFS(월별계산!$Q$6:$Q$100,월별계산!$C$6:$C$100,A7,월별계산!$B$6:$B$100,"&gt;="&amp;DATE(2027,7,1),월별계산!$B$6:$B$100,"&lt;"&amp;DATE(2027,10,1))</f>
        <v>543221000</v>
      </c>
      <c r="F7" s="37" t="s">
        <v>1464</v>
      </c>
    </row>
    <row r="8" spans="1:6" ht="79.95" customHeight="1">
      <c r="A8" s="36" t="s">
        <v>226</v>
      </c>
      <c r="B8" s="49">
        <f>SUMIFS(월별계산!$K$6:$K$100,월별계산!$C$6:$C$100,A8,월별계산!$B$6:$B$100,"&gt;="&amp;DATE(2027,7,1),월별계산!$B$6:$B$100,"&lt;"&amp;DATE(2027,10,1))</f>
        <v>490644000</v>
      </c>
      <c r="C8" s="49">
        <f>SUMIFS(월별계산!$M$6:$M$100,월별계산!$C$6:$C$100,A8,월별계산!$B$6:$B$100,"&gt;="&amp;DATE(2027,7,1),월별계산!$B$6:$B$100,"&lt;"&amp;DATE(2027,10,1))</f>
        <v>0</v>
      </c>
      <c r="D8" s="49">
        <f>-SUMIFS(월별계산!$P$6:$P$100,월별계산!$C$6:$C$100,A8,월별계산!$B$6:$B$100,"&gt;="&amp;DATE(2027,7,1),월별계산!$B$6:$B$100,"&lt;"&amp;DATE(2027,10,1))</f>
        <v>0</v>
      </c>
      <c r="E8" s="49">
        <f>SUMIFS(월별계산!$Q$6:$Q$100,월별계산!$C$6:$C$100,A8,월별계산!$B$6:$B$100,"&gt;="&amp;DATE(2027,7,1),월별계산!$B$6:$B$100,"&lt;"&amp;DATE(2027,10,1))</f>
        <v>490644000</v>
      </c>
      <c r="F8" s="36" t="s">
        <v>1464</v>
      </c>
    </row>
    <row r="9" spans="1:6" ht="79.95" customHeight="1">
      <c r="A9" s="37" t="s">
        <v>228</v>
      </c>
      <c r="B9" s="49">
        <f>SUMIFS(월별계산!$K$6:$K$100,월별계산!$C$6:$C$100,A9,월별계산!$B$6:$B$100,"&gt;="&amp;DATE(2027,7,1),월별계산!$B$6:$B$100,"&lt;"&amp;DATE(2027,10,1))</f>
        <v>372450000</v>
      </c>
      <c r="C9" s="49">
        <f>SUMIFS(월별계산!$M$6:$M$100,월별계산!$C$6:$C$100,A9,월별계산!$B$6:$B$100,"&gt;="&amp;DATE(2027,7,1),월별계산!$B$6:$B$100,"&lt;"&amp;DATE(2027,10,1))</f>
        <v>0</v>
      </c>
      <c r="D9" s="49">
        <f>-SUMIFS(월별계산!$P$6:$P$100,월별계산!$C$6:$C$100,A9,월별계산!$B$6:$B$100,"&gt;="&amp;DATE(2027,7,1),월별계산!$B$6:$B$100,"&lt;"&amp;DATE(2027,10,1))</f>
        <v>0</v>
      </c>
      <c r="E9" s="49">
        <f>SUMIFS(월별계산!$Q$6:$Q$100,월별계산!$C$6:$C$100,A9,월별계산!$B$6:$B$100,"&gt;="&amp;DATE(2027,7,1),월별계산!$B$6:$B$100,"&lt;"&amp;DATE(2027,10,1))</f>
        <v>372450000</v>
      </c>
      <c r="F9" s="37" t="s">
        <v>1464</v>
      </c>
    </row>
    <row r="10" spans="1:6" ht="79.95" customHeight="1">
      <c r="A10" s="36" t="s">
        <v>230</v>
      </c>
      <c r="B10" s="49">
        <f>SUMIFS(월별계산!$K$6:$K$100,월별계산!$C$6:$C$100,A10,월별계산!$B$6:$B$100,"&gt;="&amp;DATE(2027,7,1),월별계산!$B$6:$B$100,"&lt;"&amp;DATE(2027,10,1))</f>
        <v>157698000</v>
      </c>
      <c r="C10" s="49">
        <f>SUMIFS(월별계산!$M$6:$M$100,월별계산!$C$6:$C$100,A10,월별계산!$B$6:$B$100,"&gt;="&amp;DATE(2027,7,1),월별계산!$B$6:$B$100,"&lt;"&amp;DATE(2027,10,1))</f>
        <v>0</v>
      </c>
      <c r="D10" s="49">
        <f>-SUMIFS(월별계산!$P$6:$P$100,월별계산!$C$6:$C$100,A10,월별계산!$B$6:$B$100,"&gt;="&amp;DATE(2027,7,1),월별계산!$B$6:$B$100,"&lt;"&amp;DATE(2027,10,1))</f>
        <v>0</v>
      </c>
      <c r="E10" s="49">
        <f>SUMIFS(월별계산!$Q$6:$Q$100,월별계산!$C$6:$C$100,A10,월별계산!$B$6:$B$100,"&gt;="&amp;DATE(2027,7,1),월별계산!$B$6:$B$100,"&lt;"&amp;DATE(2027,10,1))</f>
        <v>157698000</v>
      </c>
      <c r="F10" s="36" t="s">
        <v>1464</v>
      </c>
    </row>
  </sheetData>
  <mergeCells count="2">
    <mergeCell ref="A1:F2"/>
    <mergeCell ref="A3:F3"/>
  </mergeCells>
  <phoneticPr fontId="30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0"/>
  <sheetViews>
    <sheetView workbookViewId="0"/>
  </sheetViews>
  <sheetFormatPr defaultRowHeight="13.8"/>
  <sheetData>
    <row r="1" spans="1:4" ht="168">
      <c r="A1" s="2" t="s">
        <v>1465</v>
      </c>
      <c r="B1" s="2"/>
      <c r="C1" s="2"/>
      <c r="D1" s="2"/>
    </row>
    <row r="2" spans="1:4" ht="21">
      <c r="A2" s="2"/>
      <c r="B2" s="2"/>
      <c r="C2" s="2"/>
      <c r="D2" s="2"/>
    </row>
    <row r="3" spans="1:4" ht="132">
      <c r="A3" s="3" t="s">
        <v>1466</v>
      </c>
      <c r="B3" s="1"/>
      <c r="C3" s="1"/>
      <c r="D3" s="1"/>
    </row>
    <row r="4" spans="1:4">
      <c r="A4" s="1"/>
      <c r="B4" s="1"/>
      <c r="C4" s="1"/>
      <c r="D4" s="1"/>
    </row>
    <row r="5" spans="1:4">
      <c r="A5" s="4" t="s">
        <v>152</v>
      </c>
      <c r="B5" s="4" t="s">
        <v>1467</v>
      </c>
      <c r="C5" s="4" t="s">
        <v>1468</v>
      </c>
      <c r="D5" s="4" t="s">
        <v>924</v>
      </c>
    </row>
    <row r="6" spans="1:4" ht="92.4">
      <c r="A6" s="5" t="s">
        <v>1469</v>
      </c>
      <c r="B6" s="5" t="s">
        <v>1470</v>
      </c>
      <c r="C6" s="5" t="s">
        <v>1471</v>
      </c>
      <c r="D6" s="5" t="s">
        <v>1472</v>
      </c>
    </row>
    <row r="7" spans="1:4" ht="39.6">
      <c r="A7" s="1" t="s">
        <v>1003</v>
      </c>
      <c r="B7" s="1" t="s">
        <v>1473</v>
      </c>
      <c r="C7" s="18">
        <f>단가안비교!H8</f>
        <v>9364320</v>
      </c>
      <c r="D7" s="1" t="s">
        <v>1474</v>
      </c>
    </row>
    <row r="8" spans="1:4" ht="52.8">
      <c r="A8" s="5" t="s">
        <v>1003</v>
      </c>
      <c r="B8" s="5" t="s">
        <v>1475</v>
      </c>
      <c r="C8" s="17">
        <f>단가안비교!I8</f>
        <v>18817440</v>
      </c>
      <c r="D8" s="5" t="s">
        <v>1476</v>
      </c>
    </row>
    <row r="9" spans="1:4" ht="79.2">
      <c r="A9" s="1" t="s">
        <v>1477</v>
      </c>
      <c r="B9" s="1" t="s">
        <v>1478</v>
      </c>
      <c r="C9" s="18">
        <f>단가안비교!N8</f>
        <v>12544960</v>
      </c>
      <c r="D9" s="1" t="s">
        <v>1479</v>
      </c>
    </row>
    <row r="10" spans="1:4" ht="92.4">
      <c r="A10" s="5" t="s">
        <v>1480</v>
      </c>
      <c r="B10" s="5" t="s">
        <v>1481</v>
      </c>
      <c r="C10" s="5" t="str">
        <f>단가안비교!L9&amp;" / "&amp;단가안비교!M9</f>
        <v>중요 / 대표 대상</v>
      </c>
      <c r="D10" s="5" t="s">
        <v>1482</v>
      </c>
    </row>
    <row r="11" spans="1:4" ht="39.6">
      <c r="A11" s="1" t="s">
        <v>1483</v>
      </c>
      <c r="B11" s="1" t="s">
        <v>1484</v>
      </c>
      <c r="C11" s="18">
        <f>통합손익!I21</f>
        <v>-14000000</v>
      </c>
      <c r="D11" s="1" t="s">
        <v>1485</v>
      </c>
    </row>
    <row r="12" spans="1:4" ht="52.8">
      <c r="A12" s="5" t="s">
        <v>1483</v>
      </c>
      <c r="B12" s="5" t="s">
        <v>1486</v>
      </c>
      <c r="C12" s="17">
        <f>통합손익!J21</f>
        <v>-9364320</v>
      </c>
      <c r="D12" s="5" t="s">
        <v>1487</v>
      </c>
    </row>
    <row r="13" spans="1:4" ht="39.6">
      <c r="A13" s="1" t="s">
        <v>1483</v>
      </c>
      <c r="B13" s="1" t="s">
        <v>881</v>
      </c>
      <c r="C13" s="18">
        <f>통합손익!K21</f>
        <v>3299986680</v>
      </c>
      <c r="D13" s="1" t="s">
        <v>1488</v>
      </c>
    </row>
    <row r="14" spans="1:4" ht="39.6">
      <c r="A14" s="5" t="s">
        <v>1483</v>
      </c>
      <c r="B14" s="5" t="s">
        <v>1489</v>
      </c>
      <c r="C14" s="17">
        <f>통합손익!N21</f>
        <v>177303320</v>
      </c>
      <c r="D14" s="5" t="s">
        <v>1490</v>
      </c>
    </row>
    <row r="15" spans="1:4" ht="105.6">
      <c r="A15" s="1" t="s">
        <v>1491</v>
      </c>
      <c r="B15" s="1" t="s">
        <v>754</v>
      </c>
      <c r="C15" s="1" t="s">
        <v>1492</v>
      </c>
      <c r="D15" s="1" t="s">
        <v>1493</v>
      </c>
    </row>
    <row r="16" spans="1:4" ht="105.6">
      <c r="A16" s="5" t="s">
        <v>1494</v>
      </c>
      <c r="B16" s="5" t="s">
        <v>1495</v>
      </c>
      <c r="C16" s="5" t="s">
        <v>1496</v>
      </c>
      <c r="D16" s="5" t="s">
        <v>1497</v>
      </c>
    </row>
    <row r="17" spans="1:4" ht="79.2">
      <c r="A17" s="1" t="s">
        <v>1494</v>
      </c>
      <c r="B17" s="1" t="s">
        <v>1498</v>
      </c>
      <c r="C17" s="1" t="s">
        <v>1499</v>
      </c>
      <c r="D17" s="1" t="s">
        <v>1500</v>
      </c>
    </row>
    <row r="18" spans="1:4" ht="105.6">
      <c r="A18" s="5" t="s">
        <v>1501</v>
      </c>
      <c r="B18" s="5" t="s">
        <v>1502</v>
      </c>
      <c r="C18" s="5" t="s">
        <v>1503</v>
      </c>
      <c r="D18" s="5" t="s">
        <v>1504</v>
      </c>
    </row>
    <row r="19" spans="1:4" ht="92.4">
      <c r="A19" s="1" t="s">
        <v>1505</v>
      </c>
      <c r="B19" s="1" t="s">
        <v>1506</v>
      </c>
      <c r="C19" s="1" t="s">
        <v>1507</v>
      </c>
      <c r="D19" s="1" t="s">
        <v>1508</v>
      </c>
    </row>
    <row r="20" spans="1:4" ht="105.6">
      <c r="A20" s="5" t="s">
        <v>1509</v>
      </c>
      <c r="B20" s="5" t="s">
        <v>1510</v>
      </c>
      <c r="C20" s="5" t="s">
        <v>1511</v>
      </c>
      <c r="D20" s="5" t="s">
        <v>1512</v>
      </c>
    </row>
  </sheetData>
  <phoneticPr fontId="30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15D77"/>
  </sheetPr>
  <dimension ref="A1:J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6" customWidth="1"/>
    <col min="2" max="2" width="38" customWidth="1"/>
    <col min="3" max="4" width="23" customWidth="1"/>
    <col min="5" max="5" width="22" customWidth="1"/>
    <col min="6" max="6" width="23" customWidth="1"/>
    <col min="7" max="7" width="15" customWidth="1"/>
    <col min="8" max="8" width="28" customWidth="1"/>
    <col min="9" max="9" width="22" customWidth="1"/>
    <col min="10" max="10" width="98" customWidth="1"/>
  </cols>
  <sheetData>
    <row r="1" spans="1:10" ht="30" customHeight="1">
      <c r="A1" s="51" t="s">
        <v>1513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52" t="s">
        <v>1514</v>
      </c>
      <c r="B3" s="50"/>
      <c r="C3" s="50"/>
      <c r="D3" s="50"/>
      <c r="E3" s="50"/>
      <c r="F3" s="50"/>
      <c r="G3" s="50"/>
      <c r="H3" s="50"/>
      <c r="I3" s="50"/>
      <c r="J3" s="50"/>
    </row>
    <row r="4" spans="1:10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10" ht="36" customHeight="1">
      <c r="A5" s="54" t="s">
        <v>1515</v>
      </c>
      <c r="B5" s="54" t="s">
        <v>1516</v>
      </c>
      <c r="C5" s="54" t="s">
        <v>1517</v>
      </c>
      <c r="D5" s="54" t="s">
        <v>1518</v>
      </c>
      <c r="E5" s="54" t="s">
        <v>1519</v>
      </c>
      <c r="F5" s="54" t="s">
        <v>1520</v>
      </c>
      <c r="G5" s="54" t="s">
        <v>1521</v>
      </c>
      <c r="H5" s="54" t="s">
        <v>1522</v>
      </c>
      <c r="I5" s="54" t="s">
        <v>1523</v>
      </c>
      <c r="J5" s="54" t="s">
        <v>1524</v>
      </c>
    </row>
    <row r="6" spans="1:10" ht="30" customHeight="1">
      <c r="A6" s="55" t="s">
        <v>1525</v>
      </c>
      <c r="B6" s="55" t="s">
        <v>1526</v>
      </c>
      <c r="C6" s="61">
        <f>SUMIFS(SC04월효과!$O$6:$O$41,SC04월효과!$B$6:$B$41,"REP41-v1",SC04월효과!$C$6:$C$41,A6)</f>
        <v>86000000</v>
      </c>
      <c r="D6" s="61">
        <f>SUMIFS(SC04월효과!$O$6:$O$41,SC04월효과!$B$6:$B$41,"DEC41-v2",SC04월효과!$C$6:$C$41,A6)</f>
        <v>86000000</v>
      </c>
      <c r="E6" s="59">
        <f>D6-C6</f>
        <v>0</v>
      </c>
      <c r="F6" s="61">
        <f>SC04가정!T6</f>
        <v>216000000</v>
      </c>
      <c r="G6" s="55">
        <v>2</v>
      </c>
      <c r="H6" s="55" t="s">
        <v>478</v>
      </c>
      <c r="I6" s="55" t="s">
        <v>1527</v>
      </c>
      <c r="J6" s="55" t="s">
        <v>1528</v>
      </c>
    </row>
    <row r="7" spans="1:10" ht="43.95" customHeight="1">
      <c r="A7" s="53" t="s">
        <v>1529</v>
      </c>
      <c r="B7" s="53" t="s">
        <v>1530</v>
      </c>
      <c r="C7" s="62">
        <f>SUMIFS(SC04월효과!$O$6:$O$41,SC04월효과!$B$6:$B$41,"REP41-v1",SC04월효과!$C$6:$C$41,A7)</f>
        <v>45000000</v>
      </c>
      <c r="D7" s="62">
        <f>SUMIFS(SC04월효과!$O$6:$O$41,SC04월효과!$B$6:$B$41,"DEC41-v2",SC04월효과!$C$6:$C$41,A7)</f>
        <v>35600000</v>
      </c>
      <c r="E7" s="60">
        <f>D7-C7</f>
        <v>-9400000</v>
      </c>
      <c r="F7" s="62">
        <f>SC04가정!T7</f>
        <v>112800000</v>
      </c>
      <c r="G7" s="53">
        <v>1</v>
      </c>
      <c r="H7" s="53" t="s">
        <v>1531</v>
      </c>
      <c r="I7" s="53" t="s">
        <v>1532</v>
      </c>
      <c r="J7" s="53" t="s">
        <v>1533</v>
      </c>
    </row>
    <row r="8" spans="1:10" ht="30" customHeight="1">
      <c r="A8" s="55" t="s">
        <v>1534</v>
      </c>
      <c r="B8" s="55" t="s">
        <v>1535</v>
      </c>
      <c r="C8" s="61">
        <f>SUMIFS(SC04월효과!$O$6:$O$41,SC04월효과!$B$6:$B$41,"REP41-v1",SC04월효과!$C$6:$C$41,A8)</f>
        <v>6200000</v>
      </c>
      <c r="D8" s="61">
        <f>SUMIFS(SC04월효과!$O$6:$O$41,SC04월효과!$B$6:$B$41,"DEC41-v2",SC04월효과!$C$6:$C$41,A8)</f>
        <v>6200000</v>
      </c>
      <c r="E8" s="59">
        <f>D8-C8</f>
        <v>0</v>
      </c>
      <c r="F8" s="61">
        <f>SC04가정!T8</f>
        <v>28800000</v>
      </c>
      <c r="G8" s="55">
        <v>3</v>
      </c>
      <c r="H8" s="55" t="s">
        <v>478</v>
      </c>
      <c r="I8" s="55" t="s">
        <v>1532</v>
      </c>
      <c r="J8" s="55" t="s">
        <v>1536</v>
      </c>
    </row>
    <row r="9" spans="1:10" ht="30" customHeight="1">
      <c r="A9" s="53" t="s">
        <v>1537</v>
      </c>
      <c r="B9" s="53" t="s">
        <v>1538</v>
      </c>
      <c r="C9" s="60">
        <f>SUM(C6:C8)</f>
        <v>137200000</v>
      </c>
      <c r="D9" s="60">
        <f>SUM(D6:D8)</f>
        <v>127800000</v>
      </c>
      <c r="E9" s="60">
        <f>SUM(E6:E8)</f>
        <v>-9400000</v>
      </c>
      <c r="F9" s="60">
        <f>SUM(F6:F8)</f>
        <v>357600000</v>
      </c>
      <c r="G9" s="53"/>
      <c r="H9" s="53" t="s">
        <v>1539</v>
      </c>
      <c r="I9" s="53" t="s">
        <v>955</v>
      </c>
      <c r="J9" s="53" t="s">
        <v>1540</v>
      </c>
    </row>
    <row r="10" spans="1:10" ht="30" customHeight="1">
      <c r="A10" s="55" t="s">
        <v>1541</v>
      </c>
      <c r="B10" s="55" t="s">
        <v>1542</v>
      </c>
      <c r="C10" s="55"/>
      <c r="D10" s="55"/>
      <c r="E10" s="55"/>
      <c r="F10" s="55"/>
      <c r="G10" s="55"/>
      <c r="H10" s="55" t="s">
        <v>1543</v>
      </c>
      <c r="I10" s="55" t="s">
        <v>1544</v>
      </c>
      <c r="J10" s="55" t="s">
        <v>1545</v>
      </c>
    </row>
  </sheetData>
  <phoneticPr fontId="30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315D77"/>
  </sheetPr>
  <dimension ref="A1:J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3" width="24" customWidth="1"/>
    <col min="4" max="5" width="22" customWidth="1"/>
    <col min="6" max="7" width="24" customWidth="1"/>
    <col min="8" max="8" width="23" customWidth="1"/>
    <col min="9" max="9" width="25" customWidth="1"/>
    <col min="10" max="10" width="26" customWidth="1"/>
  </cols>
  <sheetData>
    <row r="1" spans="1:10" ht="30" customHeight="1">
      <c r="A1" s="51" t="s">
        <v>1546</v>
      </c>
      <c r="B1" s="50"/>
      <c r="C1" s="50"/>
      <c r="D1" s="50"/>
      <c r="E1" s="50"/>
      <c r="F1" s="50"/>
      <c r="G1" s="50"/>
      <c r="H1" s="50"/>
      <c r="I1" s="50"/>
      <c r="J1" s="50"/>
    </row>
    <row r="2" spans="1:10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>
      <c r="A3" s="52" t="s">
        <v>1547</v>
      </c>
      <c r="B3" s="50"/>
      <c r="C3" s="50"/>
      <c r="D3" s="50"/>
      <c r="E3" s="50"/>
      <c r="F3" s="50"/>
      <c r="G3" s="50"/>
      <c r="H3" s="50"/>
      <c r="I3" s="50"/>
      <c r="J3" s="50"/>
    </row>
    <row r="4" spans="1:10">
      <c r="A4" s="50"/>
      <c r="B4" s="50"/>
      <c r="C4" s="50"/>
      <c r="D4" s="50"/>
      <c r="E4" s="50"/>
      <c r="F4" s="50"/>
      <c r="G4" s="50"/>
      <c r="H4" s="50"/>
      <c r="I4" s="50"/>
      <c r="J4" s="50"/>
    </row>
    <row r="5" spans="1:10" ht="36" customHeight="1">
      <c r="A5" s="54" t="s">
        <v>149</v>
      </c>
      <c r="B5" s="54" t="s">
        <v>1548</v>
      </c>
      <c r="C5" s="54" t="s">
        <v>1549</v>
      </c>
      <c r="D5" s="54" t="s">
        <v>1550</v>
      </c>
      <c r="E5" s="54" t="s">
        <v>1551</v>
      </c>
      <c r="F5" s="54" t="s">
        <v>1552</v>
      </c>
      <c r="G5" s="54" t="s">
        <v>1553</v>
      </c>
      <c r="H5" s="54" t="s">
        <v>1554</v>
      </c>
      <c r="I5" s="54" t="s">
        <v>1555</v>
      </c>
      <c r="J5" s="54" t="s">
        <v>1556</v>
      </c>
    </row>
    <row r="6" spans="1:10" ht="30" customHeight="1">
      <c r="A6" s="63">
        <v>46388</v>
      </c>
      <c r="B6" s="61">
        <f>통합손익!M6</f>
        <v>310340000</v>
      </c>
      <c r="C6" s="61">
        <f>통합손익!K6</f>
        <v>309349000</v>
      </c>
      <c r="D6" s="61">
        <f>SUMIFS(SC04월효과!$O$6:$O$41,SC04월효과!$B$6:$B$41,"REP41-v1",SC04월효과!$D$6:$D$41,A6)</f>
        <v>0</v>
      </c>
      <c r="E6" s="61">
        <f>SUMIFS(SC04월효과!$O$6:$O$41,SC04월효과!$B$6:$B$41,"DEC41-v2",SC04월효과!$D$6:$D$41,A6)</f>
        <v>0</v>
      </c>
      <c r="F6" s="59">
        <f t="shared" ref="F6:F17" si="0">C6+D6</f>
        <v>309349000</v>
      </c>
      <c r="G6" s="59">
        <f t="shared" ref="G6:G17" si="1">C6+E6</f>
        <v>309349000</v>
      </c>
      <c r="H6" s="59">
        <f t="shared" ref="H6:H17" si="2">B6-G6</f>
        <v>991000</v>
      </c>
      <c r="I6" s="61">
        <f>G6-SUMIFS(SC04월효과!$O$6:$O$41,SC04월효과!$B$6:$B$41,"DEC41-v2",SC04월효과!$D$6:$D$41,A6,SC04월효과!$C$6:$C$41,"ALT42")</f>
        <v>309349000</v>
      </c>
      <c r="J6" s="59">
        <f t="shared" ref="J6:J17" si="3">B6-I6</f>
        <v>991000</v>
      </c>
    </row>
    <row r="7" spans="1:10" ht="30" customHeight="1">
      <c r="A7" s="65">
        <v>46419</v>
      </c>
      <c r="B7" s="62">
        <f>통합손익!M7</f>
        <v>230300000</v>
      </c>
      <c r="C7" s="62">
        <f>통합손익!K7</f>
        <v>226547000</v>
      </c>
      <c r="D7" s="62">
        <f>SUMIFS(SC04월효과!$O$6:$O$41,SC04월효과!$B$6:$B$41,"REP41-v1",SC04월효과!$D$6:$D$41,A7)</f>
        <v>0</v>
      </c>
      <c r="E7" s="62">
        <f>SUMIFS(SC04월효과!$O$6:$O$41,SC04월효과!$B$6:$B$41,"DEC41-v2",SC04월효과!$D$6:$D$41,A7)</f>
        <v>0</v>
      </c>
      <c r="F7" s="60">
        <f t="shared" si="0"/>
        <v>226547000</v>
      </c>
      <c r="G7" s="60">
        <f t="shared" si="1"/>
        <v>226547000</v>
      </c>
      <c r="H7" s="60">
        <f t="shared" si="2"/>
        <v>3753000</v>
      </c>
      <c r="I7" s="62">
        <f>G7-SUMIFS(SC04월효과!$O$6:$O$41,SC04월효과!$B$6:$B$41,"DEC41-v2",SC04월효과!$D$6:$D$41,A7,SC04월효과!$C$6:$C$41,"ALT42")</f>
        <v>226547000</v>
      </c>
      <c r="J7" s="60">
        <f t="shared" si="3"/>
        <v>3753000</v>
      </c>
    </row>
    <row r="8" spans="1:10" ht="30" customHeight="1">
      <c r="A8" s="63">
        <v>46447</v>
      </c>
      <c r="B8" s="61">
        <f>통합손익!M8</f>
        <v>330350000</v>
      </c>
      <c r="C8" s="61">
        <f>통합손익!K8</f>
        <v>322633000</v>
      </c>
      <c r="D8" s="61">
        <f>SUMIFS(SC04월효과!$O$6:$O$41,SC04월효과!$B$6:$B$41,"REP41-v1",SC04월효과!$D$6:$D$41,A8)</f>
        <v>0</v>
      </c>
      <c r="E8" s="61">
        <f>SUMIFS(SC04월효과!$O$6:$O$41,SC04월효과!$B$6:$B$41,"DEC41-v2",SC04월효과!$D$6:$D$41,A8)</f>
        <v>0</v>
      </c>
      <c r="F8" s="59">
        <f t="shared" si="0"/>
        <v>322633000</v>
      </c>
      <c r="G8" s="59">
        <f t="shared" si="1"/>
        <v>322633000</v>
      </c>
      <c r="H8" s="59">
        <f t="shared" si="2"/>
        <v>7717000</v>
      </c>
      <c r="I8" s="61">
        <f>G8-SUMIFS(SC04월효과!$O$6:$O$41,SC04월효과!$B$6:$B$41,"DEC41-v2",SC04월효과!$D$6:$D$41,A8,SC04월효과!$C$6:$C$41,"ALT42")</f>
        <v>322633000</v>
      </c>
      <c r="J8" s="59">
        <f t="shared" si="3"/>
        <v>7717000</v>
      </c>
    </row>
    <row r="9" spans="1:10" ht="30" customHeight="1">
      <c r="A9" s="65">
        <v>46478</v>
      </c>
      <c r="B9" s="62">
        <f>통합손익!M9</f>
        <v>297000000</v>
      </c>
      <c r="C9" s="62">
        <f>통합손익!K9</f>
        <v>286430000</v>
      </c>
      <c r="D9" s="62">
        <f>SUMIFS(SC04월효과!$O$6:$O$41,SC04월효과!$B$6:$B$41,"REP41-v1",SC04월효과!$D$6:$D$41,A9)</f>
        <v>0</v>
      </c>
      <c r="E9" s="62">
        <f>SUMIFS(SC04월효과!$O$6:$O$41,SC04월효과!$B$6:$B$41,"DEC41-v2",SC04월효과!$D$6:$D$41,A9)</f>
        <v>0</v>
      </c>
      <c r="F9" s="60">
        <f t="shared" si="0"/>
        <v>286430000</v>
      </c>
      <c r="G9" s="60">
        <f t="shared" si="1"/>
        <v>286430000</v>
      </c>
      <c r="H9" s="60">
        <f t="shared" si="2"/>
        <v>10570000</v>
      </c>
      <c r="I9" s="62">
        <f>G9-SUMIFS(SC04월효과!$O$6:$O$41,SC04월효과!$B$6:$B$41,"DEC41-v2",SC04월효과!$D$6:$D$41,A9,SC04월효과!$C$6:$C$41,"ALT42")</f>
        <v>286430000</v>
      </c>
      <c r="J9" s="60">
        <f t="shared" si="3"/>
        <v>10570000</v>
      </c>
    </row>
    <row r="10" spans="1:10" ht="30" customHeight="1">
      <c r="A10" s="63">
        <v>46508</v>
      </c>
      <c r="B10" s="61">
        <f>통합손익!M10</f>
        <v>283660000</v>
      </c>
      <c r="C10" s="61">
        <f>통합손익!K10</f>
        <v>270161000</v>
      </c>
      <c r="D10" s="61">
        <f>SUMIFS(SC04월효과!$O$6:$O$41,SC04월효과!$B$6:$B$41,"REP41-v1",SC04월효과!$D$6:$D$41,A10)</f>
        <v>0</v>
      </c>
      <c r="E10" s="61">
        <f>SUMIFS(SC04월효과!$O$6:$O$41,SC04월효과!$B$6:$B$41,"DEC41-v2",SC04월효과!$D$6:$D$41,A10)</f>
        <v>0</v>
      </c>
      <c r="F10" s="59">
        <f t="shared" si="0"/>
        <v>270161000</v>
      </c>
      <c r="G10" s="59">
        <f t="shared" si="1"/>
        <v>270161000</v>
      </c>
      <c r="H10" s="59">
        <f t="shared" si="2"/>
        <v>13499000</v>
      </c>
      <c r="I10" s="61">
        <f>G10-SUMIFS(SC04월효과!$O$6:$O$41,SC04월효과!$B$6:$B$41,"DEC41-v2",SC04월효과!$D$6:$D$41,A10,SC04월효과!$C$6:$C$41,"ALT42")</f>
        <v>270161000</v>
      </c>
      <c r="J10" s="59">
        <f t="shared" si="3"/>
        <v>13499000</v>
      </c>
    </row>
    <row r="11" spans="1:10" ht="30" customHeight="1">
      <c r="A11" s="65">
        <v>46539</v>
      </c>
      <c r="B11" s="62">
        <f>통합손익!M11</f>
        <v>297000000</v>
      </c>
      <c r="C11" s="62">
        <f>통합손익!K11</f>
        <v>280030000</v>
      </c>
      <c r="D11" s="62">
        <f>SUMIFS(SC04월효과!$O$6:$O$41,SC04월효과!$B$6:$B$41,"REP41-v1",SC04월효과!$D$6:$D$41,A11)</f>
        <v>0</v>
      </c>
      <c r="E11" s="62">
        <f>SUMIFS(SC04월효과!$O$6:$O$41,SC04월효과!$B$6:$B$41,"DEC41-v2",SC04월효과!$D$6:$D$41,A11)</f>
        <v>0</v>
      </c>
      <c r="F11" s="60">
        <f t="shared" si="0"/>
        <v>280030000</v>
      </c>
      <c r="G11" s="60">
        <f t="shared" si="1"/>
        <v>280030000</v>
      </c>
      <c r="H11" s="60">
        <f t="shared" si="2"/>
        <v>16970000</v>
      </c>
      <c r="I11" s="62">
        <f>G11-SUMIFS(SC04월효과!$O$6:$O$41,SC04월효과!$B$6:$B$41,"DEC41-v2",SC04월효과!$D$6:$D$41,A11,SC04월효과!$C$6:$C$41,"ALT42")</f>
        <v>280030000</v>
      </c>
      <c r="J11" s="60">
        <f t="shared" si="3"/>
        <v>16970000</v>
      </c>
    </row>
    <row r="12" spans="1:10" ht="30" customHeight="1">
      <c r="A12" s="63">
        <v>46569</v>
      </c>
      <c r="B12" s="61">
        <f>통합손익!M12</f>
        <v>297000000</v>
      </c>
      <c r="C12" s="61">
        <f>통합손익!K12</f>
        <v>264518000</v>
      </c>
      <c r="D12" s="61">
        <f>SUMIFS(SC04월효과!$O$6:$O$41,SC04월효과!$B$6:$B$41,"REP41-v1",SC04월효과!$D$6:$D$41,A12)</f>
        <v>-4000000</v>
      </c>
      <c r="E12" s="61">
        <f>SUMIFS(SC04월효과!$O$6:$O$41,SC04월효과!$B$6:$B$41,"DEC41-v2",SC04월효과!$D$6:$D$41,A12)</f>
        <v>-4000000</v>
      </c>
      <c r="F12" s="59">
        <f t="shared" si="0"/>
        <v>260518000</v>
      </c>
      <c r="G12" s="59">
        <f t="shared" si="1"/>
        <v>260518000</v>
      </c>
      <c r="H12" s="59">
        <f t="shared" si="2"/>
        <v>36482000</v>
      </c>
      <c r="I12" s="61">
        <f>G12-SUMIFS(SC04월효과!$O$6:$O$41,SC04월효과!$B$6:$B$41,"DEC41-v2",SC04월효과!$D$6:$D$41,A12,SC04월효과!$C$6:$C$41,"ALT42")</f>
        <v>260518000</v>
      </c>
      <c r="J12" s="59">
        <f t="shared" si="3"/>
        <v>36482000</v>
      </c>
    </row>
    <row r="13" spans="1:10" ht="30" customHeight="1">
      <c r="A13" s="65">
        <v>46600</v>
      </c>
      <c r="B13" s="62">
        <f>통합손익!M13</f>
        <v>243640000</v>
      </c>
      <c r="C13" s="62">
        <f>통합손익!K13</f>
        <v>226557680</v>
      </c>
      <c r="D13" s="62">
        <f>SUMIFS(SC04월효과!$O$6:$O$41,SC04월효과!$B$6:$B$41,"REP41-v1",SC04월효과!$D$6:$D$41,A13)</f>
        <v>25400000</v>
      </c>
      <c r="E13" s="62">
        <f>SUMIFS(SC04월효과!$O$6:$O$41,SC04월효과!$B$6:$B$41,"DEC41-v2",SC04월효과!$D$6:$D$41,A13)</f>
        <v>16000000</v>
      </c>
      <c r="F13" s="60">
        <f t="shared" si="0"/>
        <v>251957680</v>
      </c>
      <c r="G13" s="60">
        <f t="shared" si="1"/>
        <v>242557680</v>
      </c>
      <c r="H13" s="60">
        <f t="shared" si="2"/>
        <v>1082320</v>
      </c>
      <c r="I13" s="62">
        <f>G13-SUMIFS(SC04월효과!$O$6:$O$41,SC04월효과!$B$6:$B$41,"DEC41-v2",SC04월효과!$D$6:$D$41,A13,SC04월효과!$C$6:$C$41,"ALT42")</f>
        <v>244557680</v>
      </c>
      <c r="J13" s="60">
        <f t="shared" si="3"/>
        <v>-917680</v>
      </c>
    </row>
    <row r="14" spans="1:10" ht="30" customHeight="1">
      <c r="A14" s="63">
        <v>46631</v>
      </c>
      <c r="B14" s="61">
        <f>통합손익!M14</f>
        <v>317010000</v>
      </c>
      <c r="C14" s="61">
        <f>통합손익!K14</f>
        <v>297892120</v>
      </c>
      <c r="D14" s="61">
        <f>SUMIFS(SC04월효과!$O$6:$O$41,SC04월효과!$B$6:$B$41,"REP41-v1",SC04월효과!$D$6:$D$41,A14)</f>
        <v>26400000</v>
      </c>
      <c r="E14" s="61">
        <f>SUMIFS(SC04월효과!$O$6:$O$41,SC04월효과!$B$6:$B$41,"DEC41-v2",SC04월효과!$D$6:$D$41,A14)</f>
        <v>26400000</v>
      </c>
      <c r="F14" s="59">
        <f t="shared" si="0"/>
        <v>324292120</v>
      </c>
      <c r="G14" s="59">
        <f t="shared" si="1"/>
        <v>324292120</v>
      </c>
      <c r="H14" s="59">
        <f t="shared" si="2"/>
        <v>-7282120</v>
      </c>
      <c r="I14" s="61">
        <f>G14-SUMIFS(SC04월효과!$O$6:$O$41,SC04월효과!$B$6:$B$41,"DEC41-v2",SC04월효과!$D$6:$D$41,A14,SC04월효과!$C$6:$C$41,"ALT42")</f>
        <v>314892120</v>
      </c>
      <c r="J14" s="59">
        <f t="shared" si="3"/>
        <v>2117880</v>
      </c>
    </row>
    <row r="15" spans="1:10" ht="30" customHeight="1">
      <c r="A15" s="65">
        <v>46661</v>
      </c>
      <c r="B15" s="62">
        <f>통합손익!M15</f>
        <v>310340000</v>
      </c>
      <c r="C15" s="62">
        <f>통합손익!K15</f>
        <v>291401080</v>
      </c>
      <c r="D15" s="62">
        <f>SUMIFS(SC04월효과!$O$6:$O$41,SC04월효과!$B$6:$B$41,"REP41-v1",SC04월효과!$D$6:$D$41,A15)</f>
        <v>29800000</v>
      </c>
      <c r="E15" s="62">
        <f>SUMIFS(SC04월효과!$O$6:$O$41,SC04월효과!$B$6:$B$41,"DEC41-v2",SC04월효과!$D$6:$D$41,A15)</f>
        <v>29800000</v>
      </c>
      <c r="F15" s="60">
        <f t="shared" si="0"/>
        <v>321201080</v>
      </c>
      <c r="G15" s="60">
        <f t="shared" si="1"/>
        <v>321201080</v>
      </c>
      <c r="H15" s="60">
        <f t="shared" si="2"/>
        <v>-10861080</v>
      </c>
      <c r="I15" s="62">
        <f>G15-SUMIFS(SC04월효과!$O$6:$O$41,SC04월효과!$B$6:$B$41,"DEC41-v2",SC04월효과!$D$6:$D$41,A15,SC04월효과!$C$6:$C$41,"ALT42")</f>
        <v>311801080</v>
      </c>
      <c r="J15" s="60">
        <f t="shared" si="3"/>
        <v>-1461080</v>
      </c>
    </row>
    <row r="16" spans="1:10" ht="30" customHeight="1">
      <c r="A16" s="63">
        <v>46692</v>
      </c>
      <c r="B16" s="61">
        <f>통합손익!M16</f>
        <v>297000000</v>
      </c>
      <c r="C16" s="61">
        <f>통합손익!K16</f>
        <v>278434000</v>
      </c>
      <c r="D16" s="61">
        <f>SUMIFS(SC04월효과!$O$6:$O$41,SC04월효과!$B$6:$B$41,"REP41-v1",SC04월효과!$D$6:$D$41,A16)</f>
        <v>29800000</v>
      </c>
      <c r="E16" s="61">
        <f>SUMIFS(SC04월효과!$O$6:$O$41,SC04월효과!$B$6:$B$41,"DEC41-v2",SC04월효과!$D$6:$D$41,A16)</f>
        <v>29800000</v>
      </c>
      <c r="F16" s="59">
        <f t="shared" si="0"/>
        <v>308234000</v>
      </c>
      <c r="G16" s="59">
        <f t="shared" si="1"/>
        <v>308234000</v>
      </c>
      <c r="H16" s="59">
        <f t="shared" si="2"/>
        <v>-11234000</v>
      </c>
      <c r="I16" s="61">
        <f>G16-SUMIFS(SC04월효과!$O$6:$O$41,SC04월효과!$B$6:$B$41,"DEC41-v2",SC04월효과!$D$6:$D$41,A16,SC04월효과!$C$6:$C$41,"ALT42")</f>
        <v>298834000</v>
      </c>
      <c r="J16" s="59">
        <f t="shared" si="3"/>
        <v>-1834000</v>
      </c>
    </row>
    <row r="17" spans="1:10" ht="30" customHeight="1">
      <c r="A17" s="65">
        <v>46722</v>
      </c>
      <c r="B17" s="62">
        <f>통합손익!M17</f>
        <v>263650000</v>
      </c>
      <c r="C17" s="62">
        <f>통합손익!K17</f>
        <v>246033800</v>
      </c>
      <c r="D17" s="62">
        <f>SUMIFS(SC04월효과!$O$6:$O$41,SC04월효과!$B$6:$B$41,"REP41-v1",SC04월효과!$D$6:$D$41,A17)</f>
        <v>29800000</v>
      </c>
      <c r="E17" s="62">
        <f>SUMIFS(SC04월효과!$O$6:$O$41,SC04월효과!$B$6:$B$41,"DEC41-v2",SC04월효과!$D$6:$D$41,A17)</f>
        <v>29800000</v>
      </c>
      <c r="F17" s="60">
        <f t="shared" si="0"/>
        <v>275833800</v>
      </c>
      <c r="G17" s="60">
        <f t="shared" si="1"/>
        <v>275833800</v>
      </c>
      <c r="H17" s="60">
        <f t="shared" si="2"/>
        <v>-12183800</v>
      </c>
      <c r="I17" s="62">
        <f>G17-SUMIFS(SC04월효과!$O$6:$O$41,SC04월효과!$B$6:$B$41,"DEC41-v2",SC04월효과!$D$6:$D$41,A17,SC04월효과!$C$6:$C$41,"ALT42")</f>
        <v>266433800</v>
      </c>
      <c r="J17" s="60">
        <f t="shared" si="3"/>
        <v>-2783800</v>
      </c>
    </row>
    <row r="18" spans="1:10" ht="30" customHeight="1">
      <c r="A18" s="55" t="s">
        <v>182</v>
      </c>
      <c r="B18" s="59">
        <f t="shared" ref="B18:J18" si="4">SUM(B6:B17)</f>
        <v>3477290000</v>
      </c>
      <c r="C18" s="59">
        <f t="shared" si="4"/>
        <v>3299986680</v>
      </c>
      <c r="D18" s="59">
        <f t="shared" si="4"/>
        <v>137200000</v>
      </c>
      <c r="E18" s="59">
        <f t="shared" si="4"/>
        <v>127800000</v>
      </c>
      <c r="F18" s="59">
        <f t="shared" si="4"/>
        <v>3437186680</v>
      </c>
      <c r="G18" s="59">
        <f t="shared" si="4"/>
        <v>3427786680</v>
      </c>
      <c r="H18" s="59">
        <f t="shared" si="4"/>
        <v>49503320</v>
      </c>
      <c r="I18" s="59">
        <f t="shared" si="4"/>
        <v>3392186680</v>
      </c>
      <c r="J18" s="59">
        <f t="shared" si="4"/>
        <v>85103320</v>
      </c>
    </row>
    <row r="19" spans="1:10" ht="30" customHeight="1">
      <c r="A19" s="53" t="s">
        <v>177</v>
      </c>
      <c r="B19" s="60">
        <f t="shared" ref="B19:J19" si="5">SUM(B12:B14)</f>
        <v>857650000</v>
      </c>
      <c r="C19" s="60">
        <f t="shared" si="5"/>
        <v>788967800</v>
      </c>
      <c r="D19" s="60">
        <f t="shared" si="5"/>
        <v>47800000</v>
      </c>
      <c r="E19" s="60">
        <f t="shared" si="5"/>
        <v>38400000</v>
      </c>
      <c r="F19" s="60">
        <f t="shared" si="5"/>
        <v>836767800</v>
      </c>
      <c r="G19" s="60">
        <f t="shared" si="5"/>
        <v>827367800</v>
      </c>
      <c r="H19" s="60">
        <f t="shared" si="5"/>
        <v>30282200</v>
      </c>
      <c r="I19" s="60">
        <f t="shared" si="5"/>
        <v>819967800</v>
      </c>
      <c r="J19" s="60">
        <f t="shared" si="5"/>
        <v>37682200</v>
      </c>
    </row>
    <row r="20" spans="1:10" ht="30" customHeight="1">
      <c r="A20" s="55" t="s">
        <v>179</v>
      </c>
      <c r="B20" s="59">
        <f t="shared" ref="B20:J20" si="6">SUM(B15:B17)</f>
        <v>870990000</v>
      </c>
      <c r="C20" s="59">
        <f t="shared" si="6"/>
        <v>815868880</v>
      </c>
      <c r="D20" s="59">
        <f t="shared" si="6"/>
        <v>89400000</v>
      </c>
      <c r="E20" s="59">
        <f t="shared" si="6"/>
        <v>89400000</v>
      </c>
      <c r="F20" s="59">
        <f t="shared" si="6"/>
        <v>905268880</v>
      </c>
      <c r="G20" s="59">
        <f t="shared" si="6"/>
        <v>905268880</v>
      </c>
      <c r="H20" s="59">
        <f t="shared" si="6"/>
        <v>-34278880</v>
      </c>
      <c r="I20" s="59">
        <f t="shared" si="6"/>
        <v>877068880</v>
      </c>
      <c r="J20" s="59">
        <f t="shared" si="6"/>
        <v>-6078880</v>
      </c>
    </row>
    <row r="21" spans="1:10" ht="30" customHeight="1">
      <c r="A21" s="53" t="s">
        <v>1557</v>
      </c>
      <c r="B21" s="60">
        <f t="shared" ref="B21:J21" si="7">SUM(B12:B17)</f>
        <v>1728640000</v>
      </c>
      <c r="C21" s="60">
        <f t="shared" si="7"/>
        <v>1604836680</v>
      </c>
      <c r="D21" s="60">
        <f t="shared" si="7"/>
        <v>137200000</v>
      </c>
      <c r="E21" s="60">
        <f t="shared" si="7"/>
        <v>127800000</v>
      </c>
      <c r="F21" s="60">
        <f t="shared" si="7"/>
        <v>1742036680</v>
      </c>
      <c r="G21" s="60">
        <f t="shared" si="7"/>
        <v>1732636680</v>
      </c>
      <c r="H21" s="60">
        <f t="shared" si="7"/>
        <v>-3996680</v>
      </c>
      <c r="I21" s="60">
        <f t="shared" si="7"/>
        <v>1697036680</v>
      </c>
      <c r="J21" s="60">
        <f t="shared" si="7"/>
        <v>31603320</v>
      </c>
    </row>
  </sheetData>
  <phoneticPr fontId="30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15D77"/>
  </sheetPr>
  <dimension ref="A1:U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37" customWidth="1"/>
    <col min="3" max="3" width="19" customWidth="1"/>
    <col min="4" max="4" width="15" customWidth="1"/>
    <col min="5" max="5" width="19" customWidth="1"/>
    <col min="6" max="7" width="20" customWidth="1"/>
    <col min="8" max="11" width="17" customWidth="1"/>
    <col min="12" max="13" width="14" customWidth="1"/>
    <col min="14" max="16" width="19" customWidth="1"/>
    <col min="17" max="17" width="20" customWidth="1"/>
    <col min="18" max="18" width="19" customWidth="1"/>
    <col min="19" max="20" width="21" customWidth="1"/>
    <col min="21" max="21" width="22" customWidth="1"/>
  </cols>
  <sheetData>
    <row r="1" spans="1:21" ht="30" customHeight="1">
      <c r="A1" s="51" t="s">
        <v>1558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21">
      <c r="A3" s="52" t="s">
        <v>1559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</row>
    <row r="4" spans="1:2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</row>
    <row r="5" spans="1:21" ht="36" customHeight="1">
      <c r="A5" s="54" t="s">
        <v>1515</v>
      </c>
      <c r="B5" s="54" t="s">
        <v>1560</v>
      </c>
      <c r="C5" s="54" t="s">
        <v>1561</v>
      </c>
      <c r="D5" s="54" t="s">
        <v>1562</v>
      </c>
      <c r="E5" s="54" t="s">
        <v>1563</v>
      </c>
      <c r="F5" s="54" t="s">
        <v>1564</v>
      </c>
      <c r="G5" s="54" t="s">
        <v>1565</v>
      </c>
      <c r="H5" s="54" t="s">
        <v>1566</v>
      </c>
      <c r="I5" s="54" t="s">
        <v>1567</v>
      </c>
      <c r="J5" s="54" t="s">
        <v>1568</v>
      </c>
      <c r="K5" s="54" t="s">
        <v>1569</v>
      </c>
      <c r="L5" s="54" t="s">
        <v>1570</v>
      </c>
      <c r="M5" s="54" t="s">
        <v>1571</v>
      </c>
      <c r="N5" s="54" t="s">
        <v>1572</v>
      </c>
      <c r="O5" s="54" t="s">
        <v>1573</v>
      </c>
      <c r="P5" s="54" t="s">
        <v>1574</v>
      </c>
      <c r="Q5" s="54" t="s">
        <v>1575</v>
      </c>
      <c r="R5" s="54" t="s">
        <v>1576</v>
      </c>
      <c r="S5" s="54" t="s">
        <v>1577</v>
      </c>
      <c r="T5" s="54" t="s">
        <v>1520</v>
      </c>
      <c r="U5" s="54" t="s">
        <v>1578</v>
      </c>
    </row>
    <row r="6" spans="1:21" ht="30" customHeight="1">
      <c r="A6" s="55" t="s">
        <v>1525</v>
      </c>
      <c r="B6" s="55" t="s">
        <v>1526</v>
      </c>
      <c r="C6" s="55" t="s">
        <v>1113</v>
      </c>
      <c r="D6" s="55" t="s">
        <v>219</v>
      </c>
      <c r="E6" s="55" t="s">
        <v>1579</v>
      </c>
      <c r="F6" s="77">
        <v>46600</v>
      </c>
      <c r="G6" s="77">
        <v>46600</v>
      </c>
      <c r="H6" s="78">
        <v>3000</v>
      </c>
      <c r="I6" s="78">
        <v>15000</v>
      </c>
      <c r="J6" s="78">
        <v>8000</v>
      </c>
      <c r="K6" s="78">
        <v>1000</v>
      </c>
      <c r="L6" s="78">
        <v>0</v>
      </c>
      <c r="M6" s="78">
        <v>0</v>
      </c>
      <c r="N6" s="78">
        <v>0</v>
      </c>
      <c r="O6" s="78">
        <v>0</v>
      </c>
      <c r="P6" s="78">
        <v>4000000</v>
      </c>
      <c r="Q6" s="77">
        <v>46569</v>
      </c>
      <c r="R6" s="78">
        <v>8000000</v>
      </c>
      <c r="S6" s="59">
        <f>H6*(I6-J6-K6)-O6</f>
        <v>18000000</v>
      </c>
      <c r="T6" s="59">
        <f>S6*12</f>
        <v>216000000</v>
      </c>
      <c r="U6" s="55"/>
    </row>
    <row r="7" spans="1:21" ht="30" customHeight="1">
      <c r="A7" s="53" t="s">
        <v>1529</v>
      </c>
      <c r="B7" s="53" t="s">
        <v>1530</v>
      </c>
      <c r="C7" s="53" t="s">
        <v>1119</v>
      </c>
      <c r="D7" s="53" t="s">
        <v>224</v>
      </c>
      <c r="E7" s="53" t="s">
        <v>1580</v>
      </c>
      <c r="F7" s="77">
        <v>46600</v>
      </c>
      <c r="G7" s="77">
        <v>46631</v>
      </c>
      <c r="H7" s="78">
        <v>0</v>
      </c>
      <c r="I7" s="78">
        <v>0</v>
      </c>
      <c r="J7" s="78">
        <v>0</v>
      </c>
      <c r="K7" s="78">
        <v>0</v>
      </c>
      <c r="L7" s="78">
        <v>12</v>
      </c>
      <c r="M7" s="78">
        <v>4</v>
      </c>
      <c r="N7" s="78">
        <v>1200000</v>
      </c>
      <c r="O7" s="78">
        <v>200000</v>
      </c>
      <c r="P7" s="78">
        <v>2000000</v>
      </c>
      <c r="Q7" s="77">
        <v>46600</v>
      </c>
      <c r="R7" s="78">
        <v>6000000</v>
      </c>
      <c r="S7" s="60">
        <f>(L7-M7)*N7-O7</f>
        <v>9400000</v>
      </c>
      <c r="T7" s="60">
        <f>S7*12</f>
        <v>112800000</v>
      </c>
      <c r="U7" s="56">
        <v>100</v>
      </c>
    </row>
    <row r="8" spans="1:21" ht="30" customHeight="1">
      <c r="A8" s="55" t="s">
        <v>1534</v>
      </c>
      <c r="B8" s="55" t="s">
        <v>1535</v>
      </c>
      <c r="C8" s="55" t="s">
        <v>1119</v>
      </c>
      <c r="D8" s="55" t="s">
        <v>224</v>
      </c>
      <c r="E8" s="55" t="s">
        <v>1581</v>
      </c>
      <c r="F8" s="77">
        <v>46661</v>
      </c>
      <c r="G8" s="77">
        <v>46661</v>
      </c>
      <c r="H8" s="78">
        <v>6000</v>
      </c>
      <c r="I8" s="78">
        <v>5000</v>
      </c>
      <c r="J8" s="78">
        <v>4500</v>
      </c>
      <c r="K8" s="78">
        <v>100</v>
      </c>
      <c r="L8" s="78">
        <v>0</v>
      </c>
      <c r="M8" s="78">
        <v>0</v>
      </c>
      <c r="N8" s="78">
        <v>0</v>
      </c>
      <c r="O8" s="78">
        <v>0</v>
      </c>
      <c r="P8" s="78">
        <v>1000000</v>
      </c>
      <c r="Q8" s="77">
        <v>46631</v>
      </c>
      <c r="R8" s="78">
        <v>4000000</v>
      </c>
      <c r="S8" s="59">
        <f>H8*(I8-J8-K8)-O8</f>
        <v>2400000</v>
      </c>
      <c r="T8" s="59">
        <f>S8*12</f>
        <v>28800000</v>
      </c>
      <c r="U8" s="55"/>
    </row>
  </sheetData>
  <phoneticPr fontId="30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15D77"/>
  </sheetPr>
  <dimension ref="A1:R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43" customWidth="1"/>
    <col min="2" max="2" width="20" customWidth="1"/>
    <col min="3" max="3" width="15" customWidth="1"/>
    <col min="4" max="5" width="17" customWidth="1"/>
    <col min="6" max="6" width="14" customWidth="1"/>
    <col min="7" max="7" width="17" customWidth="1"/>
    <col min="8" max="14" width="20" customWidth="1"/>
    <col min="15" max="15" width="21" customWidth="1"/>
    <col min="16" max="16" width="18" customWidth="1"/>
    <col min="17" max="17" width="22" customWidth="1"/>
    <col min="18" max="18" width="25" customWidth="1"/>
  </cols>
  <sheetData>
    <row r="1" spans="1:18" ht="30" customHeight="1">
      <c r="A1" s="51" t="s">
        <v>1582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>
      <c r="A3" s="52" t="s">
        <v>1583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8" ht="36" customHeight="1">
      <c r="A5" s="54" t="s">
        <v>1584</v>
      </c>
      <c r="B5" s="54" t="s">
        <v>1585</v>
      </c>
      <c r="C5" s="54" t="s">
        <v>1515</v>
      </c>
      <c r="D5" s="54" t="s">
        <v>165</v>
      </c>
      <c r="E5" s="54" t="s">
        <v>1586</v>
      </c>
      <c r="F5" s="54" t="s">
        <v>1587</v>
      </c>
      <c r="G5" s="54" t="s">
        <v>1588</v>
      </c>
      <c r="H5" s="54" t="s">
        <v>1589</v>
      </c>
      <c r="I5" s="54" t="s">
        <v>1590</v>
      </c>
      <c r="J5" s="54" t="s">
        <v>1591</v>
      </c>
      <c r="K5" s="54" t="s">
        <v>1592</v>
      </c>
      <c r="L5" s="54" t="s">
        <v>1574</v>
      </c>
      <c r="M5" s="54" t="s">
        <v>1593</v>
      </c>
      <c r="N5" s="54" t="s">
        <v>1594</v>
      </c>
      <c r="O5" s="54" t="s">
        <v>1595</v>
      </c>
      <c r="P5" s="54" t="s">
        <v>1596</v>
      </c>
      <c r="Q5" s="54" t="s">
        <v>1597</v>
      </c>
      <c r="R5" s="54" t="s">
        <v>1598</v>
      </c>
    </row>
    <row r="6" spans="1:18" ht="43.95" customHeight="1">
      <c r="A6" s="55" t="s">
        <v>1599</v>
      </c>
      <c r="B6" s="55" t="s">
        <v>1600</v>
      </c>
      <c r="C6" s="55" t="s">
        <v>1525</v>
      </c>
      <c r="D6" s="63">
        <v>46569</v>
      </c>
      <c r="E6" s="64">
        <f>SC04가정!F6</f>
        <v>46600</v>
      </c>
      <c r="F6" s="59">
        <f t="shared" ref="F6:F41" si="0">IF(D6&gt;=E6,1,0)</f>
        <v>0</v>
      </c>
      <c r="G6" s="61">
        <f>F6*SC04가정!H6</f>
        <v>0</v>
      </c>
      <c r="H6" s="61">
        <f>G6*SC04가정!I6</f>
        <v>0</v>
      </c>
      <c r="I6" s="61">
        <f>G6*SC04가정!J6</f>
        <v>0</v>
      </c>
      <c r="J6" s="61">
        <f>G6*SC04가정!K6</f>
        <v>0</v>
      </c>
      <c r="K6" s="61">
        <f>F6*SC04가정!O6</f>
        <v>0</v>
      </c>
      <c r="L6" s="61">
        <f>IF(D6=SC04가정!Q6,SC04가정!P6,0)</f>
        <v>4000000</v>
      </c>
      <c r="M6" s="59">
        <f>0</f>
        <v>0</v>
      </c>
      <c r="N6" s="59">
        <f t="shared" ref="N6:N41" si="1">M6</f>
        <v>0</v>
      </c>
      <c r="O6" s="59">
        <f t="shared" ref="O6:O41" si="2">H6-I6-J6-K6-L6+M6-N6</f>
        <v>-4000000</v>
      </c>
      <c r="P6" s="55">
        <v>0</v>
      </c>
      <c r="Q6" s="55" t="s">
        <v>1601</v>
      </c>
      <c r="R6" s="55" t="s">
        <v>1602</v>
      </c>
    </row>
    <row r="7" spans="1:18" ht="43.95" customHeight="1">
      <c r="A7" s="53" t="s">
        <v>1603</v>
      </c>
      <c r="B7" s="53" t="s">
        <v>1600</v>
      </c>
      <c r="C7" s="53" t="s">
        <v>1525</v>
      </c>
      <c r="D7" s="65">
        <v>46600</v>
      </c>
      <c r="E7" s="66">
        <f>SC04가정!F6</f>
        <v>46600</v>
      </c>
      <c r="F7" s="60">
        <f t="shared" si="0"/>
        <v>1</v>
      </c>
      <c r="G7" s="62">
        <f>F7*SC04가정!H6</f>
        <v>3000</v>
      </c>
      <c r="H7" s="62">
        <f>G7*SC04가정!I6</f>
        <v>45000000</v>
      </c>
      <c r="I7" s="62">
        <f>G7*SC04가정!J6</f>
        <v>24000000</v>
      </c>
      <c r="J7" s="62">
        <f>G7*SC04가정!K6</f>
        <v>3000000</v>
      </c>
      <c r="K7" s="62">
        <f>F7*SC04가정!O6</f>
        <v>0</v>
      </c>
      <c r="L7" s="62">
        <f>IF(D7=SC04가정!Q6,SC04가정!P6,0)</f>
        <v>0</v>
      </c>
      <c r="M7" s="60">
        <f>0</f>
        <v>0</v>
      </c>
      <c r="N7" s="60">
        <f t="shared" si="1"/>
        <v>0</v>
      </c>
      <c r="O7" s="60">
        <f t="shared" si="2"/>
        <v>18000000</v>
      </c>
      <c r="P7" s="53">
        <v>0</v>
      </c>
      <c r="Q7" s="53" t="s">
        <v>1601</v>
      </c>
      <c r="R7" s="53" t="s">
        <v>1602</v>
      </c>
    </row>
    <row r="8" spans="1:18" ht="43.95" customHeight="1">
      <c r="A8" s="55" t="s">
        <v>1604</v>
      </c>
      <c r="B8" s="55" t="s">
        <v>1600</v>
      </c>
      <c r="C8" s="55" t="s">
        <v>1525</v>
      </c>
      <c r="D8" s="63">
        <v>46631</v>
      </c>
      <c r="E8" s="64">
        <f>SC04가정!F6</f>
        <v>46600</v>
      </c>
      <c r="F8" s="59">
        <f t="shared" si="0"/>
        <v>1</v>
      </c>
      <c r="G8" s="61">
        <f>F8*SC04가정!H6</f>
        <v>3000</v>
      </c>
      <c r="H8" s="61">
        <f>G8*SC04가정!I6</f>
        <v>45000000</v>
      </c>
      <c r="I8" s="61">
        <f>G8*SC04가정!J6</f>
        <v>24000000</v>
      </c>
      <c r="J8" s="61">
        <f>G8*SC04가정!K6</f>
        <v>3000000</v>
      </c>
      <c r="K8" s="61">
        <f>F8*SC04가정!O6</f>
        <v>0</v>
      </c>
      <c r="L8" s="61">
        <f>IF(D8=SC04가정!Q6,SC04가정!P6,0)</f>
        <v>0</v>
      </c>
      <c r="M8" s="59">
        <f>0</f>
        <v>0</v>
      </c>
      <c r="N8" s="59">
        <f t="shared" si="1"/>
        <v>0</v>
      </c>
      <c r="O8" s="59">
        <f t="shared" si="2"/>
        <v>18000000</v>
      </c>
      <c r="P8" s="55">
        <v>0</v>
      </c>
      <c r="Q8" s="55" t="s">
        <v>1601</v>
      </c>
      <c r="R8" s="55" t="s">
        <v>1602</v>
      </c>
    </row>
    <row r="9" spans="1:18" ht="43.95" customHeight="1">
      <c r="A9" s="53" t="s">
        <v>1605</v>
      </c>
      <c r="B9" s="53" t="s">
        <v>1600</v>
      </c>
      <c r="C9" s="53" t="s">
        <v>1525</v>
      </c>
      <c r="D9" s="65">
        <v>46661</v>
      </c>
      <c r="E9" s="66">
        <f>SC04가정!F6</f>
        <v>46600</v>
      </c>
      <c r="F9" s="60">
        <f t="shared" si="0"/>
        <v>1</v>
      </c>
      <c r="G9" s="62">
        <f>F9*SC04가정!H6</f>
        <v>3000</v>
      </c>
      <c r="H9" s="62">
        <f>G9*SC04가정!I6</f>
        <v>45000000</v>
      </c>
      <c r="I9" s="62">
        <f>G9*SC04가정!J6</f>
        <v>24000000</v>
      </c>
      <c r="J9" s="62">
        <f>G9*SC04가정!K6</f>
        <v>3000000</v>
      </c>
      <c r="K9" s="62">
        <f>F9*SC04가정!O6</f>
        <v>0</v>
      </c>
      <c r="L9" s="62">
        <f>IF(D9=SC04가정!Q6,SC04가정!P6,0)</f>
        <v>0</v>
      </c>
      <c r="M9" s="60">
        <f>0</f>
        <v>0</v>
      </c>
      <c r="N9" s="60">
        <f t="shared" si="1"/>
        <v>0</v>
      </c>
      <c r="O9" s="60">
        <f t="shared" si="2"/>
        <v>18000000</v>
      </c>
      <c r="P9" s="53">
        <v>0</v>
      </c>
      <c r="Q9" s="53" t="s">
        <v>1601</v>
      </c>
      <c r="R9" s="53" t="s">
        <v>1602</v>
      </c>
    </row>
    <row r="10" spans="1:18" ht="43.95" customHeight="1">
      <c r="A10" s="55" t="s">
        <v>1606</v>
      </c>
      <c r="B10" s="55" t="s">
        <v>1600</v>
      </c>
      <c r="C10" s="55" t="s">
        <v>1525</v>
      </c>
      <c r="D10" s="63">
        <v>46692</v>
      </c>
      <c r="E10" s="64">
        <f>SC04가정!F6</f>
        <v>46600</v>
      </c>
      <c r="F10" s="59">
        <f t="shared" si="0"/>
        <v>1</v>
      </c>
      <c r="G10" s="61">
        <f>F10*SC04가정!H6</f>
        <v>3000</v>
      </c>
      <c r="H10" s="61">
        <f>G10*SC04가정!I6</f>
        <v>45000000</v>
      </c>
      <c r="I10" s="61">
        <f>G10*SC04가정!J6</f>
        <v>24000000</v>
      </c>
      <c r="J10" s="61">
        <f>G10*SC04가정!K6</f>
        <v>3000000</v>
      </c>
      <c r="K10" s="61">
        <f>F10*SC04가정!O6</f>
        <v>0</v>
      </c>
      <c r="L10" s="61">
        <f>IF(D10=SC04가정!Q6,SC04가정!P6,0)</f>
        <v>0</v>
      </c>
      <c r="M10" s="59">
        <f>0</f>
        <v>0</v>
      </c>
      <c r="N10" s="59">
        <f t="shared" si="1"/>
        <v>0</v>
      </c>
      <c r="O10" s="59">
        <f t="shared" si="2"/>
        <v>18000000</v>
      </c>
      <c r="P10" s="55">
        <v>0</v>
      </c>
      <c r="Q10" s="55" t="s">
        <v>1601</v>
      </c>
      <c r="R10" s="55" t="s">
        <v>1602</v>
      </c>
    </row>
    <row r="11" spans="1:18" ht="43.95" customHeight="1">
      <c r="A11" s="53" t="s">
        <v>1607</v>
      </c>
      <c r="B11" s="53" t="s">
        <v>1600</v>
      </c>
      <c r="C11" s="53" t="s">
        <v>1525</v>
      </c>
      <c r="D11" s="65">
        <v>46722</v>
      </c>
      <c r="E11" s="66">
        <f>SC04가정!F6</f>
        <v>46600</v>
      </c>
      <c r="F11" s="60">
        <f t="shared" si="0"/>
        <v>1</v>
      </c>
      <c r="G11" s="62">
        <f>F11*SC04가정!H6</f>
        <v>3000</v>
      </c>
      <c r="H11" s="62">
        <f>G11*SC04가정!I6</f>
        <v>45000000</v>
      </c>
      <c r="I11" s="62">
        <f>G11*SC04가정!J6</f>
        <v>24000000</v>
      </c>
      <c r="J11" s="62">
        <f>G11*SC04가정!K6</f>
        <v>3000000</v>
      </c>
      <c r="K11" s="62">
        <f>F11*SC04가정!O6</f>
        <v>0</v>
      </c>
      <c r="L11" s="62">
        <f>IF(D11=SC04가정!Q6,SC04가정!P6,0)</f>
        <v>0</v>
      </c>
      <c r="M11" s="60">
        <f>0</f>
        <v>0</v>
      </c>
      <c r="N11" s="60">
        <f t="shared" si="1"/>
        <v>0</v>
      </c>
      <c r="O11" s="60">
        <f t="shared" si="2"/>
        <v>18000000</v>
      </c>
      <c r="P11" s="53">
        <v>0</v>
      </c>
      <c r="Q11" s="53" t="s">
        <v>1601</v>
      </c>
      <c r="R11" s="53" t="s">
        <v>1602</v>
      </c>
    </row>
    <row r="12" spans="1:18" ht="43.95" customHeight="1">
      <c r="A12" s="55" t="s">
        <v>1608</v>
      </c>
      <c r="B12" s="55" t="s">
        <v>1600</v>
      </c>
      <c r="C12" s="55" t="s">
        <v>1529</v>
      </c>
      <c r="D12" s="63">
        <v>46569</v>
      </c>
      <c r="E12" s="64">
        <f>SC04가정!F7</f>
        <v>46600</v>
      </c>
      <c r="F12" s="59">
        <f t="shared" si="0"/>
        <v>0</v>
      </c>
      <c r="G12" s="61">
        <f>F12*SC04가정!H7</f>
        <v>0</v>
      </c>
      <c r="H12" s="61">
        <f>F12*(SC04가정!L7-SC04가정!M7)*SC04가정!N7</f>
        <v>0</v>
      </c>
      <c r="I12" s="61">
        <f>G12*SC04가정!J7</f>
        <v>0</v>
      </c>
      <c r="J12" s="61">
        <f>G12*SC04가정!K7</f>
        <v>0</v>
      </c>
      <c r="K12" s="61">
        <f>F12*SC04가정!O7</f>
        <v>0</v>
      </c>
      <c r="L12" s="61">
        <f>IF(D12=SC04가정!Q7,SC04가정!P7,0)</f>
        <v>0</v>
      </c>
      <c r="M12" s="61">
        <f>IF(D12&gt;=SC04가정!G8,SC04가정!H8*SC04가정!U7,0)</f>
        <v>0</v>
      </c>
      <c r="N12" s="59">
        <f t="shared" si="1"/>
        <v>0</v>
      </c>
      <c r="O12" s="59">
        <f t="shared" si="2"/>
        <v>0</v>
      </c>
      <c r="P12" s="55">
        <v>0</v>
      </c>
      <c r="Q12" s="55" t="s">
        <v>1601</v>
      </c>
      <c r="R12" s="55" t="s">
        <v>1609</v>
      </c>
    </row>
    <row r="13" spans="1:18" ht="43.95" customHeight="1">
      <c r="A13" s="53" t="s">
        <v>1610</v>
      </c>
      <c r="B13" s="53" t="s">
        <v>1600</v>
      </c>
      <c r="C13" s="53" t="s">
        <v>1529</v>
      </c>
      <c r="D13" s="65">
        <v>46600</v>
      </c>
      <c r="E13" s="66">
        <f>SC04가정!F7</f>
        <v>46600</v>
      </c>
      <c r="F13" s="60">
        <f t="shared" si="0"/>
        <v>1</v>
      </c>
      <c r="G13" s="62">
        <f>F13*SC04가정!H7</f>
        <v>0</v>
      </c>
      <c r="H13" s="62">
        <f>F13*(SC04가정!L7-SC04가정!M7)*SC04가정!N7</f>
        <v>9600000</v>
      </c>
      <c r="I13" s="62">
        <f>G13*SC04가정!J7</f>
        <v>0</v>
      </c>
      <c r="J13" s="62">
        <f>G13*SC04가정!K7</f>
        <v>0</v>
      </c>
      <c r="K13" s="62">
        <f>F13*SC04가정!O7</f>
        <v>200000</v>
      </c>
      <c r="L13" s="62">
        <f>IF(D13=SC04가정!Q7,SC04가정!P7,0)</f>
        <v>2000000</v>
      </c>
      <c r="M13" s="62">
        <f>IF(D13&gt;=SC04가정!G8,SC04가정!H8*SC04가정!U7,0)</f>
        <v>0</v>
      </c>
      <c r="N13" s="60">
        <f t="shared" si="1"/>
        <v>0</v>
      </c>
      <c r="O13" s="60">
        <f t="shared" si="2"/>
        <v>7400000</v>
      </c>
      <c r="P13" s="53">
        <v>0</v>
      </c>
      <c r="Q13" s="53" t="s">
        <v>1601</v>
      </c>
      <c r="R13" s="53" t="s">
        <v>1609</v>
      </c>
    </row>
    <row r="14" spans="1:18" ht="43.95" customHeight="1">
      <c r="A14" s="55" t="s">
        <v>1611</v>
      </c>
      <c r="B14" s="55" t="s">
        <v>1600</v>
      </c>
      <c r="C14" s="55" t="s">
        <v>1529</v>
      </c>
      <c r="D14" s="63">
        <v>46631</v>
      </c>
      <c r="E14" s="64">
        <f>SC04가정!F7</f>
        <v>46600</v>
      </c>
      <c r="F14" s="59">
        <f t="shared" si="0"/>
        <v>1</v>
      </c>
      <c r="G14" s="61">
        <f>F14*SC04가정!H7</f>
        <v>0</v>
      </c>
      <c r="H14" s="61">
        <f>F14*(SC04가정!L7-SC04가정!M7)*SC04가정!N7</f>
        <v>9600000</v>
      </c>
      <c r="I14" s="61">
        <f>G14*SC04가정!J7</f>
        <v>0</v>
      </c>
      <c r="J14" s="61">
        <f>G14*SC04가정!K7</f>
        <v>0</v>
      </c>
      <c r="K14" s="61">
        <f>F14*SC04가정!O7</f>
        <v>200000</v>
      </c>
      <c r="L14" s="61">
        <f>IF(D14=SC04가정!Q7,SC04가정!P7,0)</f>
        <v>0</v>
      </c>
      <c r="M14" s="61">
        <f>IF(D14&gt;=SC04가정!G8,SC04가정!H8*SC04가정!U7,0)</f>
        <v>0</v>
      </c>
      <c r="N14" s="59">
        <f t="shared" si="1"/>
        <v>0</v>
      </c>
      <c r="O14" s="59">
        <f t="shared" si="2"/>
        <v>9400000</v>
      </c>
      <c r="P14" s="55">
        <v>0</v>
      </c>
      <c r="Q14" s="55" t="s">
        <v>1601</v>
      </c>
      <c r="R14" s="55" t="s">
        <v>1609</v>
      </c>
    </row>
    <row r="15" spans="1:18" ht="43.95" customHeight="1">
      <c r="A15" s="53" t="s">
        <v>1612</v>
      </c>
      <c r="B15" s="53" t="s">
        <v>1600</v>
      </c>
      <c r="C15" s="53" t="s">
        <v>1529</v>
      </c>
      <c r="D15" s="65">
        <v>46661</v>
      </c>
      <c r="E15" s="66">
        <f>SC04가정!F7</f>
        <v>46600</v>
      </c>
      <c r="F15" s="60">
        <f t="shared" si="0"/>
        <v>1</v>
      </c>
      <c r="G15" s="62">
        <f>F15*SC04가정!H7</f>
        <v>0</v>
      </c>
      <c r="H15" s="62">
        <f>F15*(SC04가정!L7-SC04가정!M7)*SC04가정!N7</f>
        <v>9600000</v>
      </c>
      <c r="I15" s="62">
        <f>G15*SC04가정!J7</f>
        <v>0</v>
      </c>
      <c r="J15" s="62">
        <f>G15*SC04가정!K7</f>
        <v>0</v>
      </c>
      <c r="K15" s="62">
        <f>F15*SC04가정!O7</f>
        <v>200000</v>
      </c>
      <c r="L15" s="62">
        <f>IF(D15=SC04가정!Q7,SC04가정!P7,0)</f>
        <v>0</v>
      </c>
      <c r="M15" s="62">
        <f>IF(D15&gt;=SC04가정!G8,SC04가정!H8*SC04가정!U7,0)</f>
        <v>600000</v>
      </c>
      <c r="N15" s="60">
        <f t="shared" si="1"/>
        <v>600000</v>
      </c>
      <c r="O15" s="60">
        <f t="shared" si="2"/>
        <v>9400000</v>
      </c>
      <c r="P15" s="53">
        <v>0</v>
      </c>
      <c r="Q15" s="53" t="s">
        <v>1601</v>
      </c>
      <c r="R15" s="53" t="s">
        <v>1609</v>
      </c>
    </row>
    <row r="16" spans="1:18" ht="43.95" customHeight="1">
      <c r="A16" s="55" t="s">
        <v>1613</v>
      </c>
      <c r="B16" s="55" t="s">
        <v>1600</v>
      </c>
      <c r="C16" s="55" t="s">
        <v>1529</v>
      </c>
      <c r="D16" s="63">
        <v>46692</v>
      </c>
      <c r="E16" s="64">
        <f>SC04가정!F7</f>
        <v>46600</v>
      </c>
      <c r="F16" s="59">
        <f t="shared" si="0"/>
        <v>1</v>
      </c>
      <c r="G16" s="61">
        <f>F16*SC04가정!H7</f>
        <v>0</v>
      </c>
      <c r="H16" s="61">
        <f>F16*(SC04가정!L7-SC04가정!M7)*SC04가정!N7</f>
        <v>9600000</v>
      </c>
      <c r="I16" s="61">
        <f>G16*SC04가정!J7</f>
        <v>0</v>
      </c>
      <c r="J16" s="61">
        <f>G16*SC04가정!K7</f>
        <v>0</v>
      </c>
      <c r="K16" s="61">
        <f>F16*SC04가정!O7</f>
        <v>200000</v>
      </c>
      <c r="L16" s="61">
        <f>IF(D16=SC04가정!Q7,SC04가정!P7,0)</f>
        <v>0</v>
      </c>
      <c r="M16" s="61">
        <f>IF(D16&gt;=SC04가정!G8,SC04가정!H8*SC04가정!U7,0)</f>
        <v>600000</v>
      </c>
      <c r="N16" s="59">
        <f t="shared" si="1"/>
        <v>600000</v>
      </c>
      <c r="O16" s="59">
        <f t="shared" si="2"/>
        <v>9400000</v>
      </c>
      <c r="P16" s="55">
        <v>0</v>
      </c>
      <c r="Q16" s="55" t="s">
        <v>1601</v>
      </c>
      <c r="R16" s="55" t="s">
        <v>1609</v>
      </c>
    </row>
    <row r="17" spans="1:18" ht="43.95" customHeight="1">
      <c r="A17" s="53" t="s">
        <v>1614</v>
      </c>
      <c r="B17" s="53" t="s">
        <v>1600</v>
      </c>
      <c r="C17" s="53" t="s">
        <v>1529</v>
      </c>
      <c r="D17" s="65">
        <v>46722</v>
      </c>
      <c r="E17" s="66">
        <f>SC04가정!F7</f>
        <v>46600</v>
      </c>
      <c r="F17" s="60">
        <f t="shared" si="0"/>
        <v>1</v>
      </c>
      <c r="G17" s="62">
        <f>F17*SC04가정!H7</f>
        <v>0</v>
      </c>
      <c r="H17" s="62">
        <f>F17*(SC04가정!L7-SC04가정!M7)*SC04가정!N7</f>
        <v>9600000</v>
      </c>
      <c r="I17" s="62">
        <f>G17*SC04가정!J7</f>
        <v>0</v>
      </c>
      <c r="J17" s="62">
        <f>G17*SC04가정!K7</f>
        <v>0</v>
      </c>
      <c r="K17" s="62">
        <f>F17*SC04가정!O7</f>
        <v>200000</v>
      </c>
      <c r="L17" s="62">
        <f>IF(D17=SC04가정!Q7,SC04가정!P7,0)</f>
        <v>0</v>
      </c>
      <c r="M17" s="62">
        <f>IF(D17&gt;=SC04가정!G8,SC04가정!H8*SC04가정!U7,0)</f>
        <v>600000</v>
      </c>
      <c r="N17" s="60">
        <f t="shared" si="1"/>
        <v>600000</v>
      </c>
      <c r="O17" s="60">
        <f t="shared" si="2"/>
        <v>9400000</v>
      </c>
      <c r="P17" s="53">
        <v>0</v>
      </c>
      <c r="Q17" s="53" t="s">
        <v>1601</v>
      </c>
      <c r="R17" s="53" t="s">
        <v>1609</v>
      </c>
    </row>
    <row r="18" spans="1:18" ht="43.95" customHeight="1">
      <c r="A18" s="55" t="s">
        <v>1615</v>
      </c>
      <c r="B18" s="55" t="s">
        <v>1600</v>
      </c>
      <c r="C18" s="55" t="s">
        <v>1534</v>
      </c>
      <c r="D18" s="63">
        <v>46569</v>
      </c>
      <c r="E18" s="64">
        <f>SC04가정!F8</f>
        <v>46661</v>
      </c>
      <c r="F18" s="59">
        <f t="shared" si="0"/>
        <v>0</v>
      </c>
      <c r="G18" s="61">
        <f>F18*SC04가정!H8</f>
        <v>0</v>
      </c>
      <c r="H18" s="61">
        <f>G18*SC04가정!I8</f>
        <v>0</v>
      </c>
      <c r="I18" s="61">
        <f>G18*SC04가정!J8</f>
        <v>0</v>
      </c>
      <c r="J18" s="61">
        <f>G18*SC04가정!K8</f>
        <v>0</v>
      </c>
      <c r="K18" s="61">
        <f>F18*SC04가정!O8</f>
        <v>0</v>
      </c>
      <c r="L18" s="61">
        <f>IF(D18=SC04가정!Q8,SC04가정!P8,0)</f>
        <v>0</v>
      </c>
      <c r="M18" s="59">
        <f>0</f>
        <v>0</v>
      </c>
      <c r="N18" s="59">
        <f t="shared" si="1"/>
        <v>0</v>
      </c>
      <c r="O18" s="59">
        <f t="shared" si="2"/>
        <v>0</v>
      </c>
      <c r="P18" s="55">
        <v>0</v>
      </c>
      <c r="Q18" s="55" t="s">
        <v>1601</v>
      </c>
      <c r="R18" s="55" t="s">
        <v>1616</v>
      </c>
    </row>
    <row r="19" spans="1:18" ht="43.95" customHeight="1">
      <c r="A19" s="53" t="s">
        <v>1617</v>
      </c>
      <c r="B19" s="53" t="s">
        <v>1600</v>
      </c>
      <c r="C19" s="53" t="s">
        <v>1534</v>
      </c>
      <c r="D19" s="65">
        <v>46600</v>
      </c>
      <c r="E19" s="66">
        <f>SC04가정!F8</f>
        <v>46661</v>
      </c>
      <c r="F19" s="60">
        <f t="shared" si="0"/>
        <v>0</v>
      </c>
      <c r="G19" s="62">
        <f>F19*SC04가정!H8</f>
        <v>0</v>
      </c>
      <c r="H19" s="62">
        <f>G19*SC04가정!I8</f>
        <v>0</v>
      </c>
      <c r="I19" s="62">
        <f>G19*SC04가정!J8</f>
        <v>0</v>
      </c>
      <c r="J19" s="62">
        <f>G19*SC04가정!K8</f>
        <v>0</v>
      </c>
      <c r="K19" s="62">
        <f>F19*SC04가정!O8</f>
        <v>0</v>
      </c>
      <c r="L19" s="62">
        <f>IF(D19=SC04가정!Q8,SC04가정!P8,0)</f>
        <v>0</v>
      </c>
      <c r="M19" s="60">
        <f>0</f>
        <v>0</v>
      </c>
      <c r="N19" s="60">
        <f t="shared" si="1"/>
        <v>0</v>
      </c>
      <c r="O19" s="60">
        <f t="shared" si="2"/>
        <v>0</v>
      </c>
      <c r="P19" s="53">
        <v>0</v>
      </c>
      <c r="Q19" s="53" t="s">
        <v>1601</v>
      </c>
      <c r="R19" s="53" t="s">
        <v>1616</v>
      </c>
    </row>
    <row r="20" spans="1:18" ht="43.95" customHeight="1">
      <c r="A20" s="55" t="s">
        <v>1618</v>
      </c>
      <c r="B20" s="55" t="s">
        <v>1600</v>
      </c>
      <c r="C20" s="55" t="s">
        <v>1534</v>
      </c>
      <c r="D20" s="63">
        <v>46631</v>
      </c>
      <c r="E20" s="64">
        <f>SC04가정!F8</f>
        <v>46661</v>
      </c>
      <c r="F20" s="59">
        <f t="shared" si="0"/>
        <v>0</v>
      </c>
      <c r="G20" s="61">
        <f>F20*SC04가정!H8</f>
        <v>0</v>
      </c>
      <c r="H20" s="61">
        <f>G20*SC04가정!I8</f>
        <v>0</v>
      </c>
      <c r="I20" s="61">
        <f>G20*SC04가정!J8</f>
        <v>0</v>
      </c>
      <c r="J20" s="61">
        <f>G20*SC04가정!K8</f>
        <v>0</v>
      </c>
      <c r="K20" s="61">
        <f>F20*SC04가정!O8</f>
        <v>0</v>
      </c>
      <c r="L20" s="61">
        <f>IF(D20=SC04가정!Q8,SC04가정!P8,0)</f>
        <v>1000000</v>
      </c>
      <c r="M20" s="59">
        <f>0</f>
        <v>0</v>
      </c>
      <c r="N20" s="59">
        <f t="shared" si="1"/>
        <v>0</v>
      </c>
      <c r="O20" s="59">
        <f t="shared" si="2"/>
        <v>-1000000</v>
      </c>
      <c r="P20" s="55">
        <v>0</v>
      </c>
      <c r="Q20" s="55" t="s">
        <v>1601</v>
      </c>
      <c r="R20" s="55" t="s">
        <v>1616</v>
      </c>
    </row>
    <row r="21" spans="1:18" ht="43.95" customHeight="1">
      <c r="A21" s="53" t="s">
        <v>1619</v>
      </c>
      <c r="B21" s="53" t="s">
        <v>1600</v>
      </c>
      <c r="C21" s="53" t="s">
        <v>1534</v>
      </c>
      <c r="D21" s="65">
        <v>46661</v>
      </c>
      <c r="E21" s="66">
        <f>SC04가정!F8</f>
        <v>46661</v>
      </c>
      <c r="F21" s="60">
        <f t="shared" si="0"/>
        <v>1</v>
      </c>
      <c r="G21" s="62">
        <f>F21*SC04가정!H8</f>
        <v>6000</v>
      </c>
      <c r="H21" s="62">
        <f>G21*SC04가정!I8</f>
        <v>30000000</v>
      </c>
      <c r="I21" s="62">
        <f>G21*SC04가정!J8</f>
        <v>27000000</v>
      </c>
      <c r="J21" s="62">
        <f>G21*SC04가정!K8</f>
        <v>600000</v>
      </c>
      <c r="K21" s="62">
        <f>F21*SC04가정!O8</f>
        <v>0</v>
      </c>
      <c r="L21" s="62">
        <f>IF(D21=SC04가정!Q8,SC04가정!P8,0)</f>
        <v>0</v>
      </c>
      <c r="M21" s="60">
        <f>0</f>
        <v>0</v>
      </c>
      <c r="N21" s="60">
        <f t="shared" si="1"/>
        <v>0</v>
      </c>
      <c r="O21" s="60">
        <f t="shared" si="2"/>
        <v>2400000</v>
      </c>
      <c r="P21" s="53">
        <v>0</v>
      </c>
      <c r="Q21" s="53" t="s">
        <v>1601</v>
      </c>
      <c r="R21" s="53" t="s">
        <v>1616</v>
      </c>
    </row>
    <row r="22" spans="1:18" ht="43.95" customHeight="1">
      <c r="A22" s="55" t="s">
        <v>1620</v>
      </c>
      <c r="B22" s="55" t="s">
        <v>1600</v>
      </c>
      <c r="C22" s="55" t="s">
        <v>1534</v>
      </c>
      <c r="D22" s="63">
        <v>46692</v>
      </c>
      <c r="E22" s="64">
        <f>SC04가정!F8</f>
        <v>46661</v>
      </c>
      <c r="F22" s="59">
        <f t="shared" si="0"/>
        <v>1</v>
      </c>
      <c r="G22" s="61">
        <f>F22*SC04가정!H8</f>
        <v>6000</v>
      </c>
      <c r="H22" s="61">
        <f>G22*SC04가정!I8</f>
        <v>30000000</v>
      </c>
      <c r="I22" s="61">
        <f>G22*SC04가정!J8</f>
        <v>27000000</v>
      </c>
      <c r="J22" s="61">
        <f>G22*SC04가정!K8</f>
        <v>600000</v>
      </c>
      <c r="K22" s="61">
        <f>F22*SC04가정!O8</f>
        <v>0</v>
      </c>
      <c r="L22" s="61">
        <f>IF(D22=SC04가정!Q8,SC04가정!P8,0)</f>
        <v>0</v>
      </c>
      <c r="M22" s="59">
        <f>0</f>
        <v>0</v>
      </c>
      <c r="N22" s="59">
        <f t="shared" si="1"/>
        <v>0</v>
      </c>
      <c r="O22" s="59">
        <f t="shared" si="2"/>
        <v>2400000</v>
      </c>
      <c r="P22" s="55">
        <v>0</v>
      </c>
      <c r="Q22" s="55" t="s">
        <v>1601</v>
      </c>
      <c r="R22" s="55" t="s">
        <v>1616</v>
      </c>
    </row>
    <row r="23" spans="1:18" ht="43.95" customHeight="1">
      <c r="A23" s="53" t="s">
        <v>1621</v>
      </c>
      <c r="B23" s="53" t="s">
        <v>1600</v>
      </c>
      <c r="C23" s="53" t="s">
        <v>1534</v>
      </c>
      <c r="D23" s="65">
        <v>46722</v>
      </c>
      <c r="E23" s="66">
        <f>SC04가정!F8</f>
        <v>46661</v>
      </c>
      <c r="F23" s="60">
        <f t="shared" si="0"/>
        <v>1</v>
      </c>
      <c r="G23" s="62">
        <f>F23*SC04가정!H8</f>
        <v>6000</v>
      </c>
      <c r="H23" s="62">
        <f>G23*SC04가정!I8</f>
        <v>30000000</v>
      </c>
      <c r="I23" s="62">
        <f>G23*SC04가정!J8</f>
        <v>27000000</v>
      </c>
      <c r="J23" s="62">
        <f>G23*SC04가정!K8</f>
        <v>600000</v>
      </c>
      <c r="K23" s="62">
        <f>F23*SC04가정!O8</f>
        <v>0</v>
      </c>
      <c r="L23" s="62">
        <f>IF(D23=SC04가정!Q8,SC04가정!P8,0)</f>
        <v>0</v>
      </c>
      <c r="M23" s="60">
        <f>0</f>
        <v>0</v>
      </c>
      <c r="N23" s="60">
        <f t="shared" si="1"/>
        <v>0</v>
      </c>
      <c r="O23" s="60">
        <f t="shared" si="2"/>
        <v>2400000</v>
      </c>
      <c r="P23" s="53">
        <v>0</v>
      </c>
      <c r="Q23" s="53" t="s">
        <v>1601</v>
      </c>
      <c r="R23" s="53" t="s">
        <v>1616</v>
      </c>
    </row>
    <row r="24" spans="1:18" ht="43.95" customHeight="1">
      <c r="A24" s="55" t="s">
        <v>1622</v>
      </c>
      <c r="B24" s="55" t="s">
        <v>1623</v>
      </c>
      <c r="C24" s="55" t="s">
        <v>1525</v>
      </c>
      <c r="D24" s="63">
        <v>46569</v>
      </c>
      <c r="E24" s="64">
        <f>SC04가정!G6</f>
        <v>46600</v>
      </c>
      <c r="F24" s="59">
        <f t="shared" si="0"/>
        <v>0</v>
      </c>
      <c r="G24" s="61">
        <f>F24*SC04가정!H6</f>
        <v>0</v>
      </c>
      <c r="H24" s="61">
        <f>G24*SC04가정!I6</f>
        <v>0</v>
      </c>
      <c r="I24" s="61">
        <f>G24*SC04가정!J6</f>
        <v>0</v>
      </c>
      <c r="J24" s="61">
        <f>G24*SC04가정!K6</f>
        <v>0</v>
      </c>
      <c r="K24" s="61">
        <f>F24*SC04가정!O6</f>
        <v>0</v>
      </c>
      <c r="L24" s="61">
        <f>IF(D24=SC04가정!Q6,SC04가정!P6,0)</f>
        <v>4000000</v>
      </c>
      <c r="M24" s="59">
        <f>0</f>
        <v>0</v>
      </c>
      <c r="N24" s="59">
        <f t="shared" si="1"/>
        <v>0</v>
      </c>
      <c r="O24" s="59">
        <f t="shared" si="2"/>
        <v>-4000000</v>
      </c>
      <c r="P24" s="55">
        <v>0</v>
      </c>
      <c r="Q24" s="55" t="s">
        <v>1624</v>
      </c>
      <c r="R24" s="55" t="s">
        <v>1602</v>
      </c>
    </row>
    <row r="25" spans="1:18" ht="43.95" customHeight="1">
      <c r="A25" s="53" t="s">
        <v>1625</v>
      </c>
      <c r="B25" s="53" t="s">
        <v>1623</v>
      </c>
      <c r="C25" s="53" t="s">
        <v>1525</v>
      </c>
      <c r="D25" s="65">
        <v>46600</v>
      </c>
      <c r="E25" s="66">
        <f>SC04가정!G6</f>
        <v>46600</v>
      </c>
      <c r="F25" s="60">
        <f t="shared" si="0"/>
        <v>1</v>
      </c>
      <c r="G25" s="62">
        <f>F25*SC04가정!H6</f>
        <v>3000</v>
      </c>
      <c r="H25" s="62">
        <f>G25*SC04가정!I6</f>
        <v>45000000</v>
      </c>
      <c r="I25" s="62">
        <f>G25*SC04가정!J6</f>
        <v>24000000</v>
      </c>
      <c r="J25" s="62">
        <f>G25*SC04가정!K6</f>
        <v>3000000</v>
      </c>
      <c r="K25" s="62">
        <f>F25*SC04가정!O6</f>
        <v>0</v>
      </c>
      <c r="L25" s="62">
        <f>IF(D25=SC04가정!Q6,SC04가정!P6,0)</f>
        <v>0</v>
      </c>
      <c r="M25" s="60">
        <f>0</f>
        <v>0</v>
      </c>
      <c r="N25" s="60">
        <f t="shared" si="1"/>
        <v>0</v>
      </c>
      <c r="O25" s="60">
        <f t="shared" si="2"/>
        <v>18000000</v>
      </c>
      <c r="P25" s="53">
        <v>0</v>
      </c>
      <c r="Q25" s="53" t="s">
        <v>1624</v>
      </c>
      <c r="R25" s="53" t="s">
        <v>1602</v>
      </c>
    </row>
    <row r="26" spans="1:18" ht="43.95" customHeight="1">
      <c r="A26" s="55" t="s">
        <v>1626</v>
      </c>
      <c r="B26" s="55" t="s">
        <v>1623</v>
      </c>
      <c r="C26" s="55" t="s">
        <v>1525</v>
      </c>
      <c r="D26" s="63">
        <v>46631</v>
      </c>
      <c r="E26" s="64">
        <f>SC04가정!G6</f>
        <v>46600</v>
      </c>
      <c r="F26" s="59">
        <f t="shared" si="0"/>
        <v>1</v>
      </c>
      <c r="G26" s="61">
        <f>F26*SC04가정!H6</f>
        <v>3000</v>
      </c>
      <c r="H26" s="61">
        <f>G26*SC04가정!I6</f>
        <v>45000000</v>
      </c>
      <c r="I26" s="61">
        <f>G26*SC04가정!J6</f>
        <v>24000000</v>
      </c>
      <c r="J26" s="61">
        <f>G26*SC04가정!K6</f>
        <v>3000000</v>
      </c>
      <c r="K26" s="61">
        <f>F26*SC04가정!O6</f>
        <v>0</v>
      </c>
      <c r="L26" s="61">
        <f>IF(D26=SC04가정!Q6,SC04가정!P6,0)</f>
        <v>0</v>
      </c>
      <c r="M26" s="59">
        <f>0</f>
        <v>0</v>
      </c>
      <c r="N26" s="59">
        <f t="shared" si="1"/>
        <v>0</v>
      </c>
      <c r="O26" s="59">
        <f t="shared" si="2"/>
        <v>18000000</v>
      </c>
      <c r="P26" s="55">
        <v>0</v>
      </c>
      <c r="Q26" s="55" t="s">
        <v>1624</v>
      </c>
      <c r="R26" s="55" t="s">
        <v>1602</v>
      </c>
    </row>
    <row r="27" spans="1:18" ht="43.95" customHeight="1">
      <c r="A27" s="53" t="s">
        <v>1627</v>
      </c>
      <c r="B27" s="53" t="s">
        <v>1623</v>
      </c>
      <c r="C27" s="53" t="s">
        <v>1525</v>
      </c>
      <c r="D27" s="65">
        <v>46661</v>
      </c>
      <c r="E27" s="66">
        <f>SC04가정!G6</f>
        <v>46600</v>
      </c>
      <c r="F27" s="60">
        <f t="shared" si="0"/>
        <v>1</v>
      </c>
      <c r="G27" s="62">
        <f>F27*SC04가정!H6</f>
        <v>3000</v>
      </c>
      <c r="H27" s="62">
        <f>G27*SC04가정!I6</f>
        <v>45000000</v>
      </c>
      <c r="I27" s="62">
        <f>G27*SC04가정!J6</f>
        <v>24000000</v>
      </c>
      <c r="J27" s="62">
        <f>G27*SC04가정!K6</f>
        <v>3000000</v>
      </c>
      <c r="K27" s="62">
        <f>F27*SC04가정!O6</f>
        <v>0</v>
      </c>
      <c r="L27" s="62">
        <f>IF(D27=SC04가정!Q6,SC04가정!P6,0)</f>
        <v>0</v>
      </c>
      <c r="M27" s="60">
        <f>0</f>
        <v>0</v>
      </c>
      <c r="N27" s="60">
        <f t="shared" si="1"/>
        <v>0</v>
      </c>
      <c r="O27" s="60">
        <f t="shared" si="2"/>
        <v>18000000</v>
      </c>
      <c r="P27" s="53">
        <v>0</v>
      </c>
      <c r="Q27" s="53" t="s">
        <v>1624</v>
      </c>
      <c r="R27" s="53" t="s">
        <v>1602</v>
      </c>
    </row>
    <row r="28" spans="1:18" ht="43.95" customHeight="1">
      <c r="A28" s="55" t="s">
        <v>1628</v>
      </c>
      <c r="B28" s="55" t="s">
        <v>1623</v>
      </c>
      <c r="C28" s="55" t="s">
        <v>1525</v>
      </c>
      <c r="D28" s="63">
        <v>46692</v>
      </c>
      <c r="E28" s="64">
        <f>SC04가정!G6</f>
        <v>46600</v>
      </c>
      <c r="F28" s="59">
        <f t="shared" si="0"/>
        <v>1</v>
      </c>
      <c r="G28" s="61">
        <f>F28*SC04가정!H6</f>
        <v>3000</v>
      </c>
      <c r="H28" s="61">
        <f>G28*SC04가정!I6</f>
        <v>45000000</v>
      </c>
      <c r="I28" s="61">
        <f>G28*SC04가정!J6</f>
        <v>24000000</v>
      </c>
      <c r="J28" s="61">
        <f>G28*SC04가정!K6</f>
        <v>3000000</v>
      </c>
      <c r="K28" s="61">
        <f>F28*SC04가정!O6</f>
        <v>0</v>
      </c>
      <c r="L28" s="61">
        <f>IF(D28=SC04가정!Q6,SC04가정!P6,0)</f>
        <v>0</v>
      </c>
      <c r="M28" s="59">
        <f>0</f>
        <v>0</v>
      </c>
      <c r="N28" s="59">
        <f t="shared" si="1"/>
        <v>0</v>
      </c>
      <c r="O28" s="59">
        <f t="shared" si="2"/>
        <v>18000000</v>
      </c>
      <c r="P28" s="55">
        <v>0</v>
      </c>
      <c r="Q28" s="55" t="s">
        <v>1624</v>
      </c>
      <c r="R28" s="55" t="s">
        <v>1602</v>
      </c>
    </row>
    <row r="29" spans="1:18" ht="43.95" customHeight="1">
      <c r="A29" s="53" t="s">
        <v>1629</v>
      </c>
      <c r="B29" s="53" t="s">
        <v>1623</v>
      </c>
      <c r="C29" s="53" t="s">
        <v>1525</v>
      </c>
      <c r="D29" s="65">
        <v>46722</v>
      </c>
      <c r="E29" s="66">
        <f>SC04가정!G6</f>
        <v>46600</v>
      </c>
      <c r="F29" s="60">
        <f t="shared" si="0"/>
        <v>1</v>
      </c>
      <c r="G29" s="62">
        <f>F29*SC04가정!H6</f>
        <v>3000</v>
      </c>
      <c r="H29" s="62">
        <f>G29*SC04가정!I6</f>
        <v>45000000</v>
      </c>
      <c r="I29" s="62">
        <f>G29*SC04가정!J6</f>
        <v>24000000</v>
      </c>
      <c r="J29" s="62">
        <f>G29*SC04가정!K6</f>
        <v>3000000</v>
      </c>
      <c r="K29" s="62">
        <f>F29*SC04가정!O6</f>
        <v>0</v>
      </c>
      <c r="L29" s="62">
        <f>IF(D29=SC04가정!Q6,SC04가정!P6,0)</f>
        <v>0</v>
      </c>
      <c r="M29" s="60">
        <f>0</f>
        <v>0</v>
      </c>
      <c r="N29" s="60">
        <f t="shared" si="1"/>
        <v>0</v>
      </c>
      <c r="O29" s="60">
        <f t="shared" si="2"/>
        <v>18000000</v>
      </c>
      <c r="P29" s="53">
        <v>0</v>
      </c>
      <c r="Q29" s="53" t="s">
        <v>1624</v>
      </c>
      <c r="R29" s="53" t="s">
        <v>1602</v>
      </c>
    </row>
    <row r="30" spans="1:18" ht="43.95" customHeight="1">
      <c r="A30" s="55" t="s">
        <v>1630</v>
      </c>
      <c r="B30" s="55" t="s">
        <v>1623</v>
      </c>
      <c r="C30" s="55" t="s">
        <v>1529</v>
      </c>
      <c r="D30" s="63">
        <v>46569</v>
      </c>
      <c r="E30" s="64">
        <f>SC04가정!G7</f>
        <v>46631</v>
      </c>
      <c r="F30" s="59">
        <f t="shared" si="0"/>
        <v>0</v>
      </c>
      <c r="G30" s="61">
        <f>F30*SC04가정!H7</f>
        <v>0</v>
      </c>
      <c r="H30" s="61">
        <f>F30*(SC04가정!L7-SC04가정!M7)*SC04가정!N7</f>
        <v>0</v>
      </c>
      <c r="I30" s="61">
        <f>G30*SC04가정!J7</f>
        <v>0</v>
      </c>
      <c r="J30" s="61">
        <f>G30*SC04가정!K7</f>
        <v>0</v>
      </c>
      <c r="K30" s="61">
        <f>F30*SC04가정!O7</f>
        <v>0</v>
      </c>
      <c r="L30" s="61">
        <f>IF(D30=SC04가정!Q7,SC04가정!P7,0)</f>
        <v>0</v>
      </c>
      <c r="M30" s="61">
        <f>IF(D30&gt;=SC04가정!G8,SC04가정!H8*SC04가정!U7,0)</f>
        <v>0</v>
      </c>
      <c r="N30" s="59">
        <f t="shared" si="1"/>
        <v>0</v>
      </c>
      <c r="O30" s="59">
        <f t="shared" si="2"/>
        <v>0</v>
      </c>
      <c r="P30" s="55">
        <v>0</v>
      </c>
      <c r="Q30" s="55" t="s">
        <v>1631</v>
      </c>
      <c r="R30" s="55" t="s">
        <v>1609</v>
      </c>
    </row>
    <row r="31" spans="1:18" ht="43.95" customHeight="1">
      <c r="A31" s="53" t="s">
        <v>1632</v>
      </c>
      <c r="B31" s="53" t="s">
        <v>1623</v>
      </c>
      <c r="C31" s="53" t="s">
        <v>1529</v>
      </c>
      <c r="D31" s="65">
        <v>46600</v>
      </c>
      <c r="E31" s="66">
        <f>SC04가정!G7</f>
        <v>46631</v>
      </c>
      <c r="F31" s="60">
        <f t="shared" si="0"/>
        <v>0</v>
      </c>
      <c r="G31" s="62">
        <f>F31*SC04가정!H7</f>
        <v>0</v>
      </c>
      <c r="H31" s="62">
        <f>F31*(SC04가정!L7-SC04가정!M7)*SC04가정!N7</f>
        <v>0</v>
      </c>
      <c r="I31" s="62">
        <f>G31*SC04가정!J7</f>
        <v>0</v>
      </c>
      <c r="J31" s="62">
        <f>G31*SC04가정!K7</f>
        <v>0</v>
      </c>
      <c r="K31" s="62">
        <f>F31*SC04가정!O7</f>
        <v>0</v>
      </c>
      <c r="L31" s="62">
        <f>IF(D31=SC04가정!Q7,SC04가정!P7,0)</f>
        <v>2000000</v>
      </c>
      <c r="M31" s="62">
        <f>IF(D31&gt;=SC04가정!G8,SC04가정!H8*SC04가정!U7,0)</f>
        <v>0</v>
      </c>
      <c r="N31" s="60">
        <f t="shared" si="1"/>
        <v>0</v>
      </c>
      <c r="O31" s="60">
        <f t="shared" si="2"/>
        <v>-2000000</v>
      </c>
      <c r="P31" s="53">
        <v>0</v>
      </c>
      <c r="Q31" s="53" t="s">
        <v>1631</v>
      </c>
      <c r="R31" s="53" t="s">
        <v>1609</v>
      </c>
    </row>
    <row r="32" spans="1:18" ht="43.95" customHeight="1">
      <c r="A32" s="55" t="s">
        <v>1633</v>
      </c>
      <c r="B32" s="55" t="s">
        <v>1623</v>
      </c>
      <c r="C32" s="55" t="s">
        <v>1529</v>
      </c>
      <c r="D32" s="63">
        <v>46631</v>
      </c>
      <c r="E32" s="64">
        <f>SC04가정!G7</f>
        <v>46631</v>
      </c>
      <c r="F32" s="59">
        <f t="shared" si="0"/>
        <v>1</v>
      </c>
      <c r="G32" s="61">
        <f>F32*SC04가정!H7</f>
        <v>0</v>
      </c>
      <c r="H32" s="61">
        <f>F32*(SC04가정!L7-SC04가정!M7)*SC04가정!N7</f>
        <v>9600000</v>
      </c>
      <c r="I32" s="61">
        <f>G32*SC04가정!J7</f>
        <v>0</v>
      </c>
      <c r="J32" s="61">
        <f>G32*SC04가정!K7</f>
        <v>0</v>
      </c>
      <c r="K32" s="61">
        <f>F32*SC04가정!O7</f>
        <v>200000</v>
      </c>
      <c r="L32" s="61">
        <f>IF(D32=SC04가정!Q7,SC04가정!P7,0)</f>
        <v>0</v>
      </c>
      <c r="M32" s="61">
        <f>IF(D32&gt;=SC04가정!G8,SC04가정!H8*SC04가정!U7,0)</f>
        <v>0</v>
      </c>
      <c r="N32" s="59">
        <f t="shared" si="1"/>
        <v>0</v>
      </c>
      <c r="O32" s="59">
        <f t="shared" si="2"/>
        <v>9400000</v>
      </c>
      <c r="P32" s="55">
        <v>0</v>
      </c>
      <c r="Q32" s="55" t="s">
        <v>1631</v>
      </c>
      <c r="R32" s="55" t="s">
        <v>1609</v>
      </c>
    </row>
    <row r="33" spans="1:18" ht="43.95" customHeight="1">
      <c r="A33" s="53" t="s">
        <v>1634</v>
      </c>
      <c r="B33" s="53" t="s">
        <v>1623</v>
      </c>
      <c r="C33" s="53" t="s">
        <v>1529</v>
      </c>
      <c r="D33" s="65">
        <v>46661</v>
      </c>
      <c r="E33" s="66">
        <f>SC04가정!G7</f>
        <v>46631</v>
      </c>
      <c r="F33" s="60">
        <f t="shared" si="0"/>
        <v>1</v>
      </c>
      <c r="G33" s="62">
        <f>F33*SC04가정!H7</f>
        <v>0</v>
      </c>
      <c r="H33" s="62">
        <f>F33*(SC04가정!L7-SC04가정!M7)*SC04가정!N7</f>
        <v>9600000</v>
      </c>
      <c r="I33" s="62">
        <f>G33*SC04가정!J7</f>
        <v>0</v>
      </c>
      <c r="J33" s="62">
        <f>G33*SC04가정!K7</f>
        <v>0</v>
      </c>
      <c r="K33" s="62">
        <f>F33*SC04가정!O7</f>
        <v>200000</v>
      </c>
      <c r="L33" s="62">
        <f>IF(D33=SC04가정!Q7,SC04가정!P7,0)</f>
        <v>0</v>
      </c>
      <c r="M33" s="62">
        <f>IF(D33&gt;=SC04가정!G8,SC04가정!H8*SC04가정!U7,0)</f>
        <v>600000</v>
      </c>
      <c r="N33" s="60">
        <f t="shared" si="1"/>
        <v>600000</v>
      </c>
      <c r="O33" s="60">
        <f t="shared" si="2"/>
        <v>9400000</v>
      </c>
      <c r="P33" s="53">
        <v>0</v>
      </c>
      <c r="Q33" s="53" t="s">
        <v>1631</v>
      </c>
      <c r="R33" s="53" t="s">
        <v>1609</v>
      </c>
    </row>
    <row r="34" spans="1:18" ht="43.95" customHeight="1">
      <c r="A34" s="55" t="s">
        <v>1635</v>
      </c>
      <c r="B34" s="55" t="s">
        <v>1623</v>
      </c>
      <c r="C34" s="55" t="s">
        <v>1529</v>
      </c>
      <c r="D34" s="63">
        <v>46692</v>
      </c>
      <c r="E34" s="64">
        <f>SC04가정!G7</f>
        <v>46631</v>
      </c>
      <c r="F34" s="59">
        <f t="shared" si="0"/>
        <v>1</v>
      </c>
      <c r="G34" s="61">
        <f>F34*SC04가정!H7</f>
        <v>0</v>
      </c>
      <c r="H34" s="61">
        <f>F34*(SC04가정!L7-SC04가정!M7)*SC04가정!N7</f>
        <v>9600000</v>
      </c>
      <c r="I34" s="61">
        <f>G34*SC04가정!J7</f>
        <v>0</v>
      </c>
      <c r="J34" s="61">
        <f>G34*SC04가정!K7</f>
        <v>0</v>
      </c>
      <c r="K34" s="61">
        <f>F34*SC04가정!O7</f>
        <v>200000</v>
      </c>
      <c r="L34" s="61">
        <f>IF(D34=SC04가정!Q7,SC04가정!P7,0)</f>
        <v>0</v>
      </c>
      <c r="M34" s="61">
        <f>IF(D34&gt;=SC04가정!G8,SC04가정!H8*SC04가정!U7,0)</f>
        <v>600000</v>
      </c>
      <c r="N34" s="59">
        <f t="shared" si="1"/>
        <v>600000</v>
      </c>
      <c r="O34" s="59">
        <f t="shared" si="2"/>
        <v>9400000</v>
      </c>
      <c r="P34" s="55">
        <v>0</v>
      </c>
      <c r="Q34" s="55" t="s">
        <v>1631</v>
      </c>
      <c r="R34" s="55" t="s">
        <v>1609</v>
      </c>
    </row>
    <row r="35" spans="1:18" ht="43.95" customHeight="1">
      <c r="A35" s="53" t="s">
        <v>1636</v>
      </c>
      <c r="B35" s="53" t="s">
        <v>1623</v>
      </c>
      <c r="C35" s="53" t="s">
        <v>1529</v>
      </c>
      <c r="D35" s="65">
        <v>46722</v>
      </c>
      <c r="E35" s="66">
        <f>SC04가정!G7</f>
        <v>46631</v>
      </c>
      <c r="F35" s="60">
        <f t="shared" si="0"/>
        <v>1</v>
      </c>
      <c r="G35" s="62">
        <f>F35*SC04가정!H7</f>
        <v>0</v>
      </c>
      <c r="H35" s="62">
        <f>F35*(SC04가정!L7-SC04가정!M7)*SC04가정!N7</f>
        <v>9600000</v>
      </c>
      <c r="I35" s="62">
        <f>G35*SC04가정!J7</f>
        <v>0</v>
      </c>
      <c r="J35" s="62">
        <f>G35*SC04가정!K7</f>
        <v>0</v>
      </c>
      <c r="K35" s="62">
        <f>F35*SC04가정!O7</f>
        <v>200000</v>
      </c>
      <c r="L35" s="62">
        <f>IF(D35=SC04가정!Q7,SC04가정!P7,0)</f>
        <v>0</v>
      </c>
      <c r="M35" s="62">
        <f>IF(D35&gt;=SC04가정!G8,SC04가정!H8*SC04가정!U7,0)</f>
        <v>600000</v>
      </c>
      <c r="N35" s="60">
        <f t="shared" si="1"/>
        <v>600000</v>
      </c>
      <c r="O35" s="60">
        <f t="shared" si="2"/>
        <v>9400000</v>
      </c>
      <c r="P35" s="53">
        <v>0</v>
      </c>
      <c r="Q35" s="53" t="s">
        <v>1631</v>
      </c>
      <c r="R35" s="53" t="s">
        <v>1609</v>
      </c>
    </row>
    <row r="36" spans="1:18" ht="43.95" customHeight="1">
      <c r="A36" s="55" t="s">
        <v>1637</v>
      </c>
      <c r="B36" s="55" t="s">
        <v>1623</v>
      </c>
      <c r="C36" s="55" t="s">
        <v>1534</v>
      </c>
      <c r="D36" s="63">
        <v>46569</v>
      </c>
      <c r="E36" s="64">
        <f>SC04가정!G8</f>
        <v>46661</v>
      </c>
      <c r="F36" s="59">
        <f t="shared" si="0"/>
        <v>0</v>
      </c>
      <c r="G36" s="61">
        <f>F36*SC04가정!H8</f>
        <v>0</v>
      </c>
      <c r="H36" s="61">
        <f>G36*SC04가정!I8</f>
        <v>0</v>
      </c>
      <c r="I36" s="61">
        <f>G36*SC04가정!J8</f>
        <v>0</v>
      </c>
      <c r="J36" s="61">
        <f>G36*SC04가정!K8</f>
        <v>0</v>
      </c>
      <c r="K36" s="61">
        <f>F36*SC04가정!O8</f>
        <v>0</v>
      </c>
      <c r="L36" s="61">
        <f>IF(D36=SC04가정!Q8,SC04가정!P8,0)</f>
        <v>0</v>
      </c>
      <c r="M36" s="59">
        <f>0</f>
        <v>0</v>
      </c>
      <c r="N36" s="59">
        <f t="shared" si="1"/>
        <v>0</v>
      </c>
      <c r="O36" s="59">
        <f t="shared" si="2"/>
        <v>0</v>
      </c>
      <c r="P36" s="55">
        <v>0</v>
      </c>
      <c r="Q36" s="55" t="s">
        <v>1624</v>
      </c>
      <c r="R36" s="55" t="s">
        <v>1616</v>
      </c>
    </row>
    <row r="37" spans="1:18" ht="43.95" customHeight="1">
      <c r="A37" s="53" t="s">
        <v>1638</v>
      </c>
      <c r="B37" s="53" t="s">
        <v>1623</v>
      </c>
      <c r="C37" s="53" t="s">
        <v>1534</v>
      </c>
      <c r="D37" s="65">
        <v>46600</v>
      </c>
      <c r="E37" s="66">
        <f>SC04가정!G8</f>
        <v>46661</v>
      </c>
      <c r="F37" s="60">
        <f t="shared" si="0"/>
        <v>0</v>
      </c>
      <c r="G37" s="62">
        <f>F37*SC04가정!H8</f>
        <v>0</v>
      </c>
      <c r="H37" s="62">
        <f>G37*SC04가정!I8</f>
        <v>0</v>
      </c>
      <c r="I37" s="62">
        <f>G37*SC04가정!J8</f>
        <v>0</v>
      </c>
      <c r="J37" s="62">
        <f>G37*SC04가정!K8</f>
        <v>0</v>
      </c>
      <c r="K37" s="62">
        <f>F37*SC04가정!O8</f>
        <v>0</v>
      </c>
      <c r="L37" s="62">
        <f>IF(D37=SC04가정!Q8,SC04가정!P8,0)</f>
        <v>0</v>
      </c>
      <c r="M37" s="60">
        <f>0</f>
        <v>0</v>
      </c>
      <c r="N37" s="60">
        <f t="shared" si="1"/>
        <v>0</v>
      </c>
      <c r="O37" s="60">
        <f t="shared" si="2"/>
        <v>0</v>
      </c>
      <c r="P37" s="53">
        <v>0</v>
      </c>
      <c r="Q37" s="53" t="s">
        <v>1624</v>
      </c>
      <c r="R37" s="53" t="s">
        <v>1616</v>
      </c>
    </row>
    <row r="38" spans="1:18" ht="43.95" customHeight="1">
      <c r="A38" s="55" t="s">
        <v>1639</v>
      </c>
      <c r="B38" s="55" t="s">
        <v>1623</v>
      </c>
      <c r="C38" s="55" t="s">
        <v>1534</v>
      </c>
      <c r="D38" s="63">
        <v>46631</v>
      </c>
      <c r="E38" s="64">
        <f>SC04가정!G8</f>
        <v>46661</v>
      </c>
      <c r="F38" s="59">
        <f t="shared" si="0"/>
        <v>0</v>
      </c>
      <c r="G38" s="61">
        <f>F38*SC04가정!H8</f>
        <v>0</v>
      </c>
      <c r="H38" s="61">
        <f>G38*SC04가정!I8</f>
        <v>0</v>
      </c>
      <c r="I38" s="61">
        <f>G38*SC04가정!J8</f>
        <v>0</v>
      </c>
      <c r="J38" s="61">
        <f>G38*SC04가정!K8</f>
        <v>0</v>
      </c>
      <c r="K38" s="61">
        <f>F38*SC04가정!O8</f>
        <v>0</v>
      </c>
      <c r="L38" s="61">
        <f>IF(D38=SC04가정!Q8,SC04가정!P8,0)</f>
        <v>1000000</v>
      </c>
      <c r="M38" s="59">
        <f>0</f>
        <v>0</v>
      </c>
      <c r="N38" s="59">
        <f t="shared" si="1"/>
        <v>0</v>
      </c>
      <c r="O38" s="59">
        <f t="shared" si="2"/>
        <v>-1000000</v>
      </c>
      <c r="P38" s="55">
        <v>0</v>
      </c>
      <c r="Q38" s="55" t="s">
        <v>1624</v>
      </c>
      <c r="R38" s="55" t="s">
        <v>1616</v>
      </c>
    </row>
    <row r="39" spans="1:18" ht="43.95" customHeight="1">
      <c r="A39" s="53" t="s">
        <v>1640</v>
      </c>
      <c r="B39" s="53" t="s">
        <v>1623</v>
      </c>
      <c r="C39" s="53" t="s">
        <v>1534</v>
      </c>
      <c r="D39" s="65">
        <v>46661</v>
      </c>
      <c r="E39" s="66">
        <f>SC04가정!G8</f>
        <v>46661</v>
      </c>
      <c r="F39" s="60">
        <f t="shared" si="0"/>
        <v>1</v>
      </c>
      <c r="G39" s="62">
        <f>F39*SC04가정!H8</f>
        <v>6000</v>
      </c>
      <c r="H39" s="62">
        <f>G39*SC04가정!I8</f>
        <v>30000000</v>
      </c>
      <c r="I39" s="62">
        <f>G39*SC04가정!J8</f>
        <v>27000000</v>
      </c>
      <c r="J39" s="62">
        <f>G39*SC04가정!K8</f>
        <v>600000</v>
      </c>
      <c r="K39" s="62">
        <f>F39*SC04가정!O8</f>
        <v>0</v>
      </c>
      <c r="L39" s="62">
        <f>IF(D39=SC04가정!Q8,SC04가정!P8,0)</f>
        <v>0</v>
      </c>
      <c r="M39" s="60">
        <f>0</f>
        <v>0</v>
      </c>
      <c r="N39" s="60">
        <f t="shared" si="1"/>
        <v>0</v>
      </c>
      <c r="O39" s="60">
        <f t="shared" si="2"/>
        <v>2400000</v>
      </c>
      <c r="P39" s="53">
        <v>0</v>
      </c>
      <c r="Q39" s="53" t="s">
        <v>1624</v>
      </c>
      <c r="R39" s="53" t="s">
        <v>1616</v>
      </c>
    </row>
    <row r="40" spans="1:18" ht="43.95" customHeight="1">
      <c r="A40" s="55" t="s">
        <v>1641</v>
      </c>
      <c r="B40" s="55" t="s">
        <v>1623</v>
      </c>
      <c r="C40" s="55" t="s">
        <v>1534</v>
      </c>
      <c r="D40" s="63">
        <v>46692</v>
      </c>
      <c r="E40" s="64">
        <f>SC04가정!G8</f>
        <v>46661</v>
      </c>
      <c r="F40" s="59">
        <f t="shared" si="0"/>
        <v>1</v>
      </c>
      <c r="G40" s="61">
        <f>F40*SC04가정!H8</f>
        <v>6000</v>
      </c>
      <c r="H40" s="61">
        <f>G40*SC04가정!I8</f>
        <v>30000000</v>
      </c>
      <c r="I40" s="61">
        <f>G40*SC04가정!J8</f>
        <v>27000000</v>
      </c>
      <c r="J40" s="61">
        <f>G40*SC04가정!K8</f>
        <v>600000</v>
      </c>
      <c r="K40" s="61">
        <f>F40*SC04가정!O8</f>
        <v>0</v>
      </c>
      <c r="L40" s="61">
        <f>IF(D40=SC04가정!Q8,SC04가정!P8,0)</f>
        <v>0</v>
      </c>
      <c r="M40" s="59">
        <f>0</f>
        <v>0</v>
      </c>
      <c r="N40" s="59">
        <f t="shared" si="1"/>
        <v>0</v>
      </c>
      <c r="O40" s="59">
        <f t="shared" si="2"/>
        <v>2400000</v>
      </c>
      <c r="P40" s="55">
        <v>0</v>
      </c>
      <c r="Q40" s="55" t="s">
        <v>1624</v>
      </c>
      <c r="R40" s="55" t="s">
        <v>1616</v>
      </c>
    </row>
    <row r="41" spans="1:18" ht="43.95" customHeight="1">
      <c r="A41" s="53" t="s">
        <v>1642</v>
      </c>
      <c r="B41" s="53" t="s">
        <v>1623</v>
      </c>
      <c r="C41" s="53" t="s">
        <v>1534</v>
      </c>
      <c r="D41" s="65">
        <v>46722</v>
      </c>
      <c r="E41" s="66">
        <f>SC04가정!G8</f>
        <v>46661</v>
      </c>
      <c r="F41" s="60">
        <f t="shared" si="0"/>
        <v>1</v>
      </c>
      <c r="G41" s="62">
        <f>F41*SC04가정!H8</f>
        <v>6000</v>
      </c>
      <c r="H41" s="62">
        <f>G41*SC04가정!I8</f>
        <v>30000000</v>
      </c>
      <c r="I41" s="62">
        <f>G41*SC04가정!J8</f>
        <v>27000000</v>
      </c>
      <c r="J41" s="62">
        <f>G41*SC04가정!K8</f>
        <v>600000</v>
      </c>
      <c r="K41" s="62">
        <f>F41*SC04가정!O8</f>
        <v>0</v>
      </c>
      <c r="L41" s="62">
        <f>IF(D41=SC04가정!Q8,SC04가정!P8,0)</f>
        <v>0</v>
      </c>
      <c r="M41" s="60">
        <f>0</f>
        <v>0</v>
      </c>
      <c r="N41" s="60">
        <f t="shared" si="1"/>
        <v>0</v>
      </c>
      <c r="O41" s="60">
        <f t="shared" si="2"/>
        <v>2400000</v>
      </c>
      <c r="P41" s="53">
        <v>0</v>
      </c>
      <c r="Q41" s="53" t="s">
        <v>1624</v>
      </c>
      <c r="R41" s="53" t="s">
        <v>1616</v>
      </c>
    </row>
  </sheetData>
  <phoneticPr fontId="30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315D77"/>
  </sheetPr>
  <dimension ref="A1:E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5" customWidth="1"/>
    <col min="3" max="3" width="112" customWidth="1"/>
    <col min="4" max="4" width="37" customWidth="1"/>
    <col min="5" max="5" width="106" customWidth="1"/>
  </cols>
  <sheetData>
    <row r="1" spans="1:5" ht="30" customHeight="1">
      <c r="A1" s="51" t="s">
        <v>1643</v>
      </c>
      <c r="B1" s="50"/>
      <c r="C1" s="50"/>
      <c r="D1" s="50"/>
      <c r="E1" s="50"/>
    </row>
    <row r="2" spans="1:5">
      <c r="A2" s="50"/>
      <c r="B2" s="50"/>
      <c r="C2" s="50"/>
      <c r="D2" s="50"/>
      <c r="E2" s="50"/>
    </row>
    <row r="3" spans="1:5">
      <c r="A3" s="52" t="s">
        <v>1644</v>
      </c>
      <c r="B3" s="50"/>
      <c r="C3" s="50"/>
      <c r="D3" s="50"/>
      <c r="E3" s="50"/>
    </row>
    <row r="4" spans="1:5">
      <c r="A4" s="50"/>
      <c r="B4" s="50"/>
      <c r="C4" s="50"/>
      <c r="D4" s="50"/>
      <c r="E4" s="50"/>
    </row>
    <row r="5" spans="1:5" ht="36" customHeight="1">
      <c r="A5" s="54" t="s">
        <v>1598</v>
      </c>
      <c r="B5" s="54" t="s">
        <v>877</v>
      </c>
      <c r="C5" s="54" t="s">
        <v>1645</v>
      </c>
      <c r="D5" s="54" t="s">
        <v>1646</v>
      </c>
      <c r="E5" s="54" t="s">
        <v>1647</v>
      </c>
    </row>
    <row r="6" spans="1:5" ht="43.95" customHeight="1">
      <c r="A6" s="55" t="s">
        <v>1602</v>
      </c>
      <c r="B6" s="55" t="s">
        <v>1648</v>
      </c>
      <c r="C6" s="55" t="s">
        <v>1649</v>
      </c>
      <c r="D6" s="55" t="s">
        <v>1650</v>
      </c>
      <c r="E6" s="55" t="s">
        <v>1651</v>
      </c>
    </row>
    <row r="7" spans="1:5" ht="43.95" customHeight="1">
      <c r="A7" s="53" t="s">
        <v>1609</v>
      </c>
      <c r="B7" s="53" t="s">
        <v>1652</v>
      </c>
      <c r="C7" s="53" t="s">
        <v>1653</v>
      </c>
      <c r="D7" s="53" t="s">
        <v>1654</v>
      </c>
      <c r="E7" s="53" t="s">
        <v>1655</v>
      </c>
    </row>
    <row r="8" spans="1:5" ht="43.95" customHeight="1">
      <c r="A8" s="55" t="s">
        <v>1616</v>
      </c>
      <c r="B8" s="55" t="s">
        <v>1656</v>
      </c>
      <c r="C8" s="55" t="s">
        <v>1657</v>
      </c>
      <c r="D8" s="55" t="s">
        <v>1658</v>
      </c>
      <c r="E8" s="55" t="s">
        <v>1659</v>
      </c>
    </row>
    <row r="9" spans="1:5" ht="43.95" customHeight="1">
      <c r="A9" s="53" t="s">
        <v>1660</v>
      </c>
      <c r="B9" s="53" t="s">
        <v>1661</v>
      </c>
      <c r="C9" s="53" t="s">
        <v>1662</v>
      </c>
      <c r="D9" s="53" t="s">
        <v>1663</v>
      </c>
      <c r="E9" s="53" t="s">
        <v>1664</v>
      </c>
    </row>
    <row r="10" spans="1:5" ht="43.95" customHeight="1">
      <c r="A10" s="55" t="s">
        <v>1665</v>
      </c>
      <c r="B10" s="55" t="s">
        <v>1666</v>
      </c>
      <c r="C10" s="55" t="s">
        <v>1667</v>
      </c>
      <c r="D10" s="55" t="s">
        <v>1668</v>
      </c>
      <c r="E10" s="55" t="s">
        <v>1669</v>
      </c>
    </row>
    <row r="11" spans="1:5" ht="43.95" customHeight="1">
      <c r="A11" s="53" t="s">
        <v>1670</v>
      </c>
      <c r="B11" s="53" t="s">
        <v>1671</v>
      </c>
      <c r="C11" s="53" t="s">
        <v>1672</v>
      </c>
      <c r="D11" s="53" t="s">
        <v>1673</v>
      </c>
      <c r="E11" s="53" t="s">
        <v>1674</v>
      </c>
    </row>
    <row r="12" spans="1:5" ht="43.95" customHeight="1">
      <c r="A12" s="55" t="s">
        <v>1675</v>
      </c>
      <c r="B12" s="55" t="s">
        <v>1676</v>
      </c>
      <c r="C12" s="55" t="s">
        <v>1677</v>
      </c>
      <c r="D12" s="55" t="s">
        <v>1678</v>
      </c>
      <c r="E12" s="55" t="s">
        <v>1679</v>
      </c>
    </row>
    <row r="13" spans="1:5" ht="30" customHeight="1">
      <c r="A13" s="53" t="s">
        <v>1680</v>
      </c>
      <c r="B13" s="53" t="s">
        <v>1681</v>
      </c>
      <c r="C13" s="53" t="s">
        <v>1682</v>
      </c>
      <c r="D13" s="53" t="s">
        <v>1683</v>
      </c>
      <c r="E13" s="53" t="s">
        <v>1684</v>
      </c>
    </row>
    <row r="14" spans="1:5" ht="43.95" customHeight="1">
      <c r="A14" s="55" t="s">
        <v>1685</v>
      </c>
      <c r="B14" s="55" t="s">
        <v>885</v>
      </c>
      <c r="C14" s="55" t="s">
        <v>1686</v>
      </c>
      <c r="D14" s="55" t="s">
        <v>1687</v>
      </c>
      <c r="E14" s="55" t="s">
        <v>1688</v>
      </c>
    </row>
  </sheetData>
  <phoneticPr fontId="30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315D77"/>
  </sheetPr>
  <dimension ref="A1:I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0" customWidth="1"/>
    <col min="3" max="3" width="26" customWidth="1"/>
    <col min="4" max="5" width="24" customWidth="1"/>
    <col min="6" max="6" width="25" customWidth="1"/>
    <col min="7" max="7" width="105" customWidth="1"/>
    <col min="8" max="8" width="40" customWidth="1"/>
    <col min="9" max="9" width="89" customWidth="1"/>
  </cols>
  <sheetData>
    <row r="1" spans="1:9" ht="30" customHeight="1">
      <c r="A1" s="51" t="s">
        <v>1689</v>
      </c>
      <c r="B1" s="50"/>
      <c r="C1" s="50"/>
      <c r="D1" s="50"/>
      <c r="E1" s="50"/>
      <c r="F1" s="50"/>
      <c r="G1" s="50"/>
      <c r="H1" s="50"/>
      <c r="I1" s="50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3" spans="1:9">
      <c r="A3" s="52" t="s">
        <v>1690</v>
      </c>
      <c r="B3" s="50"/>
      <c r="C3" s="50"/>
      <c r="D3" s="50"/>
      <c r="E3" s="50"/>
      <c r="F3" s="50"/>
      <c r="G3" s="50"/>
      <c r="H3" s="50"/>
      <c r="I3" s="50"/>
    </row>
    <row r="4" spans="1:9">
      <c r="A4" s="50"/>
      <c r="B4" s="50"/>
      <c r="C4" s="50"/>
      <c r="D4" s="50"/>
      <c r="E4" s="50"/>
      <c r="F4" s="50"/>
      <c r="G4" s="50"/>
      <c r="H4" s="50"/>
      <c r="I4" s="50"/>
    </row>
    <row r="5" spans="1:9" ht="36" customHeight="1">
      <c r="A5" s="54" t="s">
        <v>1691</v>
      </c>
      <c r="B5" s="54" t="s">
        <v>1692</v>
      </c>
      <c r="C5" s="54" t="s">
        <v>1693</v>
      </c>
      <c r="D5" s="54" t="s">
        <v>1694</v>
      </c>
      <c r="E5" s="54" t="s">
        <v>1695</v>
      </c>
      <c r="F5" s="54" t="s">
        <v>1696</v>
      </c>
      <c r="G5" s="54" t="s">
        <v>1697</v>
      </c>
      <c r="H5" s="54" t="s">
        <v>1698</v>
      </c>
      <c r="I5" s="54" t="s">
        <v>1699</v>
      </c>
    </row>
    <row r="6" spans="1:9" ht="30" customHeight="1">
      <c r="A6" s="55" t="s">
        <v>1700</v>
      </c>
      <c r="B6" s="55" t="s">
        <v>1113</v>
      </c>
      <c r="C6" s="55" t="s">
        <v>1525</v>
      </c>
      <c r="D6" s="55" t="s">
        <v>959</v>
      </c>
      <c r="E6" s="55" t="s">
        <v>1527</v>
      </c>
      <c r="F6" s="67">
        <v>46574.583333333336</v>
      </c>
      <c r="G6" s="55" t="s">
        <v>1701</v>
      </c>
      <c r="H6" s="55" t="s">
        <v>1702</v>
      </c>
      <c r="I6" s="55" t="s">
        <v>1703</v>
      </c>
    </row>
    <row r="7" spans="1:9" ht="30" customHeight="1">
      <c r="A7" s="53" t="s">
        <v>1704</v>
      </c>
      <c r="B7" s="53" t="s">
        <v>1119</v>
      </c>
      <c r="C7" s="53" t="s">
        <v>1705</v>
      </c>
      <c r="D7" s="53" t="s">
        <v>963</v>
      </c>
      <c r="E7" s="53" t="s">
        <v>1532</v>
      </c>
      <c r="F7" s="68">
        <v>46574.625</v>
      </c>
      <c r="G7" s="53" t="s">
        <v>1706</v>
      </c>
      <c r="H7" s="53" t="s">
        <v>1707</v>
      </c>
      <c r="I7" s="53" t="s">
        <v>1708</v>
      </c>
    </row>
    <row r="8" spans="1:9" ht="30" customHeight="1">
      <c r="A8" s="55" t="s">
        <v>1709</v>
      </c>
      <c r="B8" s="55" t="s">
        <v>1130</v>
      </c>
      <c r="C8" s="55" t="s">
        <v>1125</v>
      </c>
      <c r="D8" s="55" t="s">
        <v>967</v>
      </c>
      <c r="E8" s="55" t="s">
        <v>1544</v>
      </c>
      <c r="F8" s="67">
        <v>46574.666666666664</v>
      </c>
      <c r="G8" s="55" t="s">
        <v>1710</v>
      </c>
      <c r="H8" s="55" t="s">
        <v>1680</v>
      </c>
      <c r="I8" s="55" t="s">
        <v>1711</v>
      </c>
    </row>
    <row r="9" spans="1:9" ht="30" customHeight="1">
      <c r="A9" s="53" t="s">
        <v>1712</v>
      </c>
      <c r="B9" s="53" t="s">
        <v>1170</v>
      </c>
      <c r="C9" s="53" t="s">
        <v>1713</v>
      </c>
      <c r="D9" s="53" t="s">
        <v>971</v>
      </c>
      <c r="E9" s="53" t="s">
        <v>955</v>
      </c>
      <c r="F9" s="68">
        <v>46574.708333333336</v>
      </c>
      <c r="G9" s="53" t="s">
        <v>1714</v>
      </c>
      <c r="H9" s="53" t="s">
        <v>1685</v>
      </c>
      <c r="I9" s="53" t="s">
        <v>1715</v>
      </c>
    </row>
    <row r="12" spans="1:9" ht="34.049999999999997" customHeight="1">
      <c r="A12" s="69" t="s">
        <v>1562</v>
      </c>
      <c r="B12" s="69" t="s">
        <v>1716</v>
      </c>
      <c r="C12" s="69" t="s">
        <v>1717</v>
      </c>
      <c r="D12" s="69" t="s">
        <v>1718</v>
      </c>
      <c r="E12" s="69" t="s">
        <v>1719</v>
      </c>
      <c r="F12" s="69" t="s">
        <v>1698</v>
      </c>
    </row>
    <row r="13" spans="1:9" ht="34.049999999999997" customHeight="1">
      <c r="A13" s="70" t="s">
        <v>219</v>
      </c>
      <c r="B13" s="71">
        <f>SUMIFS(물량원가기준!$D$6:$D$100,물량원가기준!$C$6:$C$100,A13,물량원가기준!$B$6:$B$100,"&gt;="&amp;DATE(2027,1,1),물량원가기준!$B$6:$B$100,"&lt;"&amp;DATE(2028,1,1))</f>
        <v>47480</v>
      </c>
      <c r="C13" s="71">
        <f>SUMIFS(물량원가기준!$E$6:$E$100,물량원가기준!$C$6:$C$100,A13,물량원가기준!$B$6:$B$100,"&gt;="&amp;DATE(2027,1,1),물량원가기준!$B$6:$B$100,"&lt;"&amp;DATE(2028,1,1))</f>
        <v>45699</v>
      </c>
      <c r="D13" s="71">
        <f>물량원가기준!G6-SUM(물량원가기준!H6:J6)</f>
        <v>30000</v>
      </c>
      <c r="E13" s="72">
        <f>(B13-C13)*D13</f>
        <v>53430000</v>
      </c>
      <c r="F13" s="70" t="s">
        <v>1720</v>
      </c>
    </row>
    <row r="14" spans="1:9" ht="34.049999999999997" customHeight="1">
      <c r="A14" s="70" t="s">
        <v>224</v>
      </c>
      <c r="B14" s="71">
        <f>SUMIFS(물량원가기준!$D$6:$D$100,물량원가기준!$C$6:$C$100,A14,물량원가기준!$B$6:$B$100,"&gt;="&amp;DATE(2027,1,1),물량원가기준!$B$6:$B$100,"&lt;"&amp;DATE(2028,1,1))</f>
        <v>118700</v>
      </c>
      <c r="C14" s="71">
        <f>SUMIFS(물량원가기준!$E$6:$E$100,물량원가기준!$C$6:$C$100,A14,물량원가기준!$B$6:$B$100,"&gt;="&amp;DATE(2027,1,1),물량원가기준!$B$6:$B$100,"&lt;"&amp;DATE(2028,1,1))</f>
        <v>114248</v>
      </c>
      <c r="D14" s="71">
        <f>물량원가기준!G7-SUM(물량원가기준!H7:J7)</f>
        <v>20000</v>
      </c>
      <c r="E14" s="72">
        <f>(B14-C14)*D14</f>
        <v>89040000</v>
      </c>
      <c r="F14" s="70" t="s">
        <v>1720</v>
      </c>
    </row>
    <row r="15" spans="1:9" ht="34.049999999999997" customHeight="1">
      <c r="A15" s="70" t="s">
        <v>226</v>
      </c>
      <c r="B15" s="71">
        <f>SUMIFS(물량원가기준!$D$6:$D$100,물량원가기준!$C$6:$C$100,A15,물량원가기준!$B$6:$B$100,"&gt;="&amp;DATE(2027,1,1),물량원가기준!$B$6:$B$100,"&lt;"&amp;DATE(2028,1,1))</f>
        <v>71220</v>
      </c>
      <c r="C15" s="71">
        <f>SUMIFS(물량원가기준!$E$6:$E$100,물량원가기준!$C$6:$C$100,A15,물량원가기준!$B$6:$B$100,"&gt;="&amp;DATE(2027,1,1),물량원가기준!$B$6:$B$100,"&lt;"&amp;DATE(2028,1,1))</f>
        <v>70508</v>
      </c>
      <c r="D15" s="71">
        <f>물량원가기준!G8-SUM(물량원가기준!H8:J8)</f>
        <v>28000</v>
      </c>
      <c r="E15" s="72">
        <f>(B15-C15)*D15</f>
        <v>19936000</v>
      </c>
      <c r="F15" s="70" t="s">
        <v>1720</v>
      </c>
    </row>
    <row r="16" spans="1:9" ht="34.049999999999997" customHeight="1">
      <c r="A16" s="70" t="s">
        <v>228</v>
      </c>
      <c r="B16" s="71">
        <f>SUMIFS(물량원가기준!$D$6:$D$100,물량원가기준!$C$6:$C$100,A16,물량원가기준!$B$6:$B$100,"&gt;="&amp;DATE(2027,1,1),물량원가기준!$B$6:$B$100,"&lt;"&amp;DATE(2028,1,1))</f>
        <v>59350</v>
      </c>
      <c r="C16" s="71">
        <f>SUMIFS(물량원가기준!$E$6:$E$100,물량원가기준!$C$6:$C$100,A16,물량원가기준!$B$6:$B$100,"&gt;="&amp;DATE(2027,1,1),물량원가기준!$B$6:$B$100,"&lt;"&amp;DATE(2028,1,1))</f>
        <v>59945</v>
      </c>
      <c r="D16" s="71">
        <f>물량원가기준!G9-SUM(물량원가기준!H9:J9)</f>
        <v>25000</v>
      </c>
      <c r="E16" s="72">
        <f>(B16-C16)*D16</f>
        <v>-14875000</v>
      </c>
      <c r="F16" s="70" t="s">
        <v>1720</v>
      </c>
    </row>
    <row r="17" spans="1:6" ht="34.049999999999997" customHeight="1">
      <c r="A17" s="70" t="s">
        <v>230</v>
      </c>
      <c r="B17" s="71">
        <f>SUMIFS(물량원가기준!$D$6:$D$100,물량원가기준!$C$6:$C$100,A17,물량원가기준!$B$6:$B$100,"&gt;="&amp;DATE(2027,1,1),물량원가기준!$B$6:$B$100,"&lt;"&amp;DATE(2028,1,1))</f>
        <v>35610</v>
      </c>
      <c r="C17" s="71">
        <f>SUMIFS(물량원가기준!$E$6:$E$100,물량원가기준!$C$6:$C$100,A17,물량원가기준!$B$6:$B$100,"&gt;="&amp;DATE(2027,1,1),물량원가기준!$B$6:$B$100,"&lt;"&amp;DATE(2028,1,1))</f>
        <v>35254</v>
      </c>
      <c r="D17" s="71">
        <f>물량원가기준!G10-SUM(물량원가기준!H10:J10)</f>
        <v>18000</v>
      </c>
      <c r="E17" s="72">
        <f>(B17-C17)*D17</f>
        <v>6408000</v>
      </c>
      <c r="F17" s="70" t="s">
        <v>1720</v>
      </c>
    </row>
    <row r="18" spans="1:6" ht="34.049999999999997" customHeight="1">
      <c r="A18" s="70" t="s">
        <v>1721</v>
      </c>
      <c r="B18" s="70"/>
      <c r="C18" s="70"/>
      <c r="D18" s="70"/>
      <c r="E18" s="72">
        <f>SUM(E13:E17)</f>
        <v>153939000</v>
      </c>
      <c r="F18" s="70"/>
    </row>
  </sheetData>
  <phoneticPr fontId="30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15D77"/>
  </sheetPr>
  <dimension ref="A1:P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17" customWidth="1"/>
    <col min="3" max="4" width="23" customWidth="1"/>
    <col min="5" max="7" width="22" customWidth="1"/>
    <col min="8" max="8" width="21" customWidth="1"/>
    <col min="9" max="9" width="22" customWidth="1"/>
    <col min="10" max="11" width="26" customWidth="1"/>
    <col min="12" max="13" width="23" customWidth="1"/>
    <col min="14" max="14" width="26" customWidth="1"/>
    <col min="15" max="15" width="22" customWidth="1"/>
    <col min="16" max="16" width="17" customWidth="1"/>
  </cols>
  <sheetData>
    <row r="1" spans="1:16" ht="30" customHeight="1">
      <c r="A1" s="51" t="s">
        <v>1722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6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1:16">
      <c r="A3" s="52" t="s">
        <v>1723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1:16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6" ht="36" customHeight="1">
      <c r="A5" s="54" t="s">
        <v>1724</v>
      </c>
      <c r="B5" s="54" t="s">
        <v>1515</v>
      </c>
      <c r="C5" s="54" t="s">
        <v>1523</v>
      </c>
      <c r="D5" s="54" t="s">
        <v>1725</v>
      </c>
      <c r="E5" s="54" t="s">
        <v>1726</v>
      </c>
      <c r="F5" s="54" t="s">
        <v>1727</v>
      </c>
      <c r="G5" s="54" t="s">
        <v>1728</v>
      </c>
      <c r="H5" s="54" t="s">
        <v>1729</v>
      </c>
      <c r="I5" s="54" t="s">
        <v>1730</v>
      </c>
      <c r="J5" s="54" t="s">
        <v>1731</v>
      </c>
      <c r="K5" s="54" t="s">
        <v>1732</v>
      </c>
      <c r="L5" s="54" t="s">
        <v>1733</v>
      </c>
      <c r="M5" s="54" t="s">
        <v>1734</v>
      </c>
      <c r="N5" s="54" t="s">
        <v>1735</v>
      </c>
      <c r="O5" s="54" t="s">
        <v>1736</v>
      </c>
      <c r="P5" s="54" t="s">
        <v>1737</v>
      </c>
    </row>
    <row r="6" spans="1:16" ht="30" customHeight="1">
      <c r="A6" s="55" t="s">
        <v>1738</v>
      </c>
      <c r="B6" s="55" t="s">
        <v>1525</v>
      </c>
      <c r="C6" s="55" t="s">
        <v>1527</v>
      </c>
      <c r="D6" s="55" t="s">
        <v>959</v>
      </c>
      <c r="E6" s="57">
        <v>8000000</v>
      </c>
      <c r="F6" s="57">
        <v>4000000</v>
      </c>
      <c r="G6" s="57">
        <v>0</v>
      </c>
      <c r="H6" s="57">
        <v>0</v>
      </c>
      <c r="I6" s="59">
        <f>E6-SUM(F6:H6)</f>
        <v>4000000</v>
      </c>
      <c r="J6" s="67">
        <v>46584.75</v>
      </c>
      <c r="K6" s="67">
        <v>46630.75</v>
      </c>
      <c r="L6" s="55" t="s">
        <v>478</v>
      </c>
      <c r="M6" s="55" t="s">
        <v>1157</v>
      </c>
      <c r="N6" s="67">
        <v>46581.375</v>
      </c>
      <c r="O6" s="55" t="s">
        <v>1739</v>
      </c>
      <c r="P6" s="55">
        <v>1</v>
      </c>
    </row>
    <row r="7" spans="1:16" ht="30" customHeight="1">
      <c r="A7" s="53" t="s">
        <v>1740</v>
      </c>
      <c r="B7" s="53" t="s">
        <v>1529</v>
      </c>
      <c r="C7" s="53" t="s">
        <v>1532</v>
      </c>
      <c r="D7" s="53" t="s">
        <v>963</v>
      </c>
      <c r="E7" s="58">
        <v>6000000</v>
      </c>
      <c r="F7" s="58">
        <v>2000000</v>
      </c>
      <c r="G7" s="58">
        <v>0</v>
      </c>
      <c r="H7" s="58">
        <v>0</v>
      </c>
      <c r="I7" s="60">
        <f>E7-SUM(F7:H7)</f>
        <v>4000000</v>
      </c>
      <c r="J7" s="68">
        <v>46584.75</v>
      </c>
      <c r="K7" s="68">
        <v>46660.75</v>
      </c>
      <c r="L7" s="53" t="s">
        <v>1531</v>
      </c>
      <c r="M7" s="53" t="s">
        <v>1157</v>
      </c>
      <c r="N7" s="68">
        <v>46581.385416666664</v>
      </c>
      <c r="O7" s="53" t="s">
        <v>1739</v>
      </c>
      <c r="P7" s="53">
        <v>1</v>
      </c>
    </row>
    <row r="8" spans="1:16" ht="30" customHeight="1">
      <c r="A8" s="55" t="s">
        <v>1741</v>
      </c>
      <c r="B8" s="55" t="s">
        <v>1534</v>
      </c>
      <c r="C8" s="55" t="s">
        <v>1532</v>
      </c>
      <c r="D8" s="55" t="s">
        <v>963</v>
      </c>
      <c r="E8" s="57">
        <v>4000000</v>
      </c>
      <c r="F8" s="57">
        <v>1000000</v>
      </c>
      <c r="G8" s="57">
        <v>0</v>
      </c>
      <c r="H8" s="57">
        <v>0</v>
      </c>
      <c r="I8" s="59">
        <f>E8-SUM(F8:H8)</f>
        <v>3000000</v>
      </c>
      <c r="J8" s="67">
        <v>46584.75</v>
      </c>
      <c r="K8" s="67">
        <v>46689.75</v>
      </c>
      <c r="L8" s="55" t="s">
        <v>478</v>
      </c>
      <c r="M8" s="55" t="s">
        <v>1157</v>
      </c>
      <c r="N8" s="67">
        <v>46581.388888888891</v>
      </c>
      <c r="O8" s="55" t="s">
        <v>1739</v>
      </c>
      <c r="P8" s="55">
        <v>1</v>
      </c>
    </row>
    <row r="9" spans="1:16" ht="30" customHeight="1">
      <c r="A9" s="53" t="s">
        <v>1537</v>
      </c>
      <c r="B9" s="53" t="s">
        <v>1742</v>
      </c>
      <c r="C9" s="53" t="s">
        <v>955</v>
      </c>
      <c r="D9" s="53"/>
      <c r="E9" s="58">
        <v>18000000</v>
      </c>
      <c r="F9" s="60">
        <f>SUM(F6:F8)</f>
        <v>7000000</v>
      </c>
      <c r="G9" s="60">
        <f>SUM(G6:G8)</f>
        <v>0</v>
      </c>
      <c r="H9" s="60">
        <f>SUM(H6:H8)</f>
        <v>0</v>
      </c>
      <c r="I9" s="60">
        <f>E9-SUM(F9:H9)</f>
        <v>11000000</v>
      </c>
      <c r="J9" s="53"/>
      <c r="K9" s="53"/>
      <c r="L9" s="53" t="s">
        <v>478</v>
      </c>
      <c r="M9" s="53" t="s">
        <v>1157</v>
      </c>
      <c r="N9" s="68">
        <v>46581.395833333336</v>
      </c>
      <c r="O9" s="53" t="s">
        <v>1739</v>
      </c>
      <c r="P9" s="53">
        <v>1</v>
      </c>
    </row>
  </sheetData>
  <phoneticPr fontId="30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15D77"/>
  </sheetPr>
  <dimension ref="A1:L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21" customWidth="1"/>
    <col min="3" max="3" width="24" customWidth="1"/>
    <col min="4" max="4" width="105" customWidth="1"/>
    <col min="5" max="5" width="23" customWidth="1"/>
    <col min="6" max="6" width="34" customWidth="1"/>
    <col min="7" max="7" width="24" customWidth="1"/>
    <col min="8" max="8" width="26" customWidth="1"/>
    <col min="9" max="9" width="22" customWidth="1"/>
    <col min="10" max="10" width="26" customWidth="1"/>
    <col min="11" max="11" width="19" customWidth="1"/>
    <col min="12" max="12" width="95" customWidth="1"/>
  </cols>
  <sheetData>
    <row r="1" spans="1:12" ht="30" customHeight="1">
      <c r="A1" s="51" t="s">
        <v>1743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>
      <c r="A3" s="52" t="s">
        <v>1744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6" customHeight="1">
      <c r="A5" s="54" t="s">
        <v>1745</v>
      </c>
      <c r="B5" s="54" t="s">
        <v>1746</v>
      </c>
      <c r="C5" s="54" t="s">
        <v>1747</v>
      </c>
      <c r="D5" s="54" t="s">
        <v>527</v>
      </c>
      <c r="E5" s="54" t="s">
        <v>1748</v>
      </c>
      <c r="F5" s="54" t="s">
        <v>1749</v>
      </c>
      <c r="G5" s="54" t="s">
        <v>1750</v>
      </c>
      <c r="H5" s="54" t="s">
        <v>1751</v>
      </c>
      <c r="I5" s="54" t="s">
        <v>350</v>
      </c>
      <c r="J5" s="54" t="s">
        <v>1735</v>
      </c>
      <c r="K5" s="54" t="s">
        <v>1752</v>
      </c>
      <c r="L5" s="54" t="s">
        <v>1753</v>
      </c>
    </row>
    <row r="6" spans="1:12" ht="30" customHeight="1">
      <c r="A6" s="55" t="s">
        <v>38</v>
      </c>
      <c r="B6" s="55" t="s">
        <v>1754</v>
      </c>
      <c r="C6" s="55" t="s">
        <v>1740</v>
      </c>
      <c r="D6" s="55" t="s">
        <v>1755</v>
      </c>
      <c r="E6" s="55" t="s">
        <v>1532</v>
      </c>
      <c r="F6" s="55" t="s">
        <v>1527</v>
      </c>
      <c r="G6" s="55" t="s">
        <v>1532</v>
      </c>
      <c r="H6" s="67">
        <v>46619.75</v>
      </c>
      <c r="I6" s="55" t="s">
        <v>39</v>
      </c>
      <c r="J6" s="67">
        <v>46581.385416666664</v>
      </c>
      <c r="K6" s="55"/>
      <c r="L6" s="55" t="s">
        <v>1756</v>
      </c>
    </row>
    <row r="7" spans="1:12" ht="30" customHeight="1">
      <c r="A7" s="53" t="s">
        <v>1757</v>
      </c>
      <c r="B7" s="53" t="s">
        <v>1758</v>
      </c>
      <c r="C7" s="53" t="s">
        <v>1740</v>
      </c>
      <c r="D7" s="53" t="s">
        <v>1759</v>
      </c>
      <c r="E7" s="53" t="s">
        <v>1527</v>
      </c>
      <c r="F7" s="53" t="s">
        <v>1760</v>
      </c>
      <c r="G7" s="53" t="s">
        <v>955</v>
      </c>
      <c r="H7" s="68">
        <v>46619.75</v>
      </c>
      <c r="I7" s="53" t="s">
        <v>1157</v>
      </c>
      <c r="J7" s="68">
        <v>46581.381944444445</v>
      </c>
      <c r="K7" s="53"/>
      <c r="L7" s="53" t="s">
        <v>1761</v>
      </c>
    </row>
    <row r="8" spans="1:12" ht="43.95" customHeight="1">
      <c r="A8" s="55" t="s">
        <v>1762</v>
      </c>
      <c r="B8" s="55" t="s">
        <v>1763</v>
      </c>
      <c r="C8" s="55" t="s">
        <v>577</v>
      </c>
      <c r="D8" s="55" t="s">
        <v>1764</v>
      </c>
      <c r="E8" s="55" t="s">
        <v>955</v>
      </c>
      <c r="F8" s="55" t="s">
        <v>1765</v>
      </c>
      <c r="G8" s="55" t="s">
        <v>979</v>
      </c>
      <c r="H8" s="67">
        <v>46608.416666666664</v>
      </c>
      <c r="I8" s="55" t="s">
        <v>1157</v>
      </c>
      <c r="J8" s="67">
        <v>46581.395833333336</v>
      </c>
      <c r="K8" s="55"/>
      <c r="L8" s="55" t="s">
        <v>1766</v>
      </c>
    </row>
  </sheetData>
  <phoneticPr fontId="30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15D77"/>
  </sheetPr>
  <dimension ref="A1:G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2" customWidth="1"/>
    <col min="2" max="2" width="24" customWidth="1"/>
    <col min="3" max="3" width="27" customWidth="1"/>
    <col min="4" max="4" width="24" customWidth="1"/>
    <col min="5" max="5" width="34" customWidth="1"/>
    <col min="6" max="6" width="135" customWidth="1"/>
    <col min="7" max="7" width="43" customWidth="1"/>
  </cols>
  <sheetData>
    <row r="1" spans="1:7" ht="30" customHeight="1">
      <c r="A1" s="51" t="s">
        <v>1767</v>
      </c>
      <c r="B1" s="50"/>
      <c r="C1" s="50"/>
      <c r="D1" s="50"/>
      <c r="E1" s="50"/>
      <c r="F1" s="50"/>
      <c r="G1" s="50"/>
    </row>
    <row r="2" spans="1:7">
      <c r="A2" s="50"/>
      <c r="B2" s="50"/>
      <c r="C2" s="50"/>
      <c r="D2" s="50"/>
      <c r="E2" s="50"/>
      <c r="F2" s="50"/>
      <c r="G2" s="50"/>
    </row>
    <row r="3" spans="1:7">
      <c r="A3" s="52" t="s">
        <v>1768</v>
      </c>
      <c r="B3" s="50"/>
      <c r="C3" s="50"/>
      <c r="D3" s="50"/>
      <c r="E3" s="50"/>
      <c r="F3" s="50"/>
      <c r="G3" s="50"/>
    </row>
    <row r="4" spans="1:7">
      <c r="A4" s="50"/>
      <c r="B4" s="50"/>
      <c r="C4" s="50"/>
      <c r="D4" s="50"/>
      <c r="E4" s="50"/>
      <c r="F4" s="50"/>
      <c r="G4" s="50"/>
    </row>
    <row r="5" spans="1:7" ht="36" customHeight="1">
      <c r="A5" s="54" t="s">
        <v>1745</v>
      </c>
      <c r="B5" s="54" t="s">
        <v>1746</v>
      </c>
      <c r="C5" s="54" t="s">
        <v>1769</v>
      </c>
      <c r="D5" s="54" t="s">
        <v>1770</v>
      </c>
      <c r="E5" s="54" t="s">
        <v>1771</v>
      </c>
      <c r="F5" s="54" t="s">
        <v>1772</v>
      </c>
      <c r="G5" s="54" t="s">
        <v>1773</v>
      </c>
    </row>
    <row r="6" spans="1:7" ht="30" customHeight="1">
      <c r="A6" s="55" t="s">
        <v>1090</v>
      </c>
      <c r="B6" s="55" t="s">
        <v>1774</v>
      </c>
      <c r="C6" s="67">
        <v>46580.416666666664</v>
      </c>
      <c r="D6" s="55" t="s">
        <v>979</v>
      </c>
      <c r="E6" s="55" t="s">
        <v>577</v>
      </c>
      <c r="F6" s="55" t="s">
        <v>1775</v>
      </c>
      <c r="G6" s="55" t="s">
        <v>1600</v>
      </c>
    </row>
    <row r="7" spans="1:7" ht="30" customHeight="1">
      <c r="A7" s="53" t="s">
        <v>1776</v>
      </c>
      <c r="B7" s="53" t="s">
        <v>1777</v>
      </c>
      <c r="C7" s="68">
        <v>46580.427083333336</v>
      </c>
      <c r="D7" s="53" t="s">
        <v>979</v>
      </c>
      <c r="E7" s="53" t="s">
        <v>1529</v>
      </c>
      <c r="F7" s="53" t="s">
        <v>1778</v>
      </c>
      <c r="G7" s="53" t="s">
        <v>1675</v>
      </c>
    </row>
    <row r="8" spans="1:7" ht="30" customHeight="1">
      <c r="A8" s="55" t="s">
        <v>1779</v>
      </c>
      <c r="B8" s="55" t="s">
        <v>1780</v>
      </c>
      <c r="C8" s="67">
        <v>46580.429166666669</v>
      </c>
      <c r="D8" s="55" t="s">
        <v>1532</v>
      </c>
      <c r="E8" s="55" t="s">
        <v>1529</v>
      </c>
      <c r="F8" s="55" t="s">
        <v>1781</v>
      </c>
      <c r="G8" s="55" t="s">
        <v>1675</v>
      </c>
    </row>
    <row r="9" spans="1:7" ht="30" customHeight="1">
      <c r="A9" s="53" t="s">
        <v>1782</v>
      </c>
      <c r="B9" s="53" t="s">
        <v>1783</v>
      </c>
      <c r="C9" s="68">
        <v>46580.431250000001</v>
      </c>
      <c r="D9" s="53" t="s">
        <v>1527</v>
      </c>
      <c r="E9" s="53" t="s">
        <v>1529</v>
      </c>
      <c r="F9" s="53" t="s">
        <v>1784</v>
      </c>
      <c r="G9" s="53" t="s">
        <v>1785</v>
      </c>
    </row>
    <row r="10" spans="1:7" ht="30" customHeight="1">
      <c r="A10" s="55" t="s">
        <v>1786</v>
      </c>
      <c r="B10" s="55" t="s">
        <v>1787</v>
      </c>
      <c r="C10" s="67">
        <v>46580.434027777781</v>
      </c>
      <c r="D10" s="55" t="s">
        <v>979</v>
      </c>
      <c r="E10" s="55" t="s">
        <v>1529</v>
      </c>
      <c r="F10" s="55" t="s">
        <v>1788</v>
      </c>
      <c r="G10" s="55" t="s">
        <v>1789</v>
      </c>
    </row>
    <row r="11" spans="1:7" ht="30" customHeight="1">
      <c r="A11" s="53" t="s">
        <v>1790</v>
      </c>
      <c r="B11" s="53" t="s">
        <v>1791</v>
      </c>
      <c r="C11" s="68">
        <v>46580.440972222219</v>
      </c>
      <c r="D11" s="53" t="s">
        <v>955</v>
      </c>
      <c r="E11" s="53" t="s">
        <v>1623</v>
      </c>
      <c r="F11" s="53" t="s">
        <v>1792</v>
      </c>
      <c r="G11" s="53" t="s">
        <v>1793</v>
      </c>
    </row>
    <row r="12" spans="1:7" ht="30" customHeight="1">
      <c r="A12" s="55" t="s">
        <v>1794</v>
      </c>
      <c r="B12" s="55" t="s">
        <v>1795</v>
      </c>
      <c r="C12" s="67">
        <v>46580.447916666664</v>
      </c>
      <c r="D12" s="55" t="s">
        <v>979</v>
      </c>
      <c r="E12" s="55" t="s">
        <v>1796</v>
      </c>
      <c r="F12" s="55" t="s">
        <v>1797</v>
      </c>
      <c r="G12" s="55" t="s">
        <v>1798</v>
      </c>
    </row>
    <row r="13" spans="1:7" ht="43.95" customHeight="1">
      <c r="A13" s="53" t="s">
        <v>1739</v>
      </c>
      <c r="B13" s="53" t="s">
        <v>1799</v>
      </c>
      <c r="C13" s="68">
        <v>46580.625</v>
      </c>
      <c r="D13" s="53" t="s">
        <v>979</v>
      </c>
      <c r="E13" s="53" t="s">
        <v>1800</v>
      </c>
      <c r="F13" s="53" t="s">
        <v>1801</v>
      </c>
      <c r="G13" s="53" t="s">
        <v>1802</v>
      </c>
    </row>
    <row r="14" spans="1:7" ht="43.95" customHeight="1">
      <c r="A14" s="55" t="s">
        <v>1803</v>
      </c>
      <c r="B14" s="55" t="s">
        <v>1804</v>
      </c>
      <c r="C14" s="67">
        <v>46580.625</v>
      </c>
      <c r="D14" s="55" t="s">
        <v>979</v>
      </c>
      <c r="E14" s="55" t="s">
        <v>1739</v>
      </c>
      <c r="F14" s="55" t="s">
        <v>1805</v>
      </c>
      <c r="G14" s="55" t="s">
        <v>1806</v>
      </c>
    </row>
    <row r="15" spans="1:7" ht="43.95" customHeight="1">
      <c r="A15" s="53" t="s">
        <v>1807</v>
      </c>
      <c r="B15" s="53" t="s">
        <v>1808</v>
      </c>
      <c r="C15" s="68">
        <v>46580.625</v>
      </c>
      <c r="D15" s="53" t="s">
        <v>979</v>
      </c>
      <c r="E15" s="53" t="s">
        <v>1090</v>
      </c>
      <c r="F15" s="53" t="s">
        <v>1809</v>
      </c>
      <c r="G15" s="53" t="s">
        <v>1810</v>
      </c>
    </row>
  </sheetData>
  <phoneticPr fontId="30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15D77"/>
  </sheetPr>
  <dimension ref="A1:I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0" customWidth="1"/>
    <col min="2" max="2" width="15" customWidth="1"/>
    <col min="3" max="3" width="27" customWidth="1"/>
    <col min="4" max="4" width="22" customWidth="1"/>
    <col min="5" max="5" width="16" customWidth="1"/>
    <col min="6" max="6" width="44" customWidth="1"/>
    <col min="7" max="7" width="52" customWidth="1"/>
    <col min="8" max="8" width="31" customWidth="1"/>
    <col min="9" max="9" width="22" customWidth="1"/>
  </cols>
  <sheetData>
    <row r="1" spans="1:9" ht="30" customHeight="1">
      <c r="A1" s="51" t="s">
        <v>1811</v>
      </c>
      <c r="B1" s="50"/>
      <c r="C1" s="50"/>
      <c r="D1" s="50"/>
      <c r="E1" s="50"/>
      <c r="F1" s="50"/>
      <c r="G1" s="50"/>
      <c r="H1" s="50"/>
      <c r="I1" s="50"/>
    </row>
    <row r="2" spans="1:9">
      <c r="A2" s="50"/>
      <c r="B2" s="50"/>
      <c r="C2" s="50"/>
      <c r="D2" s="50"/>
      <c r="E2" s="50"/>
      <c r="F2" s="50"/>
      <c r="G2" s="50"/>
      <c r="H2" s="50"/>
      <c r="I2" s="50"/>
    </row>
    <row r="3" spans="1:9">
      <c r="A3" s="52" t="s">
        <v>1812</v>
      </c>
      <c r="B3" s="50"/>
      <c r="C3" s="50"/>
      <c r="D3" s="50"/>
      <c r="E3" s="50"/>
      <c r="F3" s="50"/>
      <c r="G3" s="50"/>
      <c r="H3" s="50"/>
      <c r="I3" s="50"/>
    </row>
    <row r="4" spans="1:9">
      <c r="A4" s="50"/>
      <c r="B4" s="50"/>
      <c r="C4" s="50"/>
      <c r="D4" s="50"/>
      <c r="E4" s="50"/>
      <c r="F4" s="50"/>
      <c r="G4" s="50"/>
      <c r="H4" s="50"/>
      <c r="I4" s="50"/>
    </row>
    <row r="5" spans="1:9" ht="36" customHeight="1">
      <c r="A5" s="54" t="s">
        <v>1176</v>
      </c>
      <c r="B5" s="54" t="s">
        <v>1813</v>
      </c>
      <c r="C5" s="54" t="s">
        <v>1178</v>
      </c>
      <c r="D5" s="54" t="s">
        <v>526</v>
      </c>
      <c r="E5" s="54" t="s">
        <v>1814</v>
      </c>
      <c r="F5" s="54" t="s">
        <v>374</v>
      </c>
      <c r="G5" s="54" t="s">
        <v>1179</v>
      </c>
      <c r="H5" s="54" t="s">
        <v>375</v>
      </c>
      <c r="I5" s="54" t="s">
        <v>369</v>
      </c>
    </row>
    <row r="6" spans="1:9" ht="30" customHeight="1">
      <c r="A6" s="55" t="s">
        <v>1815</v>
      </c>
      <c r="B6" s="55" t="s">
        <v>1181</v>
      </c>
      <c r="C6" s="67">
        <v>46569.375</v>
      </c>
      <c r="D6" s="55" t="s">
        <v>951</v>
      </c>
      <c r="E6" s="55" t="s">
        <v>1816</v>
      </c>
      <c r="F6" s="55" t="s">
        <v>1817</v>
      </c>
      <c r="G6" s="55" t="s">
        <v>1094</v>
      </c>
      <c r="H6" s="55" t="s">
        <v>1818</v>
      </c>
      <c r="I6" s="55" t="s">
        <v>1819</v>
      </c>
    </row>
    <row r="7" spans="1:9" ht="30" customHeight="1">
      <c r="A7" s="53" t="s">
        <v>1820</v>
      </c>
      <c r="B7" s="53" t="s">
        <v>1181</v>
      </c>
      <c r="C7" s="68">
        <v>46574.583333333336</v>
      </c>
      <c r="D7" s="53" t="s">
        <v>1527</v>
      </c>
      <c r="E7" s="53" t="s">
        <v>1816</v>
      </c>
      <c r="F7" s="53" t="s">
        <v>1821</v>
      </c>
      <c r="G7" s="53" t="s">
        <v>1700</v>
      </c>
      <c r="H7" s="53" t="s">
        <v>1822</v>
      </c>
      <c r="I7" s="53" t="s">
        <v>1823</v>
      </c>
    </row>
    <row r="8" spans="1:9" ht="30" customHeight="1">
      <c r="A8" s="55" t="s">
        <v>1824</v>
      </c>
      <c r="B8" s="55" t="s">
        <v>1181</v>
      </c>
      <c r="C8" s="67">
        <v>46574.625</v>
      </c>
      <c r="D8" s="55" t="s">
        <v>1532</v>
      </c>
      <c r="E8" s="55" t="s">
        <v>1816</v>
      </c>
      <c r="F8" s="55" t="s">
        <v>1821</v>
      </c>
      <c r="G8" s="55" t="s">
        <v>1704</v>
      </c>
      <c r="H8" s="55" t="s">
        <v>1822</v>
      </c>
      <c r="I8" s="55" t="s">
        <v>1823</v>
      </c>
    </row>
    <row r="9" spans="1:9" ht="30" customHeight="1">
      <c r="A9" s="53" t="s">
        <v>1825</v>
      </c>
      <c r="B9" s="53" t="s">
        <v>1181</v>
      </c>
      <c r="C9" s="68">
        <v>46574.666666666664</v>
      </c>
      <c r="D9" s="53" t="s">
        <v>1544</v>
      </c>
      <c r="E9" s="53" t="s">
        <v>1816</v>
      </c>
      <c r="F9" s="53" t="s">
        <v>1821</v>
      </c>
      <c r="G9" s="53" t="s">
        <v>1709</v>
      </c>
      <c r="H9" s="53" t="s">
        <v>1822</v>
      </c>
      <c r="I9" s="53" t="s">
        <v>1823</v>
      </c>
    </row>
    <row r="10" spans="1:9" ht="30" customHeight="1">
      <c r="A10" s="55" t="s">
        <v>1826</v>
      </c>
      <c r="B10" s="55" t="s">
        <v>1181</v>
      </c>
      <c r="C10" s="67">
        <v>46574.708333333336</v>
      </c>
      <c r="D10" s="55" t="s">
        <v>955</v>
      </c>
      <c r="E10" s="55" t="s">
        <v>1816</v>
      </c>
      <c r="F10" s="55" t="s">
        <v>1821</v>
      </c>
      <c r="G10" s="55" t="s">
        <v>1712</v>
      </c>
      <c r="H10" s="55" t="s">
        <v>1822</v>
      </c>
      <c r="I10" s="55" t="s">
        <v>1823</v>
      </c>
    </row>
    <row r="11" spans="1:9" ht="30" customHeight="1">
      <c r="A11" s="53" t="s">
        <v>1827</v>
      </c>
      <c r="B11" s="53" t="s">
        <v>1181</v>
      </c>
      <c r="C11" s="68">
        <v>46575.625</v>
      </c>
      <c r="D11" s="53" t="s">
        <v>951</v>
      </c>
      <c r="E11" s="53" t="s">
        <v>1828</v>
      </c>
      <c r="F11" s="53" t="s">
        <v>1829</v>
      </c>
      <c r="G11" s="53" t="s">
        <v>1830</v>
      </c>
      <c r="H11" s="53" t="s">
        <v>1831</v>
      </c>
      <c r="I11" s="53" t="s">
        <v>1832</v>
      </c>
    </row>
    <row r="12" spans="1:9" ht="30" customHeight="1">
      <c r="A12" s="55" t="s">
        <v>1833</v>
      </c>
      <c r="B12" s="55" t="s">
        <v>1181</v>
      </c>
      <c r="C12" s="67">
        <v>46576.666666666664</v>
      </c>
      <c r="D12" s="55" t="s">
        <v>955</v>
      </c>
      <c r="E12" s="55" t="s">
        <v>1834</v>
      </c>
      <c r="F12" s="55" t="s">
        <v>1835</v>
      </c>
      <c r="G12" s="55" t="s">
        <v>1836</v>
      </c>
      <c r="H12" s="55" t="s">
        <v>1837</v>
      </c>
      <c r="I12" s="55" t="s">
        <v>1838</v>
      </c>
    </row>
    <row r="13" spans="1:9" ht="30" customHeight="1">
      <c r="A13" s="53" t="s">
        <v>1839</v>
      </c>
      <c r="B13" s="53" t="s">
        <v>1181</v>
      </c>
      <c r="C13" s="68">
        <v>46576.708333333336</v>
      </c>
      <c r="D13" s="53" t="s">
        <v>955</v>
      </c>
      <c r="E13" s="53" t="s">
        <v>1840</v>
      </c>
      <c r="F13" s="53" t="s">
        <v>1841</v>
      </c>
      <c r="G13" s="53" t="s">
        <v>1600</v>
      </c>
      <c r="H13" s="53" t="s">
        <v>944</v>
      </c>
      <c r="I13" s="53" t="s">
        <v>1842</v>
      </c>
    </row>
    <row r="14" spans="1:9" ht="30" customHeight="1">
      <c r="A14" s="55" t="s">
        <v>1843</v>
      </c>
      <c r="B14" s="55" t="s">
        <v>1181</v>
      </c>
      <c r="C14" s="67">
        <v>46580.416666666664</v>
      </c>
      <c r="D14" s="55" t="s">
        <v>955</v>
      </c>
      <c r="E14" s="55" t="s">
        <v>1840</v>
      </c>
      <c r="F14" s="55" t="s">
        <v>1844</v>
      </c>
      <c r="G14" s="55" t="s">
        <v>1090</v>
      </c>
      <c r="H14" s="55" t="s">
        <v>1228</v>
      </c>
      <c r="I14" s="55" t="s">
        <v>1842</v>
      </c>
    </row>
    <row r="15" spans="1:9" ht="30" customHeight="1">
      <c r="A15" s="53" t="s">
        <v>1845</v>
      </c>
      <c r="B15" s="53" t="s">
        <v>1181</v>
      </c>
      <c r="C15" s="68">
        <v>46580.427083333336</v>
      </c>
      <c r="D15" s="53" t="s">
        <v>979</v>
      </c>
      <c r="E15" s="53" t="s">
        <v>1846</v>
      </c>
      <c r="F15" s="53" t="s">
        <v>1847</v>
      </c>
      <c r="G15" s="53" t="s">
        <v>1776</v>
      </c>
      <c r="H15" s="53" t="s">
        <v>1228</v>
      </c>
      <c r="I15" s="53" t="s">
        <v>1848</v>
      </c>
    </row>
    <row r="16" spans="1:9" ht="30" customHeight="1">
      <c r="A16" s="55" t="s">
        <v>1849</v>
      </c>
      <c r="B16" s="55" t="s">
        <v>1181</v>
      </c>
      <c r="C16" s="67">
        <v>46580.429166666669</v>
      </c>
      <c r="D16" s="55" t="s">
        <v>1532</v>
      </c>
      <c r="E16" s="55" t="s">
        <v>1846</v>
      </c>
      <c r="F16" s="55" t="s">
        <v>1847</v>
      </c>
      <c r="G16" s="55" t="s">
        <v>1779</v>
      </c>
      <c r="H16" s="55" t="s">
        <v>1228</v>
      </c>
      <c r="I16" s="55" t="s">
        <v>1850</v>
      </c>
    </row>
    <row r="17" spans="1:9" ht="30" customHeight="1">
      <c r="A17" s="53" t="s">
        <v>1851</v>
      </c>
      <c r="B17" s="53" t="s">
        <v>1181</v>
      </c>
      <c r="C17" s="68">
        <v>46580.431250000001</v>
      </c>
      <c r="D17" s="53" t="s">
        <v>1527</v>
      </c>
      <c r="E17" s="53" t="s">
        <v>1846</v>
      </c>
      <c r="F17" s="53" t="s">
        <v>1847</v>
      </c>
      <c r="G17" s="53" t="s">
        <v>1782</v>
      </c>
      <c r="H17" s="53" t="s">
        <v>1228</v>
      </c>
      <c r="I17" s="53" t="s">
        <v>1850</v>
      </c>
    </row>
    <row r="18" spans="1:9" ht="30" customHeight="1">
      <c r="A18" s="55" t="s">
        <v>1852</v>
      </c>
      <c r="B18" s="55" t="s">
        <v>1181</v>
      </c>
      <c r="C18" s="67">
        <v>46580.434027777781</v>
      </c>
      <c r="D18" s="55" t="s">
        <v>979</v>
      </c>
      <c r="E18" s="55" t="s">
        <v>1846</v>
      </c>
      <c r="F18" s="55" t="s">
        <v>1847</v>
      </c>
      <c r="G18" s="55" t="s">
        <v>1786</v>
      </c>
      <c r="H18" s="55" t="s">
        <v>1228</v>
      </c>
      <c r="I18" s="55" t="s">
        <v>1853</v>
      </c>
    </row>
    <row r="19" spans="1:9" ht="30" customHeight="1">
      <c r="A19" s="53" t="s">
        <v>1854</v>
      </c>
      <c r="B19" s="53" t="s">
        <v>1181</v>
      </c>
      <c r="C19" s="68">
        <v>46580.440972222219</v>
      </c>
      <c r="D19" s="53" t="s">
        <v>955</v>
      </c>
      <c r="E19" s="53" t="s">
        <v>1846</v>
      </c>
      <c r="F19" s="53" t="s">
        <v>1855</v>
      </c>
      <c r="G19" s="53" t="s">
        <v>1623</v>
      </c>
      <c r="H19" s="53" t="s">
        <v>948</v>
      </c>
      <c r="I19" s="53" t="s">
        <v>1853</v>
      </c>
    </row>
    <row r="20" spans="1:9" ht="30" customHeight="1">
      <c r="A20" s="55" t="s">
        <v>1856</v>
      </c>
      <c r="B20" s="55" t="s">
        <v>1181</v>
      </c>
      <c r="C20" s="67">
        <v>46580.447916666664</v>
      </c>
      <c r="D20" s="55" t="s">
        <v>979</v>
      </c>
      <c r="E20" s="55" t="s">
        <v>1857</v>
      </c>
      <c r="F20" s="55" t="s">
        <v>1858</v>
      </c>
      <c r="G20" s="55" t="s">
        <v>1794</v>
      </c>
      <c r="H20" s="55" t="s">
        <v>1859</v>
      </c>
      <c r="I20" s="55" t="s">
        <v>1860</v>
      </c>
    </row>
    <row r="21" spans="1:9" ht="30" customHeight="1">
      <c r="A21" s="53" t="s">
        <v>1861</v>
      </c>
      <c r="B21" s="53" t="s">
        <v>1181</v>
      </c>
      <c r="C21" s="68">
        <v>46580.625</v>
      </c>
      <c r="D21" s="53" t="s">
        <v>979</v>
      </c>
      <c r="E21" s="53" t="s">
        <v>1857</v>
      </c>
      <c r="F21" s="53" t="s">
        <v>1862</v>
      </c>
      <c r="G21" s="53" t="s">
        <v>1863</v>
      </c>
      <c r="H21" s="53" t="s">
        <v>478</v>
      </c>
      <c r="I21" s="53" t="s">
        <v>1864</v>
      </c>
    </row>
    <row r="22" spans="1:9" ht="43.95" customHeight="1">
      <c r="A22" s="55" t="s">
        <v>1865</v>
      </c>
      <c r="B22" s="55" t="s">
        <v>1181</v>
      </c>
      <c r="C22" s="67">
        <v>46580.635416666664</v>
      </c>
      <c r="D22" s="55" t="s">
        <v>951</v>
      </c>
      <c r="E22" s="55" t="s">
        <v>1866</v>
      </c>
      <c r="F22" s="55" t="s">
        <v>1867</v>
      </c>
      <c r="G22" s="55" t="s">
        <v>1868</v>
      </c>
      <c r="H22" s="55" t="s">
        <v>1869</v>
      </c>
      <c r="I22" s="55" t="s">
        <v>1870</v>
      </c>
    </row>
    <row r="23" spans="1:9" ht="30" customHeight="1">
      <c r="A23" s="53" t="s">
        <v>1871</v>
      </c>
      <c r="B23" s="53" t="s">
        <v>1181</v>
      </c>
      <c r="C23" s="68">
        <v>46581.375</v>
      </c>
      <c r="D23" s="53" t="s">
        <v>1527</v>
      </c>
      <c r="E23" s="53" t="s">
        <v>1866</v>
      </c>
      <c r="F23" s="53" t="s">
        <v>1872</v>
      </c>
      <c r="G23" s="53" t="s">
        <v>1738</v>
      </c>
      <c r="H23" s="53" t="s">
        <v>1157</v>
      </c>
      <c r="I23" s="53" t="s">
        <v>1870</v>
      </c>
    </row>
    <row r="24" spans="1:9" ht="30" customHeight="1">
      <c r="A24" s="55" t="s">
        <v>1873</v>
      </c>
      <c r="B24" s="55" t="s">
        <v>1181</v>
      </c>
      <c r="C24" s="67">
        <v>46581.381944444445</v>
      </c>
      <c r="D24" s="55" t="s">
        <v>1527</v>
      </c>
      <c r="E24" s="55" t="s">
        <v>1866</v>
      </c>
      <c r="F24" s="55" t="s">
        <v>1872</v>
      </c>
      <c r="G24" s="55" t="s">
        <v>1757</v>
      </c>
      <c r="H24" s="55" t="s">
        <v>1157</v>
      </c>
      <c r="I24" s="55" t="s">
        <v>1870</v>
      </c>
    </row>
    <row r="25" spans="1:9" ht="30" customHeight="1">
      <c r="A25" s="53" t="s">
        <v>1874</v>
      </c>
      <c r="B25" s="53" t="s">
        <v>1181</v>
      </c>
      <c r="C25" s="68">
        <v>46581.385416666664</v>
      </c>
      <c r="D25" s="53" t="s">
        <v>1532</v>
      </c>
      <c r="E25" s="53" t="s">
        <v>1866</v>
      </c>
      <c r="F25" s="53" t="s">
        <v>1872</v>
      </c>
      <c r="G25" s="53" t="s">
        <v>1875</v>
      </c>
      <c r="H25" s="53" t="s">
        <v>1157</v>
      </c>
      <c r="I25" s="53" t="s">
        <v>1870</v>
      </c>
    </row>
    <row r="26" spans="1:9" ht="30" customHeight="1">
      <c r="A26" s="55" t="s">
        <v>1876</v>
      </c>
      <c r="B26" s="55" t="s">
        <v>1181</v>
      </c>
      <c r="C26" s="67">
        <v>46581.388888888891</v>
      </c>
      <c r="D26" s="55" t="s">
        <v>1532</v>
      </c>
      <c r="E26" s="55" t="s">
        <v>1866</v>
      </c>
      <c r="F26" s="55" t="s">
        <v>1872</v>
      </c>
      <c r="G26" s="55" t="s">
        <v>1741</v>
      </c>
      <c r="H26" s="55" t="s">
        <v>1157</v>
      </c>
      <c r="I26" s="55" t="s">
        <v>1870</v>
      </c>
    </row>
    <row r="27" spans="1:9" ht="30" customHeight="1">
      <c r="A27" s="53" t="s">
        <v>1877</v>
      </c>
      <c r="B27" s="53" t="s">
        <v>1181</v>
      </c>
      <c r="C27" s="68">
        <v>46581.395833333336</v>
      </c>
      <c r="D27" s="53" t="s">
        <v>955</v>
      </c>
      <c r="E27" s="53" t="s">
        <v>1866</v>
      </c>
      <c r="F27" s="53" t="s">
        <v>1872</v>
      </c>
      <c r="G27" s="53" t="s">
        <v>1878</v>
      </c>
      <c r="H27" s="53" t="s">
        <v>1157</v>
      </c>
      <c r="I27" s="53" t="s">
        <v>1870</v>
      </c>
    </row>
    <row r="28" spans="1:9" ht="30" customHeight="1">
      <c r="A28" s="55" t="s">
        <v>1879</v>
      </c>
      <c r="B28" s="55" t="s">
        <v>1181</v>
      </c>
      <c r="C28" s="67">
        <v>46581.416666666664</v>
      </c>
      <c r="D28" s="55" t="s">
        <v>951</v>
      </c>
      <c r="E28" s="55" t="s">
        <v>1880</v>
      </c>
      <c r="F28" s="55" t="s">
        <v>1881</v>
      </c>
      <c r="G28" s="55" t="s">
        <v>42</v>
      </c>
      <c r="H28" s="55" t="s">
        <v>1882</v>
      </c>
      <c r="I28" s="55" t="s">
        <v>1883</v>
      </c>
    </row>
  </sheetData>
  <phoneticPr fontId="30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15D77"/>
  </sheetPr>
  <dimension ref="A1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30" customWidth="1"/>
    <col min="2" max="2" width="55" customWidth="1"/>
    <col min="3" max="3" width="62" customWidth="1"/>
    <col min="4" max="4" width="95" customWidth="1"/>
  </cols>
  <sheetData>
    <row r="1" spans="1:4" ht="30" customHeight="1">
      <c r="A1" s="51" t="s">
        <v>1884</v>
      </c>
      <c r="B1" s="50"/>
      <c r="C1" s="50"/>
      <c r="D1" s="50"/>
    </row>
    <row r="2" spans="1:4">
      <c r="A2" s="50"/>
      <c r="B2" s="50"/>
      <c r="C2" s="50"/>
      <c r="D2" s="50"/>
    </row>
    <row r="3" spans="1:4">
      <c r="A3" s="52" t="s">
        <v>1885</v>
      </c>
      <c r="B3" s="50"/>
      <c r="C3" s="50"/>
      <c r="D3" s="50"/>
    </row>
    <row r="4" spans="1:4">
      <c r="A4" s="50"/>
      <c r="B4" s="50"/>
      <c r="C4" s="50"/>
      <c r="D4" s="50"/>
    </row>
    <row r="5" spans="1:4" ht="36" customHeight="1">
      <c r="A5" s="54" t="s">
        <v>574</v>
      </c>
      <c r="B5" s="54" t="s">
        <v>56</v>
      </c>
      <c r="C5" s="54" t="s">
        <v>1698</v>
      </c>
      <c r="D5" s="54" t="s">
        <v>1886</v>
      </c>
    </row>
    <row r="6" spans="1:4" ht="30" customHeight="1">
      <c r="A6" s="55" t="s">
        <v>1259</v>
      </c>
      <c r="B6" s="55" t="s">
        <v>42</v>
      </c>
      <c r="C6" s="55" t="s">
        <v>1879</v>
      </c>
      <c r="D6" s="55" t="s">
        <v>1887</v>
      </c>
    </row>
    <row r="7" spans="1:4" ht="30" customHeight="1">
      <c r="A7" s="53" t="s">
        <v>576</v>
      </c>
      <c r="B7" s="53" t="s">
        <v>577</v>
      </c>
      <c r="C7" s="53" t="s">
        <v>1094</v>
      </c>
      <c r="D7" s="53" t="s">
        <v>1261</v>
      </c>
    </row>
    <row r="8" spans="1:4" ht="30" customHeight="1">
      <c r="A8" s="55" t="s">
        <v>1888</v>
      </c>
      <c r="B8" s="55" t="s">
        <v>1739</v>
      </c>
      <c r="C8" s="55" t="s">
        <v>1889</v>
      </c>
      <c r="D8" s="55" t="s">
        <v>1890</v>
      </c>
    </row>
    <row r="9" spans="1:4" ht="30" customHeight="1">
      <c r="A9" s="53" t="s">
        <v>1891</v>
      </c>
      <c r="B9" s="53" t="s">
        <v>1623</v>
      </c>
      <c r="C9" s="53" t="s">
        <v>1892</v>
      </c>
      <c r="D9" s="53" t="s">
        <v>1893</v>
      </c>
    </row>
    <row r="10" spans="1:4" ht="30" customHeight="1">
      <c r="A10" s="55" t="s">
        <v>1894</v>
      </c>
      <c r="B10" s="55" t="s">
        <v>1800</v>
      </c>
      <c r="C10" s="55" t="s">
        <v>1806</v>
      </c>
      <c r="D10" s="55" t="s">
        <v>1895</v>
      </c>
    </row>
    <row r="11" spans="1:4" ht="30" customHeight="1">
      <c r="A11" s="53" t="s">
        <v>1896</v>
      </c>
      <c r="B11" s="53" t="s">
        <v>38</v>
      </c>
      <c r="C11" s="53" t="s">
        <v>1897</v>
      </c>
      <c r="D11" s="53" t="s">
        <v>1898</v>
      </c>
    </row>
    <row r="12" spans="1:4" ht="30" customHeight="1">
      <c r="A12" s="55" t="s">
        <v>1899</v>
      </c>
      <c r="B12" s="55" t="s">
        <v>1757</v>
      </c>
      <c r="C12" s="55" t="s">
        <v>1527</v>
      </c>
      <c r="D12" s="55" t="s">
        <v>1900</v>
      </c>
    </row>
    <row r="13" spans="1:4" ht="30" customHeight="1">
      <c r="A13" s="53" t="s">
        <v>1901</v>
      </c>
      <c r="B13" s="53" t="s">
        <v>1762</v>
      </c>
      <c r="C13" s="53" t="s">
        <v>955</v>
      </c>
      <c r="D13" s="53" t="s">
        <v>1902</v>
      </c>
    </row>
    <row r="14" spans="1:4" ht="30" customHeight="1">
      <c r="A14" s="55" t="s">
        <v>1903</v>
      </c>
      <c r="B14" s="55" t="s">
        <v>1904</v>
      </c>
      <c r="C14" s="55" t="s">
        <v>1905</v>
      </c>
      <c r="D14" s="55" t="s">
        <v>1906</v>
      </c>
    </row>
    <row r="15" spans="1:4" ht="30" customHeight="1">
      <c r="A15" s="53" t="s">
        <v>615</v>
      </c>
      <c r="B15" s="53" t="s">
        <v>1882</v>
      </c>
      <c r="C15" s="53" t="s">
        <v>1879</v>
      </c>
      <c r="D15" s="53" t="s">
        <v>1907</v>
      </c>
    </row>
    <row r="16" spans="1:4" ht="30" customHeight="1">
      <c r="A16" s="55" t="s">
        <v>610</v>
      </c>
      <c r="B16" s="55" t="s">
        <v>39</v>
      </c>
      <c r="C16" s="55" t="s">
        <v>1908</v>
      </c>
      <c r="D16" s="55" t="s">
        <v>1909</v>
      </c>
    </row>
    <row r="17" spans="1:4" ht="30" customHeight="1">
      <c r="A17" s="53" t="s">
        <v>612</v>
      </c>
      <c r="B17" s="53" t="s">
        <v>613</v>
      </c>
      <c r="C17" s="53" t="s">
        <v>1910</v>
      </c>
      <c r="D17" s="53" t="s">
        <v>1911</v>
      </c>
    </row>
    <row r="18" spans="1:4" ht="30" customHeight="1">
      <c r="A18" s="55" t="s">
        <v>1285</v>
      </c>
      <c r="B18" s="55" t="s">
        <v>1286</v>
      </c>
      <c r="C18" s="55" t="s">
        <v>1287</v>
      </c>
      <c r="D18" s="55" t="s">
        <v>1288</v>
      </c>
    </row>
    <row r="19" spans="1:4" ht="30" customHeight="1">
      <c r="A19" s="53" t="s">
        <v>1293</v>
      </c>
      <c r="B19" s="53" t="s">
        <v>1912</v>
      </c>
      <c r="C19" s="53" t="s">
        <v>1879</v>
      </c>
      <c r="D19" s="53" t="s">
        <v>1913</v>
      </c>
    </row>
  </sheetData>
  <phoneticPr fontId="30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15D77"/>
  </sheetPr>
  <dimension ref="A1:F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0" customWidth="1"/>
    <col min="2" max="2" width="27" customWidth="1"/>
    <col min="3" max="3" width="92" customWidth="1"/>
    <col min="4" max="4" width="103" customWidth="1"/>
    <col min="5" max="5" width="24" customWidth="1"/>
    <col min="6" max="6" width="72" customWidth="1"/>
  </cols>
  <sheetData>
    <row r="1" spans="1:6" ht="30" customHeight="1">
      <c r="A1" s="51" t="s">
        <v>1914</v>
      </c>
      <c r="B1" s="50"/>
      <c r="C1" s="50"/>
      <c r="D1" s="50"/>
      <c r="E1" s="50"/>
      <c r="F1" s="50"/>
    </row>
    <row r="2" spans="1:6">
      <c r="A2" s="50"/>
      <c r="B2" s="50"/>
      <c r="C2" s="50"/>
      <c r="D2" s="50"/>
      <c r="E2" s="50"/>
      <c r="F2" s="50"/>
    </row>
    <row r="3" spans="1:6">
      <c r="A3" s="52" t="s">
        <v>1915</v>
      </c>
      <c r="B3" s="50"/>
      <c r="C3" s="50"/>
      <c r="D3" s="50"/>
      <c r="E3" s="50"/>
      <c r="F3" s="50"/>
    </row>
    <row r="4" spans="1:6">
      <c r="A4" s="50"/>
      <c r="B4" s="50"/>
      <c r="C4" s="50"/>
      <c r="D4" s="50"/>
      <c r="E4" s="50"/>
      <c r="F4" s="50"/>
    </row>
    <row r="5" spans="1:6" ht="36" customHeight="1">
      <c r="A5" s="54" t="s">
        <v>626</v>
      </c>
      <c r="B5" s="54" t="s">
        <v>1916</v>
      </c>
      <c r="C5" s="54" t="s">
        <v>628</v>
      </c>
      <c r="D5" s="54" t="s">
        <v>1917</v>
      </c>
      <c r="E5" s="54" t="s">
        <v>1918</v>
      </c>
      <c r="F5" s="54" t="s">
        <v>1919</v>
      </c>
    </row>
    <row r="6" spans="1:6" ht="30" customHeight="1">
      <c r="A6" s="55" t="s">
        <v>1920</v>
      </c>
      <c r="B6" s="55" t="s">
        <v>1921</v>
      </c>
      <c r="C6" s="55" t="s">
        <v>1922</v>
      </c>
      <c r="D6" s="55" t="s">
        <v>1923</v>
      </c>
      <c r="E6" s="55"/>
      <c r="F6" s="55" t="s">
        <v>1924</v>
      </c>
    </row>
    <row r="7" spans="1:6" ht="30" customHeight="1">
      <c r="A7" s="53" t="s">
        <v>1925</v>
      </c>
      <c r="B7" s="53" t="s">
        <v>1921</v>
      </c>
      <c r="C7" s="53" t="s">
        <v>1926</v>
      </c>
      <c r="D7" s="53" t="s">
        <v>1927</v>
      </c>
      <c r="E7" s="53">
        <v>1800000</v>
      </c>
      <c r="F7" s="53" t="s">
        <v>1928</v>
      </c>
    </row>
    <row r="8" spans="1:6" ht="30" customHeight="1">
      <c r="A8" s="55" t="s">
        <v>1929</v>
      </c>
      <c r="B8" s="55" t="s">
        <v>1846</v>
      </c>
      <c r="C8" s="55" t="s">
        <v>1930</v>
      </c>
      <c r="D8" s="55" t="s">
        <v>1931</v>
      </c>
      <c r="E8" s="55">
        <f>SUM(SC04비교!D6:D7)</f>
        <v>121600000</v>
      </c>
      <c r="F8" s="55" t="s">
        <v>1932</v>
      </c>
    </row>
    <row r="9" spans="1:6" ht="30" customHeight="1">
      <c r="A9" s="53" t="s">
        <v>1933</v>
      </c>
      <c r="B9" s="53" t="s">
        <v>1857</v>
      </c>
      <c r="C9" s="53" t="s">
        <v>1934</v>
      </c>
      <c r="D9" s="53" t="s">
        <v>1935</v>
      </c>
      <c r="E9" s="53"/>
      <c r="F9" s="53" t="s">
        <v>1936</v>
      </c>
    </row>
    <row r="10" spans="1:6" ht="30" customHeight="1">
      <c r="A10" s="55" t="s">
        <v>1937</v>
      </c>
      <c r="B10" s="55" t="s">
        <v>1938</v>
      </c>
      <c r="C10" s="55" t="s">
        <v>1939</v>
      </c>
      <c r="D10" s="55" t="s">
        <v>1940</v>
      </c>
      <c r="E10" s="55">
        <v>2</v>
      </c>
      <c r="F10" s="55" t="s">
        <v>1941</v>
      </c>
    </row>
    <row r="11" spans="1:6" ht="30" customHeight="1">
      <c r="A11" s="53" t="s">
        <v>1942</v>
      </c>
      <c r="B11" s="53" t="s">
        <v>1879</v>
      </c>
      <c r="C11" s="53" t="s">
        <v>1943</v>
      </c>
      <c r="D11" s="53" t="s">
        <v>1944</v>
      </c>
      <c r="E11" s="53"/>
      <c r="F11" s="53" t="s">
        <v>1945</v>
      </c>
    </row>
    <row r="12" spans="1:6" ht="30" customHeight="1">
      <c r="A12" s="55" t="s">
        <v>1946</v>
      </c>
      <c r="B12" s="55" t="s">
        <v>1947</v>
      </c>
      <c r="C12" s="55" t="s">
        <v>1948</v>
      </c>
      <c r="D12" s="55" t="s">
        <v>1949</v>
      </c>
      <c r="E12" s="55">
        <v>18000000</v>
      </c>
      <c r="F12" s="55" t="s">
        <v>1950</v>
      </c>
    </row>
    <row r="13" spans="1:6" ht="30" customHeight="1">
      <c r="A13" s="53" t="s">
        <v>1951</v>
      </c>
      <c r="B13" s="53" t="s">
        <v>1947</v>
      </c>
      <c r="C13" s="53" t="s">
        <v>1952</v>
      </c>
      <c r="D13" s="53" t="s">
        <v>1953</v>
      </c>
      <c r="E13" s="53">
        <v>19000000</v>
      </c>
      <c r="F13" s="53" t="s">
        <v>1954</v>
      </c>
    </row>
    <row r="14" spans="1:6" ht="30" customHeight="1">
      <c r="A14" s="55" t="s">
        <v>1955</v>
      </c>
      <c r="B14" s="55" t="s">
        <v>1956</v>
      </c>
      <c r="C14" s="55" t="s">
        <v>1957</v>
      </c>
      <c r="D14" s="55" t="s">
        <v>1958</v>
      </c>
      <c r="E14" s="55"/>
      <c r="F14" s="55" t="s">
        <v>1959</v>
      </c>
    </row>
  </sheetData>
  <phoneticPr fontId="30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15D77"/>
  </sheetPr>
  <dimension ref="A1:D1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25" customWidth="1"/>
    <col min="2" max="2" width="72" customWidth="1"/>
    <col min="3" max="3" width="135" customWidth="1"/>
    <col min="4" max="4" width="40" customWidth="1"/>
  </cols>
  <sheetData>
    <row r="1" spans="1:4" ht="30" customHeight="1">
      <c r="A1" s="51" t="s">
        <v>1960</v>
      </c>
      <c r="B1" s="50"/>
      <c r="C1" s="50"/>
      <c r="D1" s="50"/>
    </row>
    <row r="2" spans="1:4">
      <c r="A2" s="50"/>
      <c r="B2" s="50"/>
      <c r="C2" s="50"/>
      <c r="D2" s="50"/>
    </row>
    <row r="3" spans="1:4">
      <c r="A3" s="52" t="s">
        <v>1961</v>
      </c>
      <c r="B3" s="50"/>
      <c r="C3" s="50"/>
      <c r="D3" s="50"/>
    </row>
    <row r="4" spans="1:4">
      <c r="A4" s="50"/>
      <c r="B4" s="50"/>
      <c r="C4" s="50"/>
      <c r="D4" s="50"/>
    </row>
    <row r="5" spans="1:4" ht="36" customHeight="1">
      <c r="A5" s="54" t="s">
        <v>2</v>
      </c>
      <c r="B5" s="54" t="s">
        <v>1962</v>
      </c>
      <c r="C5" s="54" t="s">
        <v>1963</v>
      </c>
      <c r="D5" s="54" t="s">
        <v>1964</v>
      </c>
    </row>
    <row r="6" spans="1:4" ht="43.95" customHeight="1">
      <c r="A6" s="55" t="s">
        <v>1773</v>
      </c>
      <c r="B6" s="55" t="s">
        <v>1965</v>
      </c>
      <c r="C6" s="55" t="s">
        <v>1966</v>
      </c>
      <c r="D6" s="55" t="s">
        <v>1967</v>
      </c>
    </row>
    <row r="7" spans="1:4" ht="43.95" customHeight="1">
      <c r="A7" s="53" t="s">
        <v>1968</v>
      </c>
      <c r="B7" s="53" t="s">
        <v>1969</v>
      </c>
      <c r="C7" s="53" t="s">
        <v>1970</v>
      </c>
      <c r="D7" s="53" t="s">
        <v>1971</v>
      </c>
    </row>
    <row r="8" spans="1:4" ht="43.95" customHeight="1">
      <c r="A8" s="55" t="s">
        <v>1972</v>
      </c>
      <c r="B8" s="55" t="s">
        <v>1973</v>
      </c>
      <c r="C8" s="55" t="s">
        <v>1974</v>
      </c>
      <c r="D8" s="55" t="s">
        <v>1975</v>
      </c>
    </row>
    <row r="9" spans="1:4" ht="30" customHeight="1">
      <c r="A9" s="53" t="s">
        <v>1976</v>
      </c>
      <c r="B9" s="53" t="s">
        <v>1977</v>
      </c>
      <c r="C9" s="53" t="s">
        <v>1978</v>
      </c>
      <c r="D9" s="53" t="s">
        <v>1979</v>
      </c>
    </row>
    <row r="10" spans="1:4" ht="30" customHeight="1">
      <c r="A10" s="55" t="s">
        <v>1980</v>
      </c>
      <c r="B10" s="55" t="s">
        <v>1981</v>
      </c>
      <c r="C10" s="55" t="s">
        <v>1982</v>
      </c>
      <c r="D10" s="55" t="s">
        <v>1983</v>
      </c>
    </row>
    <row r="11" spans="1:4" ht="43.95" customHeight="1">
      <c r="A11" s="53" t="s">
        <v>1984</v>
      </c>
      <c r="B11" s="53" t="s">
        <v>1985</v>
      </c>
      <c r="C11" s="53" t="s">
        <v>1986</v>
      </c>
      <c r="D11" s="53" t="s">
        <v>1987</v>
      </c>
    </row>
    <row r="12" spans="1:4" ht="43.95" customHeight="1">
      <c r="A12" s="55" t="s">
        <v>1988</v>
      </c>
      <c r="B12" s="55" t="s">
        <v>1989</v>
      </c>
      <c r="C12" s="55" t="s">
        <v>1990</v>
      </c>
      <c r="D12" s="55" t="s">
        <v>1991</v>
      </c>
    </row>
    <row r="13" spans="1:4" ht="43.95" customHeight="1">
      <c r="A13" s="53" t="s">
        <v>1992</v>
      </c>
      <c r="B13" s="53" t="s">
        <v>1993</v>
      </c>
      <c r="C13" s="53" t="s">
        <v>1994</v>
      </c>
      <c r="D13" s="53" t="s">
        <v>1995</v>
      </c>
    </row>
    <row r="14" spans="1:4" ht="43.95" customHeight="1">
      <c r="A14" s="55" t="s">
        <v>1996</v>
      </c>
      <c r="B14" s="55" t="s">
        <v>1997</v>
      </c>
      <c r="C14" s="55" t="s">
        <v>1998</v>
      </c>
      <c r="D14" s="55" t="s">
        <v>1999</v>
      </c>
    </row>
    <row r="15" spans="1:4" ht="43.95" customHeight="1">
      <c r="A15" s="53" t="s">
        <v>2000</v>
      </c>
      <c r="B15" s="53" t="s">
        <v>2001</v>
      </c>
      <c r="C15" s="53" t="s">
        <v>2002</v>
      </c>
      <c r="D15" s="53" t="s">
        <v>1803</v>
      </c>
    </row>
    <row r="16" spans="1:4" ht="43.95" customHeight="1">
      <c r="A16" s="55" t="s">
        <v>2003</v>
      </c>
      <c r="B16" s="55" t="s">
        <v>2004</v>
      </c>
      <c r="C16" s="55" t="s">
        <v>2005</v>
      </c>
      <c r="D16" s="55" t="s">
        <v>42</v>
      </c>
    </row>
    <row r="17" spans="1:4" ht="43.95" customHeight="1">
      <c r="A17" s="53" t="s">
        <v>2006</v>
      </c>
      <c r="B17" s="53" t="s">
        <v>2007</v>
      </c>
      <c r="C17" s="53" t="s">
        <v>2008</v>
      </c>
      <c r="D17" s="53" t="s">
        <v>2009</v>
      </c>
    </row>
    <row r="18" spans="1:4" ht="30" customHeight="1">
      <c r="A18" s="55" t="s">
        <v>2010</v>
      </c>
      <c r="B18" s="55" t="s">
        <v>2011</v>
      </c>
      <c r="C18" s="55" t="s">
        <v>2012</v>
      </c>
      <c r="D18" s="55" t="s">
        <v>2013</v>
      </c>
    </row>
    <row r="19" spans="1:4" ht="30" customHeight="1">
      <c r="A19" s="53" t="s">
        <v>2014</v>
      </c>
      <c r="B19" s="53" t="s">
        <v>2015</v>
      </c>
      <c r="C19" s="53" t="s">
        <v>2016</v>
      </c>
      <c r="D19" s="53" t="s">
        <v>1416</v>
      </c>
    </row>
  </sheetData>
  <phoneticPr fontId="30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15D77"/>
  </sheetPr>
  <dimension ref="A1:F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8"/>
  <cols>
    <col min="1" max="1" width="18" customWidth="1"/>
    <col min="2" max="2" width="38" customWidth="1"/>
    <col min="3" max="4" width="25" customWidth="1"/>
    <col min="5" max="5" width="23" customWidth="1"/>
    <col min="6" max="6" width="20" customWidth="1"/>
  </cols>
  <sheetData>
    <row r="1" spans="1:6" ht="30" customHeight="1">
      <c r="A1" s="51" t="s">
        <v>2017</v>
      </c>
      <c r="B1" s="50"/>
      <c r="C1" s="50"/>
      <c r="D1" s="50"/>
      <c r="E1" s="50"/>
      <c r="F1" s="50"/>
    </row>
    <row r="2" spans="1:6">
      <c r="A2" s="50"/>
      <c r="B2" s="50"/>
      <c r="C2" s="50"/>
      <c r="D2" s="50"/>
      <c r="E2" s="50"/>
      <c r="F2" s="50"/>
    </row>
    <row r="3" spans="1:6">
      <c r="A3" s="52" t="s">
        <v>2018</v>
      </c>
      <c r="B3" s="50"/>
      <c r="C3" s="50"/>
      <c r="D3" s="50"/>
      <c r="E3" s="50"/>
      <c r="F3" s="50"/>
    </row>
    <row r="4" spans="1:6">
      <c r="A4" s="50"/>
      <c r="B4" s="50"/>
      <c r="C4" s="50"/>
      <c r="D4" s="50"/>
      <c r="E4" s="50"/>
      <c r="F4" s="50"/>
    </row>
    <row r="5" spans="1:6" ht="36" customHeight="1">
      <c r="A5" s="54" t="s">
        <v>2019</v>
      </c>
      <c r="B5" s="54" t="s">
        <v>2</v>
      </c>
      <c r="C5" s="54" t="s">
        <v>833</v>
      </c>
      <c r="D5" s="54" t="s">
        <v>834</v>
      </c>
      <c r="E5" s="54" t="s">
        <v>835</v>
      </c>
      <c r="F5" s="54" t="s">
        <v>836</v>
      </c>
    </row>
    <row r="6" spans="1:6" ht="30" customHeight="1">
      <c r="A6" s="55" t="s">
        <v>2020</v>
      </c>
      <c r="B6" s="55" t="s">
        <v>2021</v>
      </c>
      <c r="C6" s="57">
        <v>3299986680</v>
      </c>
      <c r="D6" s="61">
        <f>통합손익!K21</f>
        <v>3299986680</v>
      </c>
      <c r="E6" s="59">
        <f t="shared" ref="E6:E20" si="0">D6-C6</f>
        <v>0</v>
      </c>
      <c r="F6" s="59" t="str">
        <f t="shared" ref="F6:F20" si="1">IF(E6=0,"PASS","CHECK")</f>
        <v>PASS</v>
      </c>
    </row>
    <row r="7" spans="1:6" ht="30" customHeight="1">
      <c r="A7" s="53" t="s">
        <v>2022</v>
      </c>
      <c r="B7" s="53" t="s">
        <v>2023</v>
      </c>
      <c r="C7" s="58">
        <v>153939000</v>
      </c>
      <c r="D7" s="62">
        <f>SC04분석결과!E18</f>
        <v>153939000</v>
      </c>
      <c r="E7" s="60">
        <f t="shared" si="0"/>
        <v>0</v>
      </c>
      <c r="F7" s="60" t="str">
        <f t="shared" si="1"/>
        <v>PASS</v>
      </c>
    </row>
    <row r="8" spans="1:6" ht="30" customHeight="1">
      <c r="A8" s="55" t="s">
        <v>2024</v>
      </c>
      <c r="B8" s="55" t="s">
        <v>1517</v>
      </c>
      <c r="C8" s="57">
        <v>137200000</v>
      </c>
      <c r="D8" s="61">
        <f>SC04비교!C9</f>
        <v>137200000</v>
      </c>
      <c r="E8" s="59">
        <f t="shared" si="0"/>
        <v>0</v>
      </c>
      <c r="F8" s="59" t="str">
        <f t="shared" si="1"/>
        <v>PASS</v>
      </c>
    </row>
    <row r="9" spans="1:6" ht="30" customHeight="1">
      <c r="A9" s="53" t="s">
        <v>2025</v>
      </c>
      <c r="B9" s="53" t="s">
        <v>1518</v>
      </c>
      <c r="C9" s="58">
        <v>127800000</v>
      </c>
      <c r="D9" s="62">
        <f>SC04비교!D9</f>
        <v>127800000</v>
      </c>
      <c r="E9" s="60">
        <f t="shared" si="0"/>
        <v>0</v>
      </c>
      <c r="F9" s="60" t="str">
        <f t="shared" si="1"/>
        <v>PASS</v>
      </c>
    </row>
    <row r="10" spans="1:6" ht="30" customHeight="1">
      <c r="A10" s="55" t="s">
        <v>2026</v>
      </c>
      <c r="B10" s="55" t="s">
        <v>2027</v>
      </c>
      <c r="C10" s="57">
        <v>-9400000</v>
      </c>
      <c r="D10" s="61">
        <f>SC04비교!E9</f>
        <v>-9400000</v>
      </c>
      <c r="E10" s="59">
        <f t="shared" si="0"/>
        <v>0</v>
      </c>
      <c r="F10" s="59" t="str">
        <f t="shared" si="1"/>
        <v>PASS</v>
      </c>
    </row>
    <row r="11" spans="1:6" ht="30" customHeight="1">
      <c r="A11" s="53" t="s">
        <v>2028</v>
      </c>
      <c r="B11" s="53" t="s">
        <v>1554</v>
      </c>
      <c r="C11" s="58">
        <v>49503320</v>
      </c>
      <c r="D11" s="62">
        <f>SC04월손익!H18</f>
        <v>49503320</v>
      </c>
      <c r="E11" s="60">
        <f t="shared" si="0"/>
        <v>0</v>
      </c>
      <c r="F11" s="60" t="str">
        <f t="shared" si="1"/>
        <v>PASS</v>
      </c>
    </row>
    <row r="12" spans="1:6" ht="30" customHeight="1">
      <c r="A12" s="55" t="s">
        <v>2029</v>
      </c>
      <c r="B12" s="55" t="s">
        <v>1556</v>
      </c>
      <c r="C12" s="57">
        <v>85103320</v>
      </c>
      <c r="D12" s="61">
        <f>SC04월손익!J18</f>
        <v>85103320</v>
      </c>
      <c r="E12" s="59">
        <f t="shared" si="0"/>
        <v>0</v>
      </c>
      <c r="F12" s="59" t="str">
        <f t="shared" si="1"/>
        <v>PASS</v>
      </c>
    </row>
    <row r="13" spans="1:6" ht="30" customHeight="1">
      <c r="A13" s="53" t="s">
        <v>2030</v>
      </c>
      <c r="B13" s="53" t="s">
        <v>2031</v>
      </c>
      <c r="C13" s="58">
        <v>357600000</v>
      </c>
      <c r="D13" s="62">
        <f>SC04비교!F9</f>
        <v>357600000</v>
      </c>
      <c r="E13" s="60">
        <f t="shared" si="0"/>
        <v>0</v>
      </c>
      <c r="F13" s="60" t="str">
        <f t="shared" si="1"/>
        <v>PASS</v>
      </c>
    </row>
    <row r="14" spans="1:6" ht="30" customHeight="1">
      <c r="A14" s="55" t="s">
        <v>2032</v>
      </c>
      <c r="B14" s="55" t="s">
        <v>2033</v>
      </c>
      <c r="C14" s="57">
        <v>0</v>
      </c>
      <c r="D14" s="61">
        <f>SUM(SC04예산과제!E6:E8)-SC04예산과제!E9</f>
        <v>0</v>
      </c>
      <c r="E14" s="59">
        <f t="shared" si="0"/>
        <v>0</v>
      </c>
      <c r="F14" s="59" t="str">
        <f t="shared" si="1"/>
        <v>PASS</v>
      </c>
    </row>
    <row r="15" spans="1:6" ht="30" customHeight="1">
      <c r="A15" s="53" t="s">
        <v>2034</v>
      </c>
      <c r="B15" s="53" t="s">
        <v>2035</v>
      </c>
      <c r="C15" s="58">
        <v>11000000</v>
      </c>
      <c r="D15" s="62">
        <f>SC04예산과제!I9</f>
        <v>11000000</v>
      </c>
      <c r="E15" s="60">
        <f t="shared" si="0"/>
        <v>0</v>
      </c>
      <c r="F15" s="60" t="str">
        <f t="shared" si="1"/>
        <v>PASS</v>
      </c>
    </row>
    <row r="16" spans="1:6" ht="30" customHeight="1">
      <c r="A16" s="55" t="s">
        <v>2036</v>
      </c>
      <c r="B16" s="55" t="s">
        <v>2037</v>
      </c>
      <c r="C16" s="57">
        <v>1800000</v>
      </c>
      <c r="D16" s="61">
        <f>SUMIFS(SC04월효과!N6:N41,SC04월효과!B6:B41,"DEC41-v2")</f>
        <v>1800000</v>
      </c>
      <c r="E16" s="59">
        <f t="shared" si="0"/>
        <v>0</v>
      </c>
      <c r="F16" s="59" t="str">
        <f t="shared" si="1"/>
        <v>PASS</v>
      </c>
    </row>
    <row r="17" spans="1:6" ht="30" customHeight="1">
      <c r="A17" s="53" t="s">
        <v>2038</v>
      </c>
      <c r="B17" s="53" t="s">
        <v>1596</v>
      </c>
      <c r="C17" s="58">
        <v>0</v>
      </c>
      <c r="D17" s="62">
        <f>SUM(SC04월효과!P6:P41)</f>
        <v>0</v>
      </c>
      <c r="E17" s="60">
        <f t="shared" si="0"/>
        <v>0</v>
      </c>
      <c r="F17" s="60" t="str">
        <f t="shared" si="1"/>
        <v>PASS</v>
      </c>
    </row>
    <row r="18" spans="1:6" ht="30" customHeight="1">
      <c r="A18" s="55" t="s">
        <v>2039</v>
      </c>
      <c r="B18" s="55" t="s">
        <v>2040</v>
      </c>
      <c r="C18" s="57">
        <v>3</v>
      </c>
      <c r="D18" s="61">
        <f>COUNTIFS(SC04예산과제!M6:M8,"ACCEPTED")</f>
        <v>3</v>
      </c>
      <c r="E18" s="59">
        <f t="shared" si="0"/>
        <v>0</v>
      </c>
      <c r="F18" s="59" t="str">
        <f t="shared" si="1"/>
        <v>PASS</v>
      </c>
    </row>
    <row r="19" spans="1:6" ht="30" customHeight="1">
      <c r="A19" s="53" t="s">
        <v>2041</v>
      </c>
      <c r="B19" s="53" t="s">
        <v>2042</v>
      </c>
      <c r="C19" s="58">
        <v>0</v>
      </c>
      <c r="D19" s="62">
        <f>SUM(통합모델손익!E6:E10)-1898967800</f>
        <v>0</v>
      </c>
      <c r="E19" s="60">
        <f t="shared" si="0"/>
        <v>0</v>
      </c>
      <c r="F19" s="60" t="str">
        <f t="shared" si="1"/>
        <v>PASS</v>
      </c>
    </row>
    <row r="20" spans="1:6" ht="30" customHeight="1">
      <c r="A20" s="55" t="s">
        <v>2043</v>
      </c>
      <c r="B20" s="55" t="s">
        <v>786</v>
      </c>
      <c r="C20" s="57">
        <v>0</v>
      </c>
      <c r="D20" s="61">
        <f>SC04월손익!G18-통합손익!K21-SC04비교!D9</f>
        <v>0</v>
      </c>
      <c r="E20" s="59">
        <f t="shared" si="0"/>
        <v>0</v>
      </c>
      <c r="F20" s="59" t="str">
        <f t="shared" si="1"/>
        <v>PASS</v>
      </c>
    </row>
  </sheetData>
  <phoneticPr fontId="30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173E58"/>
  </sheetPr>
  <dimension ref="A1:D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33" customWidth="1"/>
    <col min="2" max="2" width="27" customWidth="1"/>
    <col min="3" max="3" width="25" customWidth="1"/>
    <col min="4" max="4" width="95" customWidth="1"/>
  </cols>
  <sheetData>
    <row r="1" spans="1:4" ht="28.95" customHeight="1">
      <c r="A1" s="80" t="s">
        <v>2044</v>
      </c>
      <c r="B1" s="79"/>
      <c r="C1" s="79"/>
      <c r="D1" s="79"/>
    </row>
    <row r="2" spans="1:4">
      <c r="A2" s="79"/>
      <c r="B2" s="79"/>
      <c r="C2" s="79"/>
      <c r="D2" s="79"/>
    </row>
    <row r="3" spans="1:4" ht="25.95" customHeight="1">
      <c r="A3" s="79" t="s">
        <v>2045</v>
      </c>
      <c r="B3" s="79"/>
      <c r="C3" s="79"/>
      <c r="D3" s="79"/>
    </row>
    <row r="4" spans="1:4">
      <c r="A4" s="79"/>
      <c r="B4" s="79"/>
      <c r="C4" s="79"/>
      <c r="D4" s="79"/>
    </row>
    <row r="5" spans="1:4" ht="36" customHeight="1">
      <c r="A5" s="81" t="s">
        <v>2</v>
      </c>
      <c r="B5" s="81" t="s">
        <v>3</v>
      </c>
      <c r="C5" s="81" t="s">
        <v>4</v>
      </c>
      <c r="D5" s="81" t="s">
        <v>924</v>
      </c>
    </row>
    <row r="6" spans="1:4" ht="31.95" customHeight="1">
      <c r="A6" s="82" t="s">
        <v>6</v>
      </c>
      <c r="B6" s="82" t="s">
        <v>2046</v>
      </c>
      <c r="C6" s="82" t="s">
        <v>2047</v>
      </c>
      <c r="D6" s="82" t="s">
        <v>2048</v>
      </c>
    </row>
    <row r="7" spans="1:4" ht="31.95" customHeight="1">
      <c r="A7" s="83" t="s">
        <v>2049</v>
      </c>
      <c r="B7" s="110">
        <v>46660</v>
      </c>
      <c r="C7" s="83" t="s">
        <v>2050</v>
      </c>
      <c r="D7" s="83" t="s">
        <v>2051</v>
      </c>
    </row>
    <row r="8" spans="1:4" ht="31.95" customHeight="1">
      <c r="A8" s="82" t="s">
        <v>2052</v>
      </c>
      <c r="B8" s="94">
        <f>SC05초기지표!C7</f>
        <v>5</v>
      </c>
      <c r="C8" s="82" t="s">
        <v>890</v>
      </c>
      <c r="D8" s="82" t="s">
        <v>2053</v>
      </c>
    </row>
    <row r="9" spans="1:4" ht="31.95" customHeight="1">
      <c r="A9" s="83" t="s">
        <v>2054</v>
      </c>
      <c r="B9" s="95">
        <f>SC05초기지표!C9</f>
        <v>6000000</v>
      </c>
      <c r="C9" s="83" t="s">
        <v>11</v>
      </c>
      <c r="D9" s="83" t="s">
        <v>2055</v>
      </c>
    </row>
    <row r="10" spans="1:4" ht="31.95" customHeight="1">
      <c r="A10" s="82" t="s">
        <v>2056</v>
      </c>
      <c r="B10" s="94">
        <f>SC05초기지표!C12</f>
        <v>8200000</v>
      </c>
      <c r="C10" s="82" t="s">
        <v>11</v>
      </c>
      <c r="D10" s="82" t="s">
        <v>2057</v>
      </c>
    </row>
    <row r="11" spans="1:4" ht="31.95" customHeight="1">
      <c r="A11" s="83" t="s">
        <v>2058</v>
      </c>
      <c r="B11" s="95">
        <f>SC04월손익!E18</f>
        <v>127800000</v>
      </c>
      <c r="C11" s="83" t="s">
        <v>2059</v>
      </c>
      <c r="D11" s="83" t="s">
        <v>2060</v>
      </c>
    </row>
    <row r="12" spans="1:4" ht="31.95" customHeight="1">
      <c r="A12" s="82" t="s">
        <v>2061</v>
      </c>
      <c r="B12" s="94">
        <f>SC05월손익!G19</f>
        <v>37200000</v>
      </c>
      <c r="C12" s="82" t="s">
        <v>2062</v>
      </c>
      <c r="D12" s="82" t="s">
        <v>2063</v>
      </c>
    </row>
    <row r="13" spans="1:4" ht="31.95" customHeight="1">
      <c r="A13" s="83" t="s">
        <v>2064</v>
      </c>
      <c r="B13" s="95">
        <f>SC05월손익!G20</f>
        <v>91800000</v>
      </c>
      <c r="C13" s="83" t="s">
        <v>2065</v>
      </c>
      <c r="D13" s="83" t="s">
        <v>2066</v>
      </c>
    </row>
    <row r="14" spans="1:4" ht="31.95" customHeight="1">
      <c r="A14" s="82" t="s">
        <v>2067</v>
      </c>
      <c r="B14" s="94">
        <f>SC05월손익!G18</f>
        <v>129000000</v>
      </c>
      <c r="C14" s="82" t="s">
        <v>2068</v>
      </c>
      <c r="D14" s="82" t="s">
        <v>2069</v>
      </c>
    </row>
    <row r="15" spans="1:4" ht="31.95" customHeight="1">
      <c r="A15" s="83" t="s">
        <v>2070</v>
      </c>
      <c r="B15" s="95">
        <f>SC05월손익!H18</f>
        <v>3428986680</v>
      </c>
      <c r="C15" s="83" t="s">
        <v>2068</v>
      </c>
      <c r="D15" s="83" t="s">
        <v>2071</v>
      </c>
    </row>
    <row r="16" spans="1:4" ht="31.95" customHeight="1">
      <c r="A16" s="82" t="s">
        <v>2072</v>
      </c>
      <c r="B16" s="94">
        <f>SC05월손익!C18</f>
        <v>3477290000</v>
      </c>
      <c r="C16" s="82" t="s">
        <v>2068</v>
      </c>
      <c r="D16" s="82" t="s">
        <v>2073</v>
      </c>
    </row>
    <row r="17" spans="1:4" ht="31.95" customHeight="1">
      <c r="A17" s="83" t="s">
        <v>25</v>
      </c>
      <c r="B17" s="95">
        <f>SC05월손익!K18</f>
        <v>48303320</v>
      </c>
      <c r="C17" s="83" t="s">
        <v>2068</v>
      </c>
      <c r="D17" s="83" t="s">
        <v>2074</v>
      </c>
    </row>
    <row r="18" spans="1:4" ht="31.95" customHeight="1">
      <c r="A18" s="82" t="s">
        <v>2075</v>
      </c>
      <c r="B18" s="94">
        <f>SC05예산!E9</f>
        <v>11000000</v>
      </c>
      <c r="C18" s="82" t="s">
        <v>11</v>
      </c>
      <c r="D18" s="82" t="s">
        <v>2076</v>
      </c>
    </row>
    <row r="19" spans="1:4" ht="31.95" customHeight="1">
      <c r="A19" s="83" t="s">
        <v>2077</v>
      </c>
      <c r="B19" s="83" t="s">
        <v>2078</v>
      </c>
      <c r="C19" s="83" t="s">
        <v>2079</v>
      </c>
      <c r="D19" s="83" t="s">
        <v>2080</v>
      </c>
    </row>
    <row r="20" spans="1:4" ht="31.95" customHeight="1">
      <c r="A20" s="82" t="s">
        <v>2081</v>
      </c>
      <c r="B20" s="82" t="s">
        <v>2082</v>
      </c>
      <c r="C20" s="82" t="s">
        <v>2079</v>
      </c>
      <c r="D20" s="82" t="s">
        <v>2083</v>
      </c>
    </row>
    <row r="21" spans="1:4" ht="48" customHeight="1">
      <c r="A21" s="83" t="s">
        <v>2084</v>
      </c>
      <c r="B21" s="83" t="s">
        <v>2085</v>
      </c>
      <c r="C21" s="83" t="s">
        <v>2086</v>
      </c>
      <c r="D21" s="83" t="s">
        <v>2087</v>
      </c>
    </row>
  </sheetData>
  <phoneticPr fontId="30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BB2C2"/>
  </sheetPr>
  <dimension ref="A1:D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30" customWidth="1"/>
    <col min="2" max="2" width="32" customWidth="1"/>
    <col min="3" max="3" width="24" customWidth="1"/>
    <col min="4" max="4" width="88" customWidth="1"/>
  </cols>
  <sheetData>
    <row r="1" spans="1:4" ht="28.95" customHeight="1">
      <c r="A1" s="80" t="s">
        <v>2088</v>
      </c>
      <c r="B1" s="79"/>
      <c r="C1" s="79"/>
      <c r="D1" s="79"/>
    </row>
    <row r="2" spans="1:4">
      <c r="A2" s="79"/>
      <c r="B2" s="79"/>
      <c r="C2" s="79"/>
      <c r="D2" s="79"/>
    </row>
    <row r="3" spans="1:4" ht="25.95" customHeight="1">
      <c r="A3" s="79" t="s">
        <v>2089</v>
      </c>
      <c r="B3" s="79"/>
      <c r="C3" s="79"/>
      <c r="D3" s="79"/>
    </row>
    <row r="4" spans="1:4">
      <c r="A4" s="79"/>
      <c r="B4" s="79"/>
      <c r="C4" s="79"/>
      <c r="D4" s="79"/>
    </row>
    <row r="5" spans="1:4" ht="36" customHeight="1">
      <c r="A5" s="81" t="s">
        <v>55</v>
      </c>
      <c r="B5" s="81" t="s">
        <v>56</v>
      </c>
      <c r="C5" s="81" t="s">
        <v>2090</v>
      </c>
      <c r="D5" s="81" t="s">
        <v>2091</v>
      </c>
    </row>
    <row r="6" spans="1:4" ht="31.95" customHeight="1">
      <c r="A6" s="82" t="s">
        <v>2092</v>
      </c>
      <c r="B6" s="108">
        <v>46660</v>
      </c>
      <c r="C6" s="82" t="s">
        <v>2050</v>
      </c>
      <c r="D6" s="82" t="s">
        <v>2093</v>
      </c>
    </row>
    <row r="7" spans="1:4" ht="31.95" customHeight="1">
      <c r="A7" s="83" t="s">
        <v>2094</v>
      </c>
      <c r="B7" s="108">
        <v>46666</v>
      </c>
      <c r="C7" s="83" t="s">
        <v>2050</v>
      </c>
      <c r="D7" s="83" t="s">
        <v>2095</v>
      </c>
    </row>
    <row r="8" spans="1:4" ht="31.95" customHeight="1">
      <c r="A8" s="82" t="s">
        <v>1293</v>
      </c>
      <c r="B8" s="109">
        <v>46666.645833333336</v>
      </c>
      <c r="C8" s="82" t="s">
        <v>2096</v>
      </c>
      <c r="D8" s="82" t="s">
        <v>2097</v>
      </c>
    </row>
    <row r="9" spans="1:4" ht="31.95" customHeight="1">
      <c r="A9" s="83" t="s">
        <v>2098</v>
      </c>
      <c r="B9" s="106">
        <v>60</v>
      </c>
      <c r="C9" s="83" t="s">
        <v>2099</v>
      </c>
      <c r="D9" s="83" t="s">
        <v>2100</v>
      </c>
    </row>
    <row r="10" spans="1:4" ht="31.95" customHeight="1">
      <c r="A10" s="82" t="s">
        <v>2101</v>
      </c>
      <c r="B10" s="106">
        <v>120</v>
      </c>
      <c r="C10" s="82" t="s">
        <v>2099</v>
      </c>
      <c r="D10" s="82" t="s">
        <v>2102</v>
      </c>
    </row>
    <row r="11" spans="1:4" ht="31.95" customHeight="1">
      <c r="A11" s="83" t="s">
        <v>2103</v>
      </c>
      <c r="B11" s="107" t="s">
        <v>2104</v>
      </c>
      <c r="C11" s="83" t="s">
        <v>2105</v>
      </c>
      <c r="D11" s="83" t="s">
        <v>2106</v>
      </c>
    </row>
    <row r="12" spans="1:4" ht="31.95" customHeight="1">
      <c r="A12" s="82" t="s">
        <v>2107</v>
      </c>
      <c r="B12" s="106">
        <v>12</v>
      </c>
      <c r="C12" s="82" t="s">
        <v>2108</v>
      </c>
      <c r="D12" s="82" t="s">
        <v>2109</v>
      </c>
    </row>
    <row r="13" spans="1:4" ht="31.95" customHeight="1">
      <c r="A13" s="83" t="s">
        <v>2110</v>
      </c>
      <c r="B13" s="106">
        <v>1200000</v>
      </c>
      <c r="C13" s="83" t="s">
        <v>2111</v>
      </c>
      <c r="D13" s="83" t="s">
        <v>2112</v>
      </c>
    </row>
    <row r="14" spans="1:4" ht="31.95" customHeight="1">
      <c r="A14" s="82" t="s">
        <v>2113</v>
      </c>
      <c r="B14" s="106">
        <v>200000</v>
      </c>
      <c r="C14" s="82" t="s">
        <v>2114</v>
      </c>
      <c r="D14" s="82" t="s">
        <v>2115</v>
      </c>
    </row>
    <row r="15" spans="1:4" ht="31.95" customHeight="1">
      <c r="A15" s="83" t="s">
        <v>2116</v>
      </c>
      <c r="B15" s="106">
        <v>4</v>
      </c>
      <c r="C15" s="83" t="s">
        <v>890</v>
      </c>
      <c r="D15" s="83" t="s">
        <v>2117</v>
      </c>
    </row>
    <row r="16" spans="1:4" ht="31.95" customHeight="1">
      <c r="A16" s="82" t="s">
        <v>2118</v>
      </c>
      <c r="B16" s="106">
        <v>3</v>
      </c>
      <c r="C16" s="82" t="s">
        <v>890</v>
      </c>
      <c r="D16" s="82" t="s">
        <v>2119</v>
      </c>
    </row>
    <row r="17" spans="1:4" ht="31.95" customHeight="1">
      <c r="A17" s="83" t="s">
        <v>2120</v>
      </c>
      <c r="B17" s="106">
        <v>3</v>
      </c>
      <c r="C17" s="83" t="s">
        <v>890</v>
      </c>
      <c r="D17" s="83" t="s">
        <v>2121</v>
      </c>
    </row>
    <row r="18" spans="1:4" ht="31.95" customHeight="1">
      <c r="A18" s="82" t="s">
        <v>2122</v>
      </c>
      <c r="B18" s="107" t="s">
        <v>2123</v>
      </c>
      <c r="C18" s="82" t="s">
        <v>2124</v>
      </c>
      <c r="D18" s="82" t="s">
        <v>2125</v>
      </c>
    </row>
    <row r="19" spans="1:4" ht="31.95" customHeight="1">
      <c r="A19" s="83" t="s">
        <v>2126</v>
      </c>
      <c r="B19" s="107" t="s">
        <v>2127</v>
      </c>
      <c r="C19" s="83" t="s">
        <v>2128</v>
      </c>
      <c r="D19" s="83" t="s">
        <v>2129</v>
      </c>
    </row>
    <row r="20" spans="1:4" ht="31.95" customHeight="1">
      <c r="A20" s="82" t="s">
        <v>2130</v>
      </c>
      <c r="B20" s="107" t="s">
        <v>2131</v>
      </c>
      <c r="C20" s="82" t="s">
        <v>2132</v>
      </c>
      <c r="D20" s="82" t="s">
        <v>2133</v>
      </c>
    </row>
    <row r="21" spans="1:4" ht="31.95" customHeight="1">
      <c r="A21" s="83" t="s">
        <v>2134</v>
      </c>
      <c r="B21" s="107" t="s">
        <v>2135</v>
      </c>
      <c r="C21" s="83" t="s">
        <v>2136</v>
      </c>
      <c r="D21" s="83" t="s">
        <v>2137</v>
      </c>
    </row>
    <row r="22" spans="1:4" ht="31.95" customHeight="1">
      <c r="A22" s="82" t="s">
        <v>2138</v>
      </c>
      <c r="B22" s="107" t="s">
        <v>1286</v>
      </c>
      <c r="C22" s="82" t="s">
        <v>350</v>
      </c>
      <c r="D22" s="82" t="s">
        <v>2139</v>
      </c>
    </row>
    <row r="23" spans="1:4" ht="31.95" customHeight="1">
      <c r="A23" s="83" t="s">
        <v>2140</v>
      </c>
      <c r="B23" s="107" t="s">
        <v>39</v>
      </c>
      <c r="C23" s="83" t="s">
        <v>350</v>
      </c>
      <c r="D23" s="83" t="s">
        <v>2141</v>
      </c>
    </row>
    <row r="24" spans="1:4" ht="31.95" customHeight="1">
      <c r="A24" s="82" t="s">
        <v>2142</v>
      </c>
      <c r="B24" s="107" t="s">
        <v>2143</v>
      </c>
      <c r="C24" s="82" t="s">
        <v>2105</v>
      </c>
      <c r="D24" s="82" t="s">
        <v>2144</v>
      </c>
    </row>
    <row r="25" spans="1:4" ht="31.95" customHeight="1">
      <c r="A25" s="83" t="s">
        <v>2145</v>
      </c>
      <c r="B25" s="106">
        <v>2000000</v>
      </c>
      <c r="C25" s="83" t="s">
        <v>2146</v>
      </c>
      <c r="D25" s="83" t="s">
        <v>2147</v>
      </c>
    </row>
  </sheetData>
  <phoneticPr fontId="30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BB2C2"/>
  </sheetPr>
  <dimension ref="A1:M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16" customWidth="1"/>
    <col min="3" max="3" width="12" customWidth="1"/>
    <col min="4" max="4" width="23" customWidth="1"/>
    <col min="5" max="5" width="20" customWidth="1"/>
    <col min="6" max="6" width="23" customWidth="1"/>
    <col min="7" max="7" width="20" customWidth="1"/>
    <col min="8" max="8" width="23" customWidth="1"/>
    <col min="9" max="9" width="75" customWidth="1"/>
    <col min="10" max="10" width="20" customWidth="1"/>
    <col min="11" max="11" width="18" customWidth="1"/>
    <col min="12" max="12" width="23" customWidth="1"/>
    <col min="13" max="13" width="67" customWidth="1"/>
  </cols>
  <sheetData>
    <row r="1" spans="1:13" ht="28.95" customHeight="1">
      <c r="A1" s="80" t="s">
        <v>2148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2149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2150</v>
      </c>
      <c r="B5" s="81" t="s">
        <v>1103</v>
      </c>
      <c r="C5" s="81" t="s">
        <v>2151</v>
      </c>
      <c r="D5" s="81" t="s">
        <v>2152</v>
      </c>
      <c r="E5" s="81" t="s">
        <v>2153</v>
      </c>
      <c r="F5" s="81" t="s">
        <v>2154</v>
      </c>
      <c r="G5" s="81" t="s">
        <v>1695</v>
      </c>
      <c r="H5" s="81" t="s">
        <v>2155</v>
      </c>
      <c r="I5" s="81" t="s">
        <v>2156</v>
      </c>
      <c r="J5" s="81" t="s">
        <v>2157</v>
      </c>
      <c r="K5" s="81" t="s">
        <v>2158</v>
      </c>
      <c r="L5" s="81" t="s">
        <v>2159</v>
      </c>
      <c r="M5" s="81" t="s">
        <v>2160</v>
      </c>
    </row>
    <row r="6" spans="1:13" ht="31.95" customHeight="1">
      <c r="A6" s="82" t="s">
        <v>2161</v>
      </c>
      <c r="B6" s="82" t="s">
        <v>1740</v>
      </c>
      <c r="C6" s="84">
        <v>1</v>
      </c>
      <c r="D6" s="86">
        <v>46582.416666666664</v>
      </c>
      <c r="E6" s="82" t="s">
        <v>1532</v>
      </c>
      <c r="F6" s="86">
        <v>46584.583333333336</v>
      </c>
      <c r="G6" s="82" t="s">
        <v>955</v>
      </c>
      <c r="H6" s="86">
        <v>46584.666666666664</v>
      </c>
      <c r="I6" s="82" t="s">
        <v>2162</v>
      </c>
      <c r="J6" s="90">
        <v>6000000</v>
      </c>
      <c r="K6" s="88">
        <v>46631</v>
      </c>
      <c r="L6" s="86">
        <v>46660.75</v>
      </c>
      <c r="M6" s="82" t="s">
        <v>2163</v>
      </c>
    </row>
    <row r="7" spans="1:13" ht="31.95" customHeight="1">
      <c r="A7" s="83" t="s">
        <v>2164</v>
      </c>
      <c r="B7" s="83" t="s">
        <v>1740</v>
      </c>
      <c r="C7" s="85">
        <v>2</v>
      </c>
      <c r="D7" s="87">
        <v>46609.416666666664</v>
      </c>
      <c r="E7" s="83" t="s">
        <v>1532</v>
      </c>
      <c r="F7" s="87">
        <v>46610.583333333336</v>
      </c>
      <c r="G7" s="83" t="s">
        <v>955</v>
      </c>
      <c r="H7" s="87">
        <v>46610.666666666664</v>
      </c>
      <c r="I7" s="83" t="s">
        <v>2165</v>
      </c>
      <c r="J7" s="91">
        <v>6000000</v>
      </c>
      <c r="K7" s="89">
        <v>46631</v>
      </c>
      <c r="L7" s="87">
        <v>46660.75</v>
      </c>
      <c r="M7" s="83" t="s">
        <v>2166</v>
      </c>
    </row>
    <row r="8" spans="1:13" ht="31.95" customHeight="1">
      <c r="A8" s="82" t="s">
        <v>2167</v>
      </c>
      <c r="B8" s="82" t="s">
        <v>1738</v>
      </c>
      <c r="C8" s="84">
        <v>1</v>
      </c>
      <c r="D8" s="86">
        <v>46582.458333333336</v>
      </c>
      <c r="E8" s="82" t="s">
        <v>1527</v>
      </c>
      <c r="F8" s="86">
        <v>46584.541666666664</v>
      </c>
      <c r="G8" s="82" t="s">
        <v>955</v>
      </c>
      <c r="H8" s="86">
        <v>46584.673611111109</v>
      </c>
      <c r="I8" s="82" t="s">
        <v>2168</v>
      </c>
      <c r="J8" s="90">
        <v>8000000</v>
      </c>
      <c r="K8" s="88">
        <v>46600</v>
      </c>
      <c r="L8" s="86">
        <v>46630.75</v>
      </c>
      <c r="M8" s="82" t="s">
        <v>2169</v>
      </c>
    </row>
    <row r="9" spans="1:13" ht="31.95" customHeight="1">
      <c r="A9" s="83" t="s">
        <v>2170</v>
      </c>
      <c r="B9" s="83" t="s">
        <v>1741</v>
      </c>
      <c r="C9" s="85">
        <v>1</v>
      </c>
      <c r="D9" s="87">
        <v>46582.5</v>
      </c>
      <c r="E9" s="83" t="s">
        <v>1532</v>
      </c>
      <c r="F9" s="87">
        <v>46584.5625</v>
      </c>
      <c r="G9" s="83" t="s">
        <v>955</v>
      </c>
      <c r="H9" s="87">
        <v>46584.680555555555</v>
      </c>
      <c r="I9" s="83" t="s">
        <v>2171</v>
      </c>
      <c r="J9" s="91">
        <v>4000000</v>
      </c>
      <c r="K9" s="89">
        <v>46661</v>
      </c>
      <c r="L9" s="87">
        <v>46689.75</v>
      </c>
      <c r="M9" s="83" t="s">
        <v>2172</v>
      </c>
    </row>
  </sheetData>
  <phoneticPr fontId="30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9BB2C2"/>
  </sheetPr>
  <dimension ref="A1:J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5" customWidth="1"/>
    <col min="2" max="2" width="19" customWidth="1"/>
    <col min="3" max="3" width="15" customWidth="1"/>
    <col min="4" max="4" width="29" customWidth="1"/>
    <col min="5" max="5" width="20" customWidth="1"/>
    <col min="6" max="8" width="18" customWidth="1"/>
    <col min="9" max="9" width="83" customWidth="1"/>
    <col min="10" max="10" width="20" customWidth="1"/>
  </cols>
  <sheetData>
    <row r="1" spans="1:10" ht="28.95" customHeight="1">
      <c r="A1" s="80" t="s">
        <v>2173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ht="25.95" customHeight="1">
      <c r="A3" s="79" t="s">
        <v>2174</v>
      </c>
      <c r="B3" s="79"/>
      <c r="C3" s="79"/>
      <c r="D3" s="79"/>
      <c r="E3" s="79"/>
      <c r="F3" s="79"/>
      <c r="G3" s="79"/>
      <c r="H3" s="79"/>
      <c r="I3" s="79"/>
      <c r="J3" s="79"/>
    </row>
    <row r="4" spans="1:10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0" ht="36" customHeight="1">
      <c r="A5" s="81" t="s">
        <v>2175</v>
      </c>
      <c r="B5" s="81" t="s">
        <v>2150</v>
      </c>
      <c r="C5" s="81" t="s">
        <v>2176</v>
      </c>
      <c r="D5" s="81" t="s">
        <v>2177</v>
      </c>
      <c r="E5" s="81" t="s">
        <v>2178</v>
      </c>
      <c r="F5" s="81" t="s">
        <v>150</v>
      </c>
      <c r="G5" s="81" t="s">
        <v>2179</v>
      </c>
      <c r="H5" s="81" t="s">
        <v>2180</v>
      </c>
      <c r="I5" s="81" t="s">
        <v>2181</v>
      </c>
      <c r="J5" s="81" t="s">
        <v>1598</v>
      </c>
    </row>
    <row r="6" spans="1:10" ht="31.95" customHeight="1">
      <c r="A6" s="82" t="s">
        <v>2182</v>
      </c>
      <c r="B6" s="82" t="s">
        <v>2161</v>
      </c>
      <c r="C6" s="82" t="s">
        <v>2183</v>
      </c>
      <c r="D6" s="82" t="s">
        <v>2184</v>
      </c>
      <c r="E6" s="82" t="s">
        <v>963</v>
      </c>
      <c r="F6" s="92">
        <v>46587</v>
      </c>
      <c r="G6" s="92">
        <v>46616</v>
      </c>
      <c r="H6" s="82"/>
      <c r="I6" s="82" t="s">
        <v>2185</v>
      </c>
      <c r="J6" s="82" t="s">
        <v>2186</v>
      </c>
    </row>
    <row r="7" spans="1:10" ht="31.95" customHeight="1">
      <c r="A7" s="83" t="s">
        <v>2187</v>
      </c>
      <c r="B7" s="83" t="s">
        <v>2161</v>
      </c>
      <c r="C7" s="83" t="s">
        <v>2188</v>
      </c>
      <c r="D7" s="83" t="s">
        <v>2189</v>
      </c>
      <c r="E7" s="83" t="s">
        <v>959</v>
      </c>
      <c r="F7" s="93">
        <v>46608</v>
      </c>
      <c r="G7" s="93">
        <v>46617</v>
      </c>
      <c r="H7" s="83" t="s">
        <v>2183</v>
      </c>
      <c r="I7" s="83" t="s">
        <v>2190</v>
      </c>
      <c r="J7" s="83" t="s">
        <v>2191</v>
      </c>
    </row>
    <row r="8" spans="1:10" ht="31.95" customHeight="1">
      <c r="A8" s="82" t="s">
        <v>2192</v>
      </c>
      <c r="B8" s="82" t="s">
        <v>2161</v>
      </c>
      <c r="C8" s="82" t="s">
        <v>2193</v>
      </c>
      <c r="D8" s="82" t="s">
        <v>2194</v>
      </c>
      <c r="E8" s="82" t="s">
        <v>963</v>
      </c>
      <c r="F8" s="92">
        <v>46617</v>
      </c>
      <c r="G8" s="92">
        <v>46618</v>
      </c>
      <c r="H8" s="82" t="s">
        <v>2188</v>
      </c>
      <c r="I8" s="82" t="s">
        <v>2195</v>
      </c>
      <c r="J8" s="82" t="s">
        <v>2196</v>
      </c>
    </row>
    <row r="9" spans="1:10" ht="31.95" customHeight="1">
      <c r="A9" s="83" t="s">
        <v>2197</v>
      </c>
      <c r="B9" s="83" t="s">
        <v>2161</v>
      </c>
      <c r="C9" s="83" t="s">
        <v>2198</v>
      </c>
      <c r="D9" s="83" t="s">
        <v>2199</v>
      </c>
      <c r="E9" s="83" t="s">
        <v>1532</v>
      </c>
      <c r="F9" s="93">
        <v>46619</v>
      </c>
      <c r="G9" s="93">
        <v>46619</v>
      </c>
      <c r="H9" s="83" t="s">
        <v>2193</v>
      </c>
      <c r="I9" s="83" t="s">
        <v>2200</v>
      </c>
      <c r="J9" s="83" t="s">
        <v>38</v>
      </c>
    </row>
    <row r="10" spans="1:10" ht="31.95" customHeight="1">
      <c r="A10" s="82" t="s">
        <v>2201</v>
      </c>
      <c r="B10" s="82" t="s">
        <v>2161</v>
      </c>
      <c r="C10" s="82" t="s">
        <v>2202</v>
      </c>
      <c r="D10" s="82" t="s">
        <v>2203</v>
      </c>
      <c r="E10" s="82" t="s">
        <v>963</v>
      </c>
      <c r="F10" s="92">
        <v>46631</v>
      </c>
      <c r="G10" s="92">
        <v>46631</v>
      </c>
      <c r="H10" s="82" t="s">
        <v>2198</v>
      </c>
      <c r="I10" s="82" t="s">
        <v>2204</v>
      </c>
      <c r="J10" s="82" t="s">
        <v>2205</v>
      </c>
    </row>
    <row r="11" spans="1:10" ht="31.95" customHeight="1">
      <c r="A11" s="83" t="s">
        <v>2206</v>
      </c>
      <c r="B11" s="83" t="s">
        <v>2161</v>
      </c>
      <c r="C11" s="83" t="s">
        <v>2207</v>
      </c>
      <c r="D11" s="83" t="s">
        <v>2208</v>
      </c>
      <c r="E11" s="83" t="s">
        <v>1532</v>
      </c>
      <c r="F11" s="93">
        <v>46632</v>
      </c>
      <c r="G11" s="93">
        <v>46660</v>
      </c>
      <c r="H11" s="83" t="s">
        <v>2202</v>
      </c>
      <c r="I11" s="83" t="s">
        <v>2209</v>
      </c>
      <c r="J11" s="83" t="s">
        <v>2210</v>
      </c>
    </row>
    <row r="12" spans="1:10" ht="31.95" customHeight="1">
      <c r="A12" s="82" t="s">
        <v>2211</v>
      </c>
      <c r="B12" s="82" t="s">
        <v>2164</v>
      </c>
      <c r="C12" s="82" t="s">
        <v>2183</v>
      </c>
      <c r="D12" s="82" t="s">
        <v>2212</v>
      </c>
      <c r="E12" s="82" t="s">
        <v>963</v>
      </c>
      <c r="F12" s="92">
        <v>46611</v>
      </c>
      <c r="G12" s="92">
        <v>46616</v>
      </c>
      <c r="H12" s="82"/>
      <c r="I12" s="82" t="s">
        <v>2213</v>
      </c>
      <c r="J12" s="82" t="s">
        <v>2186</v>
      </c>
    </row>
    <row r="13" spans="1:10" ht="31.95" customHeight="1">
      <c r="A13" s="83" t="s">
        <v>2214</v>
      </c>
      <c r="B13" s="83" t="s">
        <v>2164</v>
      </c>
      <c r="C13" s="83" t="s">
        <v>2188</v>
      </c>
      <c r="D13" s="83" t="s">
        <v>2215</v>
      </c>
      <c r="E13" s="83" t="s">
        <v>959</v>
      </c>
      <c r="F13" s="93">
        <v>46616</v>
      </c>
      <c r="G13" s="93">
        <v>46617</v>
      </c>
      <c r="H13" s="83" t="s">
        <v>2183</v>
      </c>
      <c r="I13" s="83" t="s">
        <v>2216</v>
      </c>
      <c r="J13" s="83" t="s">
        <v>2191</v>
      </c>
    </row>
    <row r="14" spans="1:10" ht="31.95" customHeight="1">
      <c r="A14" s="82" t="s">
        <v>2217</v>
      </c>
      <c r="B14" s="82" t="s">
        <v>2164</v>
      </c>
      <c r="C14" s="82" t="s">
        <v>2193</v>
      </c>
      <c r="D14" s="82" t="s">
        <v>2218</v>
      </c>
      <c r="E14" s="82" t="s">
        <v>963</v>
      </c>
      <c r="F14" s="92">
        <v>46618</v>
      </c>
      <c r="G14" s="92">
        <v>46618</v>
      </c>
      <c r="H14" s="82" t="s">
        <v>2188</v>
      </c>
      <c r="I14" s="82" t="s">
        <v>2219</v>
      </c>
      <c r="J14" s="82" t="s">
        <v>2196</v>
      </c>
    </row>
    <row r="15" spans="1:10" ht="31.95" customHeight="1">
      <c r="A15" s="83" t="s">
        <v>2220</v>
      </c>
      <c r="B15" s="83" t="s">
        <v>2164</v>
      </c>
      <c r="C15" s="83" t="s">
        <v>2198</v>
      </c>
      <c r="D15" s="83" t="s">
        <v>2199</v>
      </c>
      <c r="E15" s="83" t="s">
        <v>1532</v>
      </c>
      <c r="F15" s="93">
        <v>46619</v>
      </c>
      <c r="G15" s="93">
        <v>46619</v>
      </c>
      <c r="H15" s="83" t="s">
        <v>2193</v>
      </c>
      <c r="I15" s="83" t="s">
        <v>2200</v>
      </c>
      <c r="J15" s="83" t="s">
        <v>38</v>
      </c>
    </row>
    <row r="16" spans="1:10" ht="31.95" customHeight="1">
      <c r="A16" s="82" t="s">
        <v>2221</v>
      </c>
      <c r="B16" s="82" t="s">
        <v>2164</v>
      </c>
      <c r="C16" s="82" t="s">
        <v>2202</v>
      </c>
      <c r="D16" s="82" t="s">
        <v>2203</v>
      </c>
      <c r="E16" s="82" t="s">
        <v>963</v>
      </c>
      <c r="F16" s="92">
        <v>46631</v>
      </c>
      <c r="G16" s="92">
        <v>46631</v>
      </c>
      <c r="H16" s="82" t="s">
        <v>2198</v>
      </c>
      <c r="I16" s="82" t="s">
        <v>2204</v>
      </c>
      <c r="J16" s="82" t="s">
        <v>2205</v>
      </c>
    </row>
    <row r="17" spans="1:10" ht="31.95" customHeight="1">
      <c r="A17" s="83" t="s">
        <v>2222</v>
      </c>
      <c r="B17" s="83" t="s">
        <v>2164</v>
      </c>
      <c r="C17" s="83" t="s">
        <v>2207</v>
      </c>
      <c r="D17" s="83" t="s">
        <v>2208</v>
      </c>
      <c r="E17" s="83" t="s">
        <v>1532</v>
      </c>
      <c r="F17" s="93">
        <v>46632</v>
      </c>
      <c r="G17" s="93">
        <v>46660</v>
      </c>
      <c r="H17" s="83" t="s">
        <v>2202</v>
      </c>
      <c r="I17" s="83" t="s">
        <v>2223</v>
      </c>
      <c r="J17" s="83" t="s">
        <v>2210</v>
      </c>
    </row>
  </sheetData>
  <phoneticPr fontId="30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9BB2C2"/>
  </sheetPr>
  <dimension ref="A1:M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23" customWidth="1"/>
    <col min="3" max="3" width="16" customWidth="1"/>
    <col min="4" max="4" width="22" customWidth="1"/>
    <col min="5" max="5" width="53" customWidth="1"/>
    <col min="6" max="6" width="20" customWidth="1"/>
    <col min="7" max="7" width="23" customWidth="1"/>
    <col min="8" max="8" width="20" customWidth="1"/>
    <col min="9" max="9" width="23" customWidth="1"/>
    <col min="10" max="10" width="20" customWidth="1"/>
    <col min="11" max="11" width="23" customWidth="1"/>
    <col min="12" max="12" width="22" customWidth="1"/>
    <col min="13" max="13" width="72" customWidth="1"/>
  </cols>
  <sheetData>
    <row r="1" spans="1:13" ht="28.95" customHeight="1">
      <c r="A1" s="80" t="s">
        <v>2224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2225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524</v>
      </c>
      <c r="B5" s="81" t="s">
        <v>124</v>
      </c>
      <c r="C5" s="81" t="s">
        <v>1103</v>
      </c>
      <c r="D5" s="81" t="s">
        <v>2226</v>
      </c>
      <c r="E5" s="81" t="s">
        <v>2128</v>
      </c>
      <c r="F5" s="81" t="s">
        <v>2227</v>
      </c>
      <c r="G5" s="81" t="s">
        <v>2228</v>
      </c>
      <c r="H5" s="81" t="s">
        <v>2229</v>
      </c>
      <c r="I5" s="81" t="s">
        <v>2230</v>
      </c>
      <c r="J5" s="81" t="s">
        <v>2231</v>
      </c>
      <c r="K5" s="81" t="s">
        <v>2232</v>
      </c>
      <c r="L5" s="81" t="s">
        <v>350</v>
      </c>
      <c r="M5" s="81" t="s">
        <v>2233</v>
      </c>
    </row>
    <row r="6" spans="1:13" ht="31.95" customHeight="1">
      <c r="A6" s="82" t="s">
        <v>38</v>
      </c>
      <c r="B6" s="82" t="s">
        <v>2234</v>
      </c>
      <c r="C6" s="82" t="s">
        <v>1740</v>
      </c>
      <c r="D6" s="94"/>
      <c r="E6" s="82" t="s">
        <v>2235</v>
      </c>
      <c r="F6" s="82" t="s">
        <v>963</v>
      </c>
      <c r="G6" s="86">
        <v>46619.375</v>
      </c>
      <c r="H6" s="82" t="s">
        <v>1527</v>
      </c>
      <c r="I6" s="86">
        <v>46619.416666666664</v>
      </c>
      <c r="J6" s="82" t="s">
        <v>1532</v>
      </c>
      <c r="K6" s="86">
        <v>46619.458333333336</v>
      </c>
      <c r="L6" s="82" t="s">
        <v>2236</v>
      </c>
      <c r="M6" s="82" t="s">
        <v>2237</v>
      </c>
    </row>
    <row r="7" spans="1:13" ht="31.95" customHeight="1">
      <c r="A7" s="83" t="s">
        <v>1757</v>
      </c>
      <c r="B7" s="83" t="s">
        <v>2238</v>
      </c>
      <c r="C7" s="83" t="s">
        <v>1740</v>
      </c>
      <c r="D7" s="95"/>
      <c r="E7" s="83" t="s">
        <v>2239</v>
      </c>
      <c r="F7" s="83" t="s">
        <v>1527</v>
      </c>
      <c r="G7" s="87">
        <v>46619.395833333336</v>
      </c>
      <c r="H7" s="83"/>
      <c r="I7" s="96"/>
      <c r="J7" s="83" t="s">
        <v>955</v>
      </c>
      <c r="K7" s="87">
        <v>46619.479166666664</v>
      </c>
      <c r="L7" s="83" t="s">
        <v>1831</v>
      </c>
      <c r="M7" s="83" t="s">
        <v>2240</v>
      </c>
    </row>
    <row r="8" spans="1:13" ht="31.95" customHeight="1">
      <c r="A8" s="82" t="s">
        <v>2241</v>
      </c>
      <c r="B8" s="82" t="s">
        <v>2242</v>
      </c>
      <c r="C8" s="82" t="s">
        <v>1740</v>
      </c>
      <c r="D8" s="90">
        <v>2000000</v>
      </c>
      <c r="E8" s="82" t="s">
        <v>2243</v>
      </c>
      <c r="F8" s="82" t="s">
        <v>963</v>
      </c>
      <c r="G8" s="86">
        <v>46619.541666666664</v>
      </c>
      <c r="H8" s="82" t="s">
        <v>1532</v>
      </c>
      <c r="I8" s="86">
        <v>46619.583333333336</v>
      </c>
      <c r="J8" s="82" t="s">
        <v>955</v>
      </c>
      <c r="K8" s="86">
        <v>46619.625</v>
      </c>
      <c r="L8" s="82" t="s">
        <v>478</v>
      </c>
      <c r="M8" s="82" t="s">
        <v>2244</v>
      </c>
    </row>
    <row r="9" spans="1:13" ht="31.95" customHeight="1">
      <c r="A9" s="83" t="s">
        <v>2245</v>
      </c>
      <c r="B9" s="83" t="s">
        <v>2246</v>
      </c>
      <c r="C9" s="83" t="s">
        <v>1738</v>
      </c>
      <c r="D9" s="91">
        <v>4000000</v>
      </c>
      <c r="E9" s="83" t="s">
        <v>2247</v>
      </c>
      <c r="F9" s="83" t="s">
        <v>959</v>
      </c>
      <c r="G9" s="87">
        <v>46587.416666666664</v>
      </c>
      <c r="H9" s="83" t="s">
        <v>1527</v>
      </c>
      <c r="I9" s="87">
        <v>46587.541666666664</v>
      </c>
      <c r="J9" s="83" t="s">
        <v>955</v>
      </c>
      <c r="K9" s="87">
        <v>46587.625</v>
      </c>
      <c r="L9" s="83" t="s">
        <v>478</v>
      </c>
      <c r="M9" s="83" t="s">
        <v>2248</v>
      </c>
    </row>
    <row r="10" spans="1:13" ht="31.95" customHeight="1">
      <c r="A10" s="82" t="s">
        <v>2249</v>
      </c>
      <c r="B10" s="82" t="s">
        <v>2246</v>
      </c>
      <c r="C10" s="82" t="s">
        <v>1741</v>
      </c>
      <c r="D10" s="90">
        <v>1000000</v>
      </c>
      <c r="E10" s="82" t="s">
        <v>2250</v>
      </c>
      <c r="F10" s="82" t="s">
        <v>963</v>
      </c>
      <c r="G10" s="86">
        <v>46645.416666666664</v>
      </c>
      <c r="H10" s="82" t="s">
        <v>1532</v>
      </c>
      <c r="I10" s="86">
        <v>46645.541666666664</v>
      </c>
      <c r="J10" s="82" t="s">
        <v>955</v>
      </c>
      <c r="K10" s="86">
        <v>46645.625</v>
      </c>
      <c r="L10" s="82" t="s">
        <v>478</v>
      </c>
      <c r="M10" s="82" t="s">
        <v>2251</v>
      </c>
    </row>
    <row r="11" spans="1:13" ht="31.95" customHeight="1">
      <c r="A11" s="83" t="s">
        <v>2252</v>
      </c>
      <c r="B11" s="83" t="s">
        <v>2253</v>
      </c>
      <c r="C11" s="83" t="s">
        <v>1740</v>
      </c>
      <c r="D11" s="91">
        <v>800000</v>
      </c>
      <c r="E11" s="83" t="s">
        <v>2254</v>
      </c>
      <c r="F11" s="83" t="s">
        <v>963</v>
      </c>
      <c r="G11" s="87">
        <v>46619.548611111109</v>
      </c>
      <c r="H11" s="83" t="s">
        <v>1532</v>
      </c>
      <c r="I11" s="87">
        <v>46619.590277777781</v>
      </c>
      <c r="J11" s="83" t="s">
        <v>955</v>
      </c>
      <c r="K11" s="87">
        <v>46619.631944444445</v>
      </c>
      <c r="L11" s="83" t="s">
        <v>478</v>
      </c>
      <c r="M11" s="83" t="s">
        <v>2255</v>
      </c>
    </row>
  </sheetData>
  <phoneticPr fontId="30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9BB2C2"/>
  </sheetPr>
  <dimension ref="A1:J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8" customWidth="1"/>
    <col min="2" max="2" width="17" customWidth="1"/>
    <col min="3" max="4" width="20" customWidth="1"/>
    <col min="5" max="5" width="24" customWidth="1"/>
    <col min="6" max="6" width="18" customWidth="1"/>
    <col min="7" max="9" width="23" customWidth="1"/>
    <col min="10" max="10" width="24" customWidth="1"/>
  </cols>
  <sheetData>
    <row r="1" spans="1:10" ht="28.95" customHeight="1">
      <c r="A1" s="80" t="s">
        <v>2256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ht="25.95" customHeight="1">
      <c r="A3" s="79" t="s">
        <v>2257</v>
      </c>
      <c r="B3" s="79"/>
      <c r="C3" s="79"/>
      <c r="D3" s="79"/>
      <c r="E3" s="79"/>
      <c r="F3" s="79"/>
      <c r="G3" s="79"/>
      <c r="H3" s="79"/>
      <c r="I3" s="79"/>
      <c r="J3" s="79"/>
    </row>
    <row r="4" spans="1:10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0" ht="36" customHeight="1">
      <c r="A5" s="81" t="s">
        <v>2258</v>
      </c>
      <c r="B5" s="81" t="s">
        <v>1103</v>
      </c>
      <c r="C5" s="81" t="s">
        <v>2259</v>
      </c>
      <c r="D5" s="81" t="s">
        <v>2260</v>
      </c>
      <c r="E5" s="81" t="s">
        <v>2261</v>
      </c>
      <c r="F5" s="81" t="s">
        <v>1746</v>
      </c>
      <c r="G5" s="81" t="s">
        <v>2262</v>
      </c>
      <c r="H5" s="81" t="s">
        <v>2263</v>
      </c>
      <c r="I5" s="81" t="s">
        <v>2264</v>
      </c>
      <c r="J5" s="81" t="s">
        <v>1598</v>
      </c>
    </row>
    <row r="6" spans="1:10" ht="31.95" customHeight="1">
      <c r="A6" s="82" t="s">
        <v>2265</v>
      </c>
      <c r="B6" s="82" t="s">
        <v>1738</v>
      </c>
      <c r="C6" s="82" t="s">
        <v>2266</v>
      </c>
      <c r="D6" s="82" t="s">
        <v>2245</v>
      </c>
      <c r="E6" s="86">
        <v>46587.625</v>
      </c>
      <c r="F6" s="82" t="s">
        <v>2267</v>
      </c>
      <c r="G6" s="90">
        <v>4000000</v>
      </c>
      <c r="H6" s="90">
        <v>0</v>
      </c>
      <c r="I6" s="90">
        <v>0</v>
      </c>
      <c r="J6" s="82" t="s">
        <v>2268</v>
      </c>
    </row>
    <row r="7" spans="1:10" ht="31.95" customHeight="1">
      <c r="A7" s="83" t="s">
        <v>2269</v>
      </c>
      <c r="B7" s="83" t="s">
        <v>1738</v>
      </c>
      <c r="C7" s="83" t="s">
        <v>2266</v>
      </c>
      <c r="D7" s="83" t="s">
        <v>2245</v>
      </c>
      <c r="E7" s="87">
        <v>46598.666666666664</v>
      </c>
      <c r="F7" s="83" t="s">
        <v>2270</v>
      </c>
      <c r="G7" s="91">
        <v>-4000000</v>
      </c>
      <c r="H7" s="91">
        <v>4000000</v>
      </c>
      <c r="I7" s="91">
        <v>4000000</v>
      </c>
      <c r="J7" s="83" t="s">
        <v>2271</v>
      </c>
    </row>
    <row r="8" spans="1:10" ht="31.95" customHeight="1">
      <c r="A8" s="82" t="s">
        <v>2272</v>
      </c>
      <c r="B8" s="82" t="s">
        <v>1740</v>
      </c>
      <c r="C8" s="82" t="s">
        <v>2266</v>
      </c>
      <c r="D8" s="82" t="s">
        <v>2241</v>
      </c>
      <c r="E8" s="86">
        <v>46619.625</v>
      </c>
      <c r="F8" s="82" t="s">
        <v>2267</v>
      </c>
      <c r="G8" s="90">
        <v>2000000</v>
      </c>
      <c r="H8" s="90">
        <v>0</v>
      </c>
      <c r="I8" s="90">
        <v>0</v>
      </c>
      <c r="J8" s="82" t="s">
        <v>2196</v>
      </c>
    </row>
    <row r="9" spans="1:10" ht="31.95" customHeight="1">
      <c r="A9" s="83" t="s">
        <v>2273</v>
      </c>
      <c r="B9" s="83" t="s">
        <v>1740</v>
      </c>
      <c r="C9" s="83" t="s">
        <v>2266</v>
      </c>
      <c r="D9" s="83" t="s">
        <v>2241</v>
      </c>
      <c r="E9" s="87">
        <v>46630.666666666664</v>
      </c>
      <c r="F9" s="83" t="s">
        <v>2270</v>
      </c>
      <c r="G9" s="91">
        <v>-2000000</v>
      </c>
      <c r="H9" s="91">
        <v>2000000</v>
      </c>
      <c r="I9" s="91">
        <v>2000000</v>
      </c>
      <c r="J9" s="83" t="s">
        <v>2274</v>
      </c>
    </row>
    <row r="10" spans="1:10" ht="31.95" customHeight="1">
      <c r="A10" s="82" t="s">
        <v>2275</v>
      </c>
      <c r="B10" s="82" t="s">
        <v>1741</v>
      </c>
      <c r="C10" s="82" t="s">
        <v>2266</v>
      </c>
      <c r="D10" s="82" t="s">
        <v>2249</v>
      </c>
      <c r="E10" s="86">
        <v>46645.625</v>
      </c>
      <c r="F10" s="82" t="s">
        <v>2267</v>
      </c>
      <c r="G10" s="90">
        <v>1000000</v>
      </c>
      <c r="H10" s="90">
        <v>0</v>
      </c>
      <c r="I10" s="90">
        <v>0</v>
      </c>
      <c r="J10" s="82" t="s">
        <v>2276</v>
      </c>
    </row>
    <row r="11" spans="1:10" ht="31.95" customHeight="1">
      <c r="A11" s="83" t="s">
        <v>2277</v>
      </c>
      <c r="B11" s="83" t="s">
        <v>1741</v>
      </c>
      <c r="C11" s="83" t="s">
        <v>2266</v>
      </c>
      <c r="D11" s="83" t="s">
        <v>2249</v>
      </c>
      <c r="E11" s="87">
        <v>46658.666666666664</v>
      </c>
      <c r="F11" s="83" t="s">
        <v>2270</v>
      </c>
      <c r="G11" s="91">
        <v>-1000000</v>
      </c>
      <c r="H11" s="91">
        <v>1000000</v>
      </c>
      <c r="I11" s="91">
        <v>1000000</v>
      </c>
      <c r="J11" s="83" t="s">
        <v>2278</v>
      </c>
    </row>
    <row r="12" spans="1:10" ht="31.95" customHeight="1">
      <c r="A12" s="82" t="s">
        <v>2279</v>
      </c>
      <c r="B12" s="82" t="s">
        <v>1740</v>
      </c>
      <c r="C12" s="82" t="s">
        <v>2280</v>
      </c>
      <c r="D12" s="82" t="s">
        <v>2252</v>
      </c>
      <c r="E12" s="86">
        <v>46619.631944444445</v>
      </c>
      <c r="F12" s="82" t="s">
        <v>2267</v>
      </c>
      <c r="G12" s="90">
        <v>800000</v>
      </c>
      <c r="H12" s="90">
        <v>0</v>
      </c>
      <c r="I12" s="90">
        <v>0</v>
      </c>
      <c r="J12" s="82" t="s">
        <v>2252</v>
      </c>
    </row>
    <row r="13" spans="1:10" ht="31.95" customHeight="1">
      <c r="A13" s="83" t="s">
        <v>2281</v>
      </c>
      <c r="B13" s="83" t="s">
        <v>1740</v>
      </c>
      <c r="C13" s="83" t="s">
        <v>2280</v>
      </c>
      <c r="D13" s="83" t="s">
        <v>2252</v>
      </c>
      <c r="E13" s="87">
        <v>46660.708333333336</v>
      </c>
      <c r="F13" s="83" t="s">
        <v>2270</v>
      </c>
      <c r="G13" s="91">
        <v>-200000</v>
      </c>
      <c r="H13" s="91">
        <v>200000</v>
      </c>
      <c r="I13" s="91">
        <v>200000</v>
      </c>
      <c r="J13" s="83" t="s">
        <v>2282</v>
      </c>
    </row>
  </sheetData>
  <phoneticPr fontId="30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BB2C2"/>
  </sheetPr>
  <dimension ref="A1:E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5" width="26" customWidth="1"/>
  </cols>
  <sheetData>
    <row r="1" spans="1:5" ht="28.95" customHeight="1">
      <c r="A1" s="80" t="s">
        <v>2283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2284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2285</v>
      </c>
      <c r="B5" s="81" t="s">
        <v>2286</v>
      </c>
      <c r="C5" s="81" t="s">
        <v>2287</v>
      </c>
      <c r="D5" s="81" t="s">
        <v>2288</v>
      </c>
      <c r="E5" s="81" t="s">
        <v>2289</v>
      </c>
    </row>
    <row r="6" spans="1:5" ht="31.95" customHeight="1">
      <c r="A6" s="82" t="s">
        <v>1738</v>
      </c>
      <c r="B6" s="99">
        <f>SC04예산과제!E6</f>
        <v>8000000</v>
      </c>
      <c r="C6" s="99">
        <f>SUMIFS(SC05예산원장!$G$6:$G$13,SC05예산원장!$B$6:$B$13,A6,SC05예산원장!$C$6:$C$13,"ONEOFF",SC05예산원장!$E$6:$E$13,"&lt;="&amp;SC05설정!$B$8)</f>
        <v>0</v>
      </c>
      <c r="D6" s="99">
        <f>SUMIFS(SC05예산원장!$H$6:$H$13,SC05예산원장!$B$6:$B$13,A6,SC05예산원장!$C$6:$C$13,"ONEOFF",SC05예산원장!$E$6:$E$13,"&lt;="&amp;SC05설정!$B$8)</f>
        <v>4000000</v>
      </c>
      <c r="E6" s="94">
        <f>B6-C6-D6</f>
        <v>4000000</v>
      </c>
    </row>
    <row r="7" spans="1:5" ht="31.95" customHeight="1">
      <c r="A7" s="83" t="s">
        <v>1740</v>
      </c>
      <c r="B7" s="100">
        <f>SC04예산과제!E7</f>
        <v>6000000</v>
      </c>
      <c r="C7" s="100">
        <f>SUMIFS(SC05예산원장!$G$6:$G$13,SC05예산원장!$B$6:$B$13,A7,SC05예산원장!$C$6:$C$13,"ONEOFF",SC05예산원장!$E$6:$E$13,"&lt;="&amp;SC05설정!$B$8)</f>
        <v>0</v>
      </c>
      <c r="D7" s="100">
        <f>SUMIFS(SC05예산원장!$H$6:$H$13,SC05예산원장!$B$6:$B$13,A7,SC05예산원장!$C$6:$C$13,"ONEOFF",SC05예산원장!$E$6:$E$13,"&lt;="&amp;SC05설정!$B$8)</f>
        <v>2000000</v>
      </c>
      <c r="E7" s="95">
        <f>B7-C7-D7</f>
        <v>4000000</v>
      </c>
    </row>
    <row r="8" spans="1:5" ht="31.95" customHeight="1">
      <c r="A8" s="82" t="s">
        <v>1741</v>
      </c>
      <c r="B8" s="99">
        <f>SC04예산과제!E8</f>
        <v>4000000</v>
      </c>
      <c r="C8" s="99">
        <f>SUMIFS(SC05예산원장!$G$6:$G$13,SC05예산원장!$B$6:$B$13,A8,SC05예산원장!$C$6:$C$13,"ONEOFF",SC05예산원장!$E$6:$E$13,"&lt;="&amp;SC05설정!$B$8)</f>
        <v>0</v>
      </c>
      <c r="D8" s="99">
        <f>SUMIFS(SC05예산원장!$H$6:$H$13,SC05예산원장!$B$6:$B$13,A8,SC05예산원장!$C$6:$C$13,"ONEOFF",SC05예산원장!$E$6:$E$13,"&lt;="&amp;SC05설정!$B$8)</f>
        <v>1000000</v>
      </c>
      <c r="E8" s="94">
        <f>B8-C8-D8</f>
        <v>3000000</v>
      </c>
    </row>
    <row r="9" spans="1:5" ht="31.95" customHeight="1">
      <c r="A9" s="83" t="s">
        <v>1537</v>
      </c>
      <c r="B9" s="95">
        <f>SUM(B6:B8)</f>
        <v>18000000</v>
      </c>
      <c r="C9" s="95">
        <f>SUM(C6:C8)</f>
        <v>0</v>
      </c>
      <c r="D9" s="95">
        <f>SUM(D6:D8)</f>
        <v>7000000</v>
      </c>
      <c r="E9" s="95">
        <f>B9-C9-D9</f>
        <v>11000000</v>
      </c>
    </row>
  </sheetData>
  <phoneticPr fontId="30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9BB2C2"/>
  </sheetPr>
  <dimension ref="A1:P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7" customWidth="1"/>
    <col min="2" max="2" width="20" customWidth="1"/>
    <col min="3" max="3" width="18" customWidth="1"/>
    <col min="4" max="4" width="17" customWidth="1"/>
    <col min="5" max="5" width="22" customWidth="1"/>
    <col min="6" max="13" width="18" customWidth="1"/>
    <col min="14" max="14" width="21" customWidth="1"/>
    <col min="15" max="15" width="29" customWidth="1"/>
    <col min="16" max="16" width="20" customWidth="1"/>
  </cols>
  <sheetData>
    <row r="1" spans="1:16" ht="28.95" customHeight="1">
      <c r="A1" s="80" t="s">
        <v>2290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 ht="25.95" customHeight="1">
      <c r="A3" s="79" t="s">
        <v>2291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36" customHeight="1">
      <c r="A5" s="81" t="s">
        <v>1584</v>
      </c>
      <c r="B5" s="81" t="s">
        <v>2292</v>
      </c>
      <c r="C5" s="81" t="s">
        <v>2293</v>
      </c>
      <c r="D5" s="81" t="s">
        <v>190</v>
      </c>
      <c r="E5" s="81" t="s">
        <v>2294</v>
      </c>
      <c r="F5" s="81" t="s">
        <v>2295</v>
      </c>
      <c r="G5" s="81" t="s">
        <v>2296</v>
      </c>
      <c r="H5" s="81" t="s">
        <v>2297</v>
      </c>
      <c r="I5" s="81" t="s">
        <v>2298</v>
      </c>
      <c r="J5" s="81" t="s">
        <v>2299</v>
      </c>
      <c r="K5" s="81" t="s">
        <v>2300</v>
      </c>
      <c r="L5" s="81" t="s">
        <v>2301</v>
      </c>
      <c r="M5" s="81" t="s">
        <v>2302</v>
      </c>
      <c r="N5" s="81" t="s">
        <v>2303</v>
      </c>
      <c r="O5" s="81" t="s">
        <v>2304</v>
      </c>
      <c r="P5" s="81" t="s">
        <v>1598</v>
      </c>
    </row>
    <row r="6" spans="1:16" ht="31.95" customHeight="1">
      <c r="A6" s="82" t="s">
        <v>2305</v>
      </c>
      <c r="B6" s="82" t="s">
        <v>2306</v>
      </c>
      <c r="C6" s="92">
        <v>46632</v>
      </c>
      <c r="D6" s="82" t="s">
        <v>219</v>
      </c>
      <c r="E6" s="84">
        <v>3914</v>
      </c>
      <c r="F6" s="84">
        <v>978</v>
      </c>
      <c r="G6" s="84">
        <v>978</v>
      </c>
      <c r="H6" s="84">
        <v>978</v>
      </c>
      <c r="I6" s="84">
        <v>980</v>
      </c>
      <c r="J6" s="84">
        <v>978</v>
      </c>
      <c r="K6" s="84">
        <v>978</v>
      </c>
      <c r="L6" s="84">
        <v>978</v>
      </c>
      <c r="M6" s="84">
        <v>980</v>
      </c>
      <c r="N6" s="82">
        <f t="shared" ref="N6:N15" si="0">SUM(J6:M6)-SUM(F6:I6)</f>
        <v>0</v>
      </c>
      <c r="O6" s="82" t="s">
        <v>2307</v>
      </c>
      <c r="P6" s="82" t="s">
        <v>2308</v>
      </c>
    </row>
    <row r="7" spans="1:16" ht="31.95" customHeight="1">
      <c r="A7" s="83" t="s">
        <v>2309</v>
      </c>
      <c r="B7" s="83" t="s">
        <v>2306</v>
      </c>
      <c r="C7" s="93">
        <v>46632</v>
      </c>
      <c r="D7" s="83" t="s">
        <v>224</v>
      </c>
      <c r="E7" s="85">
        <v>9785</v>
      </c>
      <c r="F7" s="85">
        <v>2446</v>
      </c>
      <c r="G7" s="85">
        <v>2446</v>
      </c>
      <c r="H7" s="85">
        <v>2446</v>
      </c>
      <c r="I7" s="85">
        <v>2447</v>
      </c>
      <c r="J7" s="85">
        <v>2446</v>
      </c>
      <c r="K7" s="85">
        <v>2646</v>
      </c>
      <c r="L7" s="85">
        <v>2446</v>
      </c>
      <c r="M7" s="85">
        <v>2247</v>
      </c>
      <c r="N7" s="83">
        <f t="shared" si="0"/>
        <v>0</v>
      </c>
      <c r="O7" s="83" t="s">
        <v>2310</v>
      </c>
      <c r="P7" s="83" t="s">
        <v>2308</v>
      </c>
    </row>
    <row r="8" spans="1:16" ht="31.95" customHeight="1">
      <c r="A8" s="82" t="s">
        <v>2311</v>
      </c>
      <c r="B8" s="82" t="s">
        <v>2306</v>
      </c>
      <c r="C8" s="92">
        <v>46632</v>
      </c>
      <c r="D8" s="82" t="s">
        <v>226</v>
      </c>
      <c r="E8" s="84">
        <v>6118</v>
      </c>
      <c r="F8" s="84">
        <v>1529</v>
      </c>
      <c r="G8" s="84">
        <v>1529</v>
      </c>
      <c r="H8" s="84">
        <v>1529</v>
      </c>
      <c r="I8" s="84">
        <v>1531</v>
      </c>
      <c r="J8" s="84">
        <v>1529</v>
      </c>
      <c r="K8" s="84">
        <v>1529</v>
      </c>
      <c r="L8" s="84">
        <v>1529</v>
      </c>
      <c r="M8" s="84">
        <v>1531</v>
      </c>
      <c r="N8" s="82">
        <f t="shared" si="0"/>
        <v>0</v>
      </c>
      <c r="O8" s="82" t="s">
        <v>2307</v>
      </c>
      <c r="P8" s="82" t="s">
        <v>2308</v>
      </c>
    </row>
    <row r="9" spans="1:16" ht="31.95" customHeight="1">
      <c r="A9" s="83" t="s">
        <v>2312</v>
      </c>
      <c r="B9" s="83" t="s">
        <v>2306</v>
      </c>
      <c r="C9" s="93">
        <v>46632</v>
      </c>
      <c r="D9" s="83" t="s">
        <v>228</v>
      </c>
      <c r="E9" s="85">
        <v>5202</v>
      </c>
      <c r="F9" s="85">
        <v>1300</v>
      </c>
      <c r="G9" s="85">
        <v>1300</v>
      </c>
      <c r="H9" s="85">
        <v>1300</v>
      </c>
      <c r="I9" s="85">
        <v>1302</v>
      </c>
      <c r="J9" s="85">
        <v>1300</v>
      </c>
      <c r="K9" s="85">
        <v>1300</v>
      </c>
      <c r="L9" s="85">
        <v>1300</v>
      </c>
      <c r="M9" s="85">
        <v>1302</v>
      </c>
      <c r="N9" s="83">
        <f t="shared" si="0"/>
        <v>0</v>
      </c>
      <c r="O9" s="83" t="s">
        <v>2307</v>
      </c>
      <c r="P9" s="83" t="s">
        <v>2308</v>
      </c>
    </row>
    <row r="10" spans="1:16" ht="31.95" customHeight="1">
      <c r="A10" s="82" t="s">
        <v>2313</v>
      </c>
      <c r="B10" s="82" t="s">
        <v>2306</v>
      </c>
      <c r="C10" s="92">
        <v>46632</v>
      </c>
      <c r="D10" s="82" t="s">
        <v>230</v>
      </c>
      <c r="E10" s="84">
        <v>3059</v>
      </c>
      <c r="F10" s="84">
        <v>764</v>
      </c>
      <c r="G10" s="84">
        <v>764</v>
      </c>
      <c r="H10" s="84">
        <v>764</v>
      </c>
      <c r="I10" s="84">
        <v>767</v>
      </c>
      <c r="J10" s="84">
        <v>764</v>
      </c>
      <c r="K10" s="84">
        <v>764</v>
      </c>
      <c r="L10" s="84">
        <v>764</v>
      </c>
      <c r="M10" s="84">
        <v>767</v>
      </c>
      <c r="N10" s="82">
        <f t="shared" si="0"/>
        <v>0</v>
      </c>
      <c r="O10" s="82" t="s">
        <v>2307</v>
      </c>
      <c r="P10" s="82" t="s">
        <v>2308</v>
      </c>
    </row>
    <row r="11" spans="1:16" ht="31.95" customHeight="1">
      <c r="A11" s="83" t="s">
        <v>2314</v>
      </c>
      <c r="B11" s="83" t="s">
        <v>2315</v>
      </c>
      <c r="C11" s="93">
        <v>46640</v>
      </c>
      <c r="D11" s="83" t="s">
        <v>219</v>
      </c>
      <c r="E11" s="85">
        <v>3914</v>
      </c>
      <c r="F11" s="85">
        <v>978</v>
      </c>
      <c r="G11" s="85">
        <v>978</v>
      </c>
      <c r="H11" s="85">
        <v>978</v>
      </c>
      <c r="I11" s="85">
        <v>980</v>
      </c>
      <c r="J11" s="85">
        <v>978</v>
      </c>
      <c r="K11" s="85">
        <v>978</v>
      </c>
      <c r="L11" s="85">
        <v>978</v>
      </c>
      <c r="M11" s="85">
        <v>980</v>
      </c>
      <c r="N11" s="83">
        <f t="shared" si="0"/>
        <v>0</v>
      </c>
      <c r="O11" s="83" t="s">
        <v>2307</v>
      </c>
      <c r="P11" s="83" t="s">
        <v>2316</v>
      </c>
    </row>
    <row r="12" spans="1:16" ht="31.95" customHeight="1">
      <c r="A12" s="82" t="s">
        <v>2317</v>
      </c>
      <c r="B12" s="82" t="s">
        <v>2315</v>
      </c>
      <c r="C12" s="92">
        <v>46640</v>
      </c>
      <c r="D12" s="82" t="s">
        <v>224</v>
      </c>
      <c r="E12" s="84">
        <v>9785</v>
      </c>
      <c r="F12" s="84">
        <v>2446</v>
      </c>
      <c r="G12" s="84">
        <v>2446</v>
      </c>
      <c r="H12" s="84">
        <v>2446</v>
      </c>
      <c r="I12" s="84">
        <v>2447</v>
      </c>
      <c r="J12" s="84">
        <v>2446</v>
      </c>
      <c r="K12" s="84">
        <v>2566</v>
      </c>
      <c r="L12" s="84">
        <v>2446</v>
      </c>
      <c r="M12" s="84">
        <v>2327</v>
      </c>
      <c r="N12" s="82">
        <f t="shared" si="0"/>
        <v>0</v>
      </c>
      <c r="O12" s="82" t="s">
        <v>2310</v>
      </c>
      <c r="P12" s="82" t="s">
        <v>2316</v>
      </c>
    </row>
    <row r="13" spans="1:16" ht="31.95" customHeight="1">
      <c r="A13" s="83" t="s">
        <v>2318</v>
      </c>
      <c r="B13" s="83" t="s">
        <v>2315</v>
      </c>
      <c r="C13" s="93">
        <v>46640</v>
      </c>
      <c r="D13" s="83" t="s">
        <v>226</v>
      </c>
      <c r="E13" s="85">
        <v>6118</v>
      </c>
      <c r="F13" s="85">
        <v>1529</v>
      </c>
      <c r="G13" s="85">
        <v>1529</v>
      </c>
      <c r="H13" s="85">
        <v>1529</v>
      </c>
      <c r="I13" s="85">
        <v>1531</v>
      </c>
      <c r="J13" s="85">
        <v>1529</v>
      </c>
      <c r="K13" s="85">
        <v>1529</v>
      </c>
      <c r="L13" s="85">
        <v>1529</v>
      </c>
      <c r="M13" s="85">
        <v>1531</v>
      </c>
      <c r="N13" s="83">
        <f t="shared" si="0"/>
        <v>0</v>
      </c>
      <c r="O13" s="83" t="s">
        <v>2307</v>
      </c>
      <c r="P13" s="83" t="s">
        <v>2316</v>
      </c>
    </row>
    <row r="14" spans="1:16" ht="31.95" customHeight="1">
      <c r="A14" s="82" t="s">
        <v>2319</v>
      </c>
      <c r="B14" s="82" t="s">
        <v>2315</v>
      </c>
      <c r="C14" s="92">
        <v>46640</v>
      </c>
      <c r="D14" s="82" t="s">
        <v>228</v>
      </c>
      <c r="E14" s="84">
        <v>5202</v>
      </c>
      <c r="F14" s="84">
        <v>1300</v>
      </c>
      <c r="G14" s="84">
        <v>1300</v>
      </c>
      <c r="H14" s="84">
        <v>1300</v>
      </c>
      <c r="I14" s="84">
        <v>1302</v>
      </c>
      <c r="J14" s="84">
        <v>1300</v>
      </c>
      <c r="K14" s="84">
        <v>1300</v>
      </c>
      <c r="L14" s="84">
        <v>1300</v>
      </c>
      <c r="M14" s="84">
        <v>1302</v>
      </c>
      <c r="N14" s="82">
        <f t="shared" si="0"/>
        <v>0</v>
      </c>
      <c r="O14" s="82" t="s">
        <v>2307</v>
      </c>
      <c r="P14" s="82" t="s">
        <v>2316</v>
      </c>
    </row>
    <row r="15" spans="1:16" ht="31.95" customHeight="1">
      <c r="A15" s="83" t="s">
        <v>2320</v>
      </c>
      <c r="B15" s="83" t="s">
        <v>2315</v>
      </c>
      <c r="C15" s="93">
        <v>46640</v>
      </c>
      <c r="D15" s="83" t="s">
        <v>230</v>
      </c>
      <c r="E15" s="85">
        <v>3059</v>
      </c>
      <c r="F15" s="85">
        <v>764</v>
      </c>
      <c r="G15" s="85">
        <v>764</v>
      </c>
      <c r="H15" s="85">
        <v>764</v>
      </c>
      <c r="I15" s="85">
        <v>767</v>
      </c>
      <c r="J15" s="85">
        <v>764</v>
      </c>
      <c r="K15" s="85">
        <v>764</v>
      </c>
      <c r="L15" s="85">
        <v>764</v>
      </c>
      <c r="M15" s="85">
        <v>767</v>
      </c>
      <c r="N15" s="83">
        <f t="shared" si="0"/>
        <v>0</v>
      </c>
      <c r="O15" s="83" t="s">
        <v>2307</v>
      </c>
      <c r="P15" s="83" t="s">
        <v>2316</v>
      </c>
    </row>
  </sheetData>
  <phoneticPr fontId="30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BB2C2"/>
  </sheetPr>
  <dimension ref="A1:P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2" width="19" customWidth="1"/>
    <col min="3" max="3" width="17" customWidth="1"/>
    <col min="4" max="6" width="24" customWidth="1"/>
    <col min="7" max="8" width="20" customWidth="1"/>
    <col min="9" max="9" width="16" customWidth="1"/>
    <col min="10" max="10" width="19" customWidth="1"/>
    <col min="11" max="11" width="22" customWidth="1"/>
    <col min="12" max="12" width="81" customWidth="1"/>
    <col min="13" max="13" width="20" customWidth="1"/>
    <col min="14" max="15" width="18" customWidth="1"/>
    <col min="16" max="16" width="20" customWidth="1"/>
  </cols>
  <sheetData>
    <row r="1" spans="1:16" ht="28.95" customHeight="1">
      <c r="A1" s="80" t="s">
        <v>2321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 ht="25.95" customHeight="1">
      <c r="A3" s="79" t="s">
        <v>2322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6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</row>
    <row r="5" spans="1:16" ht="36" customHeight="1">
      <c r="A5" s="81" t="s">
        <v>2323</v>
      </c>
      <c r="B5" s="81" t="s">
        <v>2324</v>
      </c>
      <c r="C5" s="81" t="s">
        <v>190</v>
      </c>
      <c r="D5" s="81" t="s">
        <v>2325</v>
      </c>
      <c r="E5" s="81" t="s">
        <v>2326</v>
      </c>
      <c r="F5" s="81" t="s">
        <v>2327</v>
      </c>
      <c r="G5" s="81" t="s">
        <v>2328</v>
      </c>
      <c r="H5" s="81" t="s">
        <v>1695</v>
      </c>
      <c r="I5" s="81" t="s">
        <v>2329</v>
      </c>
      <c r="J5" s="81" t="s">
        <v>2330</v>
      </c>
      <c r="K5" s="81" t="s">
        <v>2331</v>
      </c>
      <c r="L5" s="81" t="s">
        <v>2332</v>
      </c>
      <c r="M5" s="81" t="s">
        <v>1698</v>
      </c>
      <c r="N5" s="81" t="s">
        <v>2333</v>
      </c>
      <c r="O5" s="81" t="s">
        <v>2334</v>
      </c>
      <c r="P5" s="81" t="s">
        <v>2335</v>
      </c>
    </row>
    <row r="6" spans="1:16" ht="31.95" customHeight="1">
      <c r="A6" s="82" t="s">
        <v>2336</v>
      </c>
      <c r="B6" s="82" t="s">
        <v>2306</v>
      </c>
      <c r="C6" s="82" t="s">
        <v>224</v>
      </c>
      <c r="D6" s="86">
        <v>46632.375</v>
      </c>
      <c r="E6" s="86">
        <v>46632.392361111109</v>
      </c>
      <c r="F6" s="86">
        <v>46632.423611111109</v>
      </c>
      <c r="G6" s="82" t="s">
        <v>959</v>
      </c>
      <c r="H6" s="82" t="s">
        <v>963</v>
      </c>
      <c r="I6" s="84">
        <v>0</v>
      </c>
      <c r="J6" s="82" t="s">
        <v>2337</v>
      </c>
      <c r="K6" s="82" t="s">
        <v>2338</v>
      </c>
      <c r="L6" s="82" t="s">
        <v>2339</v>
      </c>
      <c r="M6" s="82" t="s">
        <v>2308</v>
      </c>
      <c r="N6" s="82">
        <f t="shared" ref="N6:N11" si="0">ROUND((E6-D6)*1440,0)</f>
        <v>25</v>
      </c>
      <c r="O6" s="82">
        <f t="shared" ref="O6:O11" si="1">IF(F6="","미확인",ROUND((F6-E6)*1440,0))</f>
        <v>45</v>
      </c>
      <c r="P6" s="97" t="str">
        <f>IF(NOT(ISNUMBER(O6)),"미확인",IF(O6&gt;SC05설정!$B$10,"지연","기준내"))</f>
        <v>기준내</v>
      </c>
    </row>
    <row r="7" spans="1:16" ht="31.95" customHeight="1">
      <c r="A7" s="83" t="s">
        <v>2340</v>
      </c>
      <c r="B7" s="83" t="s">
        <v>2315</v>
      </c>
      <c r="C7" s="83" t="s">
        <v>224</v>
      </c>
      <c r="D7" s="87">
        <v>46640.375</v>
      </c>
      <c r="E7" s="87">
        <v>46640.388888888891</v>
      </c>
      <c r="F7" s="87">
        <v>46640.416666666664</v>
      </c>
      <c r="G7" s="83" t="s">
        <v>959</v>
      </c>
      <c r="H7" s="83" t="s">
        <v>963</v>
      </c>
      <c r="I7" s="85">
        <v>0</v>
      </c>
      <c r="J7" s="83" t="s">
        <v>2341</v>
      </c>
      <c r="K7" s="83" t="s">
        <v>2342</v>
      </c>
      <c r="L7" s="83" t="s">
        <v>2343</v>
      </c>
      <c r="M7" s="83" t="s">
        <v>2316</v>
      </c>
      <c r="N7" s="83">
        <f t="shared" si="0"/>
        <v>20</v>
      </c>
      <c r="O7" s="83">
        <f t="shared" si="1"/>
        <v>40</v>
      </c>
      <c r="P7" s="98" t="str">
        <f>IF(NOT(ISNUMBER(O7)),"미확인",IF(O7&gt;SC05설정!$B$10,"지연","기준내"))</f>
        <v>기준내</v>
      </c>
    </row>
    <row r="8" spans="1:16" ht="31.95" customHeight="1">
      <c r="A8" s="82" t="s">
        <v>2344</v>
      </c>
      <c r="B8" s="82" t="s">
        <v>2306</v>
      </c>
      <c r="C8" s="82" t="s">
        <v>224</v>
      </c>
      <c r="D8" s="86">
        <v>46644.416666666664</v>
      </c>
      <c r="E8" s="86">
        <v>46644.4375</v>
      </c>
      <c r="F8" s="86">
        <v>46644.46875</v>
      </c>
      <c r="G8" s="82" t="s">
        <v>959</v>
      </c>
      <c r="H8" s="82" t="s">
        <v>2345</v>
      </c>
      <c r="I8" s="84">
        <v>1</v>
      </c>
      <c r="J8" s="82" t="s">
        <v>2337</v>
      </c>
      <c r="K8" s="82" t="s">
        <v>2346</v>
      </c>
      <c r="L8" s="82" t="s">
        <v>2347</v>
      </c>
      <c r="M8" s="82" t="s">
        <v>2191</v>
      </c>
      <c r="N8" s="82">
        <f t="shared" si="0"/>
        <v>30</v>
      </c>
      <c r="O8" s="82">
        <f t="shared" si="1"/>
        <v>45</v>
      </c>
      <c r="P8" s="97" t="str">
        <f>IF(NOT(ISNUMBER(O8)),"미확인",IF(O8&gt;SC05설정!$B$10,"지연","기준내"))</f>
        <v>기준내</v>
      </c>
    </row>
    <row r="9" spans="1:16" ht="31.95" customHeight="1">
      <c r="A9" s="83" t="s">
        <v>2348</v>
      </c>
      <c r="B9" s="83" t="s">
        <v>2315</v>
      </c>
      <c r="C9" s="83" t="s">
        <v>224</v>
      </c>
      <c r="D9" s="87">
        <v>46647.375</v>
      </c>
      <c r="E9" s="87">
        <v>46647.395833333336</v>
      </c>
      <c r="F9" s="87">
        <v>46647.5</v>
      </c>
      <c r="G9" s="83" t="s">
        <v>959</v>
      </c>
      <c r="H9" s="83" t="s">
        <v>963</v>
      </c>
      <c r="I9" s="85">
        <v>0</v>
      </c>
      <c r="J9" s="83" t="s">
        <v>2341</v>
      </c>
      <c r="K9" s="83" t="s">
        <v>2349</v>
      </c>
      <c r="L9" s="83" t="s">
        <v>2350</v>
      </c>
      <c r="M9" s="83" t="s">
        <v>2351</v>
      </c>
      <c r="N9" s="83">
        <f t="shared" si="0"/>
        <v>30</v>
      </c>
      <c r="O9" s="83">
        <f t="shared" si="1"/>
        <v>150</v>
      </c>
      <c r="P9" s="98" t="str">
        <f>IF(NOT(ISNUMBER(O9)),"미확인",IF(O9&gt;SC05설정!$B$10,"지연","기준내"))</f>
        <v>지연</v>
      </c>
    </row>
    <row r="10" spans="1:16" ht="31.95" customHeight="1">
      <c r="A10" s="82" t="s">
        <v>2352</v>
      </c>
      <c r="B10" s="82" t="s">
        <v>2306</v>
      </c>
      <c r="C10" s="82" t="s">
        <v>224</v>
      </c>
      <c r="D10" s="86">
        <v>46651.375</v>
      </c>
      <c r="E10" s="86">
        <v>46651.385416666664</v>
      </c>
      <c r="F10" s="86">
        <v>46651.416666666664</v>
      </c>
      <c r="G10" s="82" t="s">
        <v>959</v>
      </c>
      <c r="H10" s="82" t="s">
        <v>963</v>
      </c>
      <c r="I10" s="84">
        <v>0</v>
      </c>
      <c r="J10" s="82" t="s">
        <v>2337</v>
      </c>
      <c r="K10" s="82" t="s">
        <v>2353</v>
      </c>
      <c r="L10" s="82" t="s">
        <v>2354</v>
      </c>
      <c r="M10" s="82" t="s">
        <v>2308</v>
      </c>
      <c r="N10" s="82">
        <f t="shared" si="0"/>
        <v>15</v>
      </c>
      <c r="O10" s="82">
        <f t="shared" si="1"/>
        <v>45</v>
      </c>
      <c r="P10" s="97" t="str">
        <f>IF(NOT(ISNUMBER(O10)),"미확인",IF(O10&gt;SC05설정!$B$10,"지연","기준내"))</f>
        <v>기준내</v>
      </c>
    </row>
    <row r="11" spans="1:16" ht="31.95" customHeight="1">
      <c r="A11" s="83" t="s">
        <v>2355</v>
      </c>
      <c r="B11" s="83" t="s">
        <v>2315</v>
      </c>
      <c r="C11" s="83" t="s">
        <v>224</v>
      </c>
      <c r="D11" s="87">
        <v>46658.375</v>
      </c>
      <c r="E11" s="87">
        <v>46658.402777777781</v>
      </c>
      <c r="F11" s="87">
        <v>46658.4375</v>
      </c>
      <c r="G11" s="83" t="s">
        <v>959</v>
      </c>
      <c r="H11" s="83" t="s">
        <v>963</v>
      </c>
      <c r="I11" s="85">
        <v>0</v>
      </c>
      <c r="J11" s="83" t="s">
        <v>2341</v>
      </c>
      <c r="K11" s="83" t="s">
        <v>2356</v>
      </c>
      <c r="L11" s="83" t="s">
        <v>2357</v>
      </c>
      <c r="M11" s="83" t="s">
        <v>2351</v>
      </c>
      <c r="N11" s="83">
        <f t="shared" si="0"/>
        <v>40</v>
      </c>
      <c r="O11" s="83">
        <f t="shared" si="1"/>
        <v>50</v>
      </c>
      <c r="P11" s="98" t="str">
        <f>IF(NOT(ISNUMBER(O11)),"미확인",IF(O11&gt;SC05설정!$B$10,"지연","기준내"))</f>
        <v>기준내</v>
      </c>
    </row>
  </sheetData>
  <phoneticPr fontId="30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9BB2C2"/>
  </sheetPr>
  <dimension ref="A1:S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3" customWidth="1"/>
    <col min="2" max="2" width="18" customWidth="1"/>
    <col min="3" max="3" width="17" customWidth="1"/>
    <col min="4" max="4" width="20" customWidth="1"/>
    <col min="5" max="5" width="19" customWidth="1"/>
    <col min="6" max="7" width="17" customWidth="1"/>
    <col min="8" max="9" width="22" customWidth="1"/>
    <col min="10" max="10" width="23" customWidth="1"/>
    <col min="11" max="12" width="24" customWidth="1"/>
    <col min="13" max="13" width="20" customWidth="1"/>
    <col min="14" max="14" width="24" customWidth="1"/>
    <col min="15" max="16" width="17" customWidth="1"/>
    <col min="17" max="17" width="22" customWidth="1"/>
    <col min="18" max="18" width="58" customWidth="1"/>
    <col min="19" max="19" width="20" customWidth="1"/>
  </cols>
  <sheetData>
    <row r="1" spans="1:19" ht="28.95" customHeight="1">
      <c r="A1" s="80" t="s">
        <v>2358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</row>
    <row r="2" spans="1:19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spans="1:19" ht="25.95" customHeight="1">
      <c r="A3" s="79" t="s">
        <v>2359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</row>
    <row r="4" spans="1:19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</row>
    <row r="5" spans="1:19" ht="36" customHeight="1">
      <c r="A5" s="81" t="s">
        <v>2360</v>
      </c>
      <c r="B5" s="81" t="s">
        <v>165</v>
      </c>
      <c r="C5" s="81" t="s">
        <v>190</v>
      </c>
      <c r="D5" s="81" t="s">
        <v>335</v>
      </c>
      <c r="E5" s="81" t="s">
        <v>2361</v>
      </c>
      <c r="F5" s="81" t="s">
        <v>2362</v>
      </c>
      <c r="G5" s="81" t="s">
        <v>2363</v>
      </c>
      <c r="H5" s="81" t="s">
        <v>2364</v>
      </c>
      <c r="I5" s="81" t="s">
        <v>2365</v>
      </c>
      <c r="J5" s="81" t="s">
        <v>2366</v>
      </c>
      <c r="K5" s="81" t="s">
        <v>2367</v>
      </c>
      <c r="L5" s="81" t="s">
        <v>2368</v>
      </c>
      <c r="M5" s="81" t="s">
        <v>2369</v>
      </c>
      <c r="N5" s="81" t="s">
        <v>2370</v>
      </c>
      <c r="O5" s="81" t="s">
        <v>2371</v>
      </c>
      <c r="P5" s="81" t="s">
        <v>2372</v>
      </c>
      <c r="Q5" s="81" t="s">
        <v>2335</v>
      </c>
      <c r="R5" s="81" t="s">
        <v>2373</v>
      </c>
      <c r="S5" s="81" t="s">
        <v>1598</v>
      </c>
    </row>
    <row r="6" spans="1:19" ht="31.95" customHeight="1">
      <c r="A6" s="82" t="s">
        <v>2338</v>
      </c>
      <c r="B6" s="88">
        <v>46631</v>
      </c>
      <c r="C6" s="82" t="s">
        <v>224</v>
      </c>
      <c r="D6" s="82" t="s">
        <v>341</v>
      </c>
      <c r="E6" s="82" t="s">
        <v>2336</v>
      </c>
      <c r="F6" s="84">
        <v>164</v>
      </c>
      <c r="G6" s="84">
        <v>0</v>
      </c>
      <c r="H6" s="90">
        <v>0</v>
      </c>
      <c r="I6" s="90">
        <v>0</v>
      </c>
      <c r="J6" s="94">
        <f t="shared" ref="J6:J37" si="0">H6+I6</f>
        <v>0</v>
      </c>
      <c r="K6" s="86">
        <v>46632.583333333336</v>
      </c>
      <c r="L6" s="86">
        <v>46632.625</v>
      </c>
      <c r="M6" s="82"/>
      <c r="N6" s="101"/>
      <c r="O6" s="84">
        <v>0</v>
      </c>
      <c r="P6" s="84">
        <v>0</v>
      </c>
      <c r="Q6" s="82" t="s">
        <v>948</v>
      </c>
      <c r="R6" s="82" t="s">
        <v>2374</v>
      </c>
      <c r="S6" s="82" t="s">
        <v>2308</v>
      </c>
    </row>
    <row r="7" spans="1:19" ht="31.95" customHeight="1">
      <c r="A7" s="83" t="s">
        <v>2375</v>
      </c>
      <c r="B7" s="89">
        <v>46631</v>
      </c>
      <c r="C7" s="83" t="s">
        <v>224</v>
      </c>
      <c r="D7" s="83" t="s">
        <v>341</v>
      </c>
      <c r="E7" s="83"/>
      <c r="F7" s="85">
        <v>164</v>
      </c>
      <c r="G7" s="85">
        <v>0</v>
      </c>
      <c r="H7" s="91">
        <v>0</v>
      </c>
      <c r="I7" s="91">
        <v>0</v>
      </c>
      <c r="J7" s="95">
        <f t="shared" si="0"/>
        <v>0</v>
      </c>
      <c r="K7" s="87">
        <v>46632.583333333336</v>
      </c>
      <c r="L7" s="87">
        <v>46632.625</v>
      </c>
      <c r="M7" s="83"/>
      <c r="N7" s="96"/>
      <c r="O7" s="85">
        <v>0</v>
      </c>
      <c r="P7" s="85">
        <v>0</v>
      </c>
      <c r="Q7" s="83" t="s">
        <v>948</v>
      </c>
      <c r="R7" s="83" t="s">
        <v>2374</v>
      </c>
      <c r="S7" s="83" t="s">
        <v>2308</v>
      </c>
    </row>
    <row r="8" spans="1:19" ht="31.95" customHeight="1">
      <c r="A8" s="82" t="s">
        <v>2376</v>
      </c>
      <c r="B8" s="88">
        <v>46631</v>
      </c>
      <c r="C8" s="82" t="s">
        <v>224</v>
      </c>
      <c r="D8" s="82" t="s">
        <v>341</v>
      </c>
      <c r="E8" s="82"/>
      <c r="F8" s="84">
        <v>164</v>
      </c>
      <c r="G8" s="84">
        <v>0</v>
      </c>
      <c r="H8" s="90">
        <v>0</v>
      </c>
      <c r="I8" s="90">
        <v>0</v>
      </c>
      <c r="J8" s="94">
        <f t="shared" si="0"/>
        <v>0</v>
      </c>
      <c r="K8" s="86">
        <v>46632.583333333336</v>
      </c>
      <c r="L8" s="86">
        <v>46632.625</v>
      </c>
      <c r="M8" s="82"/>
      <c r="N8" s="101"/>
      <c r="O8" s="84">
        <v>0</v>
      </c>
      <c r="P8" s="84">
        <v>0</v>
      </c>
      <c r="Q8" s="82" t="s">
        <v>948</v>
      </c>
      <c r="R8" s="82" t="s">
        <v>2374</v>
      </c>
      <c r="S8" s="82" t="s">
        <v>2308</v>
      </c>
    </row>
    <row r="9" spans="1:19" ht="31.95" customHeight="1">
      <c r="A9" s="83" t="s">
        <v>2377</v>
      </c>
      <c r="B9" s="89">
        <v>46631</v>
      </c>
      <c r="C9" s="83" t="s">
        <v>224</v>
      </c>
      <c r="D9" s="83" t="s">
        <v>341</v>
      </c>
      <c r="E9" s="83"/>
      <c r="F9" s="85">
        <v>164</v>
      </c>
      <c r="G9" s="85">
        <v>0</v>
      </c>
      <c r="H9" s="91">
        <v>0</v>
      </c>
      <c r="I9" s="91">
        <v>0</v>
      </c>
      <c r="J9" s="95">
        <f t="shared" si="0"/>
        <v>0</v>
      </c>
      <c r="K9" s="87">
        <v>46633.583333333336</v>
      </c>
      <c r="L9" s="87">
        <v>46633.625</v>
      </c>
      <c r="M9" s="83"/>
      <c r="N9" s="96"/>
      <c r="O9" s="85">
        <v>0</v>
      </c>
      <c r="P9" s="85">
        <v>0</v>
      </c>
      <c r="Q9" s="83" t="s">
        <v>948</v>
      </c>
      <c r="R9" s="83" t="s">
        <v>2374</v>
      </c>
      <c r="S9" s="83" t="s">
        <v>2308</v>
      </c>
    </row>
    <row r="10" spans="1:19" ht="31.95" customHeight="1">
      <c r="A10" s="82" t="s">
        <v>2378</v>
      </c>
      <c r="B10" s="88">
        <v>46631</v>
      </c>
      <c r="C10" s="82" t="s">
        <v>224</v>
      </c>
      <c r="D10" s="82" t="s">
        <v>341</v>
      </c>
      <c r="E10" s="82"/>
      <c r="F10" s="84">
        <v>164</v>
      </c>
      <c r="G10" s="84">
        <v>0</v>
      </c>
      <c r="H10" s="90">
        <v>0</v>
      </c>
      <c r="I10" s="90">
        <v>0</v>
      </c>
      <c r="J10" s="94">
        <f t="shared" si="0"/>
        <v>0</v>
      </c>
      <c r="K10" s="86">
        <v>46633.583333333336</v>
      </c>
      <c r="L10" s="86">
        <v>46633.625</v>
      </c>
      <c r="M10" s="82"/>
      <c r="N10" s="101"/>
      <c r="O10" s="84">
        <v>0</v>
      </c>
      <c r="P10" s="84">
        <v>0</v>
      </c>
      <c r="Q10" s="82" t="s">
        <v>948</v>
      </c>
      <c r="R10" s="82" t="s">
        <v>2374</v>
      </c>
      <c r="S10" s="82" t="s">
        <v>2308</v>
      </c>
    </row>
    <row r="11" spans="1:19" ht="31.95" customHeight="1">
      <c r="A11" s="83" t="s">
        <v>2379</v>
      </c>
      <c r="B11" s="89">
        <v>46631</v>
      </c>
      <c r="C11" s="83" t="s">
        <v>224</v>
      </c>
      <c r="D11" s="83" t="s">
        <v>341</v>
      </c>
      <c r="E11" s="83"/>
      <c r="F11" s="85">
        <v>163</v>
      </c>
      <c r="G11" s="85">
        <v>0</v>
      </c>
      <c r="H11" s="91">
        <v>0</v>
      </c>
      <c r="I11" s="91">
        <v>0</v>
      </c>
      <c r="J11" s="95">
        <f t="shared" si="0"/>
        <v>0</v>
      </c>
      <c r="K11" s="87">
        <v>46633.583333333336</v>
      </c>
      <c r="L11" s="87">
        <v>46633.625</v>
      </c>
      <c r="M11" s="83"/>
      <c r="N11" s="96"/>
      <c r="O11" s="85">
        <v>0</v>
      </c>
      <c r="P11" s="85">
        <v>0</v>
      </c>
      <c r="Q11" s="83" t="s">
        <v>948</v>
      </c>
      <c r="R11" s="83" t="s">
        <v>2374</v>
      </c>
      <c r="S11" s="83" t="s">
        <v>2308</v>
      </c>
    </row>
    <row r="12" spans="1:19" ht="31.95" customHeight="1">
      <c r="A12" s="82" t="s">
        <v>2380</v>
      </c>
      <c r="B12" s="88">
        <v>46631</v>
      </c>
      <c r="C12" s="82" t="s">
        <v>224</v>
      </c>
      <c r="D12" s="82" t="s">
        <v>341</v>
      </c>
      <c r="E12" s="82"/>
      <c r="F12" s="84">
        <v>163</v>
      </c>
      <c r="G12" s="84">
        <v>0</v>
      </c>
      <c r="H12" s="90">
        <v>0</v>
      </c>
      <c r="I12" s="90">
        <v>0</v>
      </c>
      <c r="J12" s="94">
        <f t="shared" si="0"/>
        <v>0</v>
      </c>
      <c r="K12" s="86">
        <v>46636.583333333336</v>
      </c>
      <c r="L12" s="86">
        <v>46636.625</v>
      </c>
      <c r="M12" s="82"/>
      <c r="N12" s="101"/>
      <c r="O12" s="84">
        <v>0</v>
      </c>
      <c r="P12" s="84">
        <v>0</v>
      </c>
      <c r="Q12" s="82" t="s">
        <v>948</v>
      </c>
      <c r="R12" s="82" t="s">
        <v>2374</v>
      </c>
      <c r="S12" s="82" t="s">
        <v>2308</v>
      </c>
    </row>
    <row r="13" spans="1:19" ht="31.95" customHeight="1">
      <c r="A13" s="83" t="s">
        <v>2381</v>
      </c>
      <c r="B13" s="89">
        <v>46631</v>
      </c>
      <c r="C13" s="83" t="s">
        <v>224</v>
      </c>
      <c r="D13" s="83" t="s">
        <v>341</v>
      </c>
      <c r="E13" s="83"/>
      <c r="F13" s="85">
        <v>163</v>
      </c>
      <c r="G13" s="85">
        <v>0</v>
      </c>
      <c r="H13" s="91">
        <v>0</v>
      </c>
      <c r="I13" s="91">
        <v>0</v>
      </c>
      <c r="J13" s="95">
        <f t="shared" si="0"/>
        <v>0</v>
      </c>
      <c r="K13" s="87">
        <v>46636.583333333336</v>
      </c>
      <c r="L13" s="87">
        <v>46636.625</v>
      </c>
      <c r="M13" s="83"/>
      <c r="N13" s="96"/>
      <c r="O13" s="85">
        <v>0</v>
      </c>
      <c r="P13" s="85">
        <v>0</v>
      </c>
      <c r="Q13" s="83" t="s">
        <v>948</v>
      </c>
      <c r="R13" s="83" t="s">
        <v>2374</v>
      </c>
      <c r="S13" s="83" t="s">
        <v>2308</v>
      </c>
    </row>
    <row r="14" spans="1:19" ht="31.95" customHeight="1">
      <c r="A14" s="82" t="s">
        <v>2382</v>
      </c>
      <c r="B14" s="88">
        <v>46631</v>
      </c>
      <c r="C14" s="82" t="s">
        <v>224</v>
      </c>
      <c r="D14" s="82" t="s">
        <v>341</v>
      </c>
      <c r="E14" s="82"/>
      <c r="F14" s="84">
        <v>163</v>
      </c>
      <c r="G14" s="84">
        <v>0</v>
      </c>
      <c r="H14" s="90">
        <v>0</v>
      </c>
      <c r="I14" s="90">
        <v>0</v>
      </c>
      <c r="J14" s="94">
        <f t="shared" si="0"/>
        <v>0</v>
      </c>
      <c r="K14" s="86">
        <v>46636.583333333336</v>
      </c>
      <c r="L14" s="86">
        <v>46636.625</v>
      </c>
      <c r="M14" s="82"/>
      <c r="N14" s="101"/>
      <c r="O14" s="84">
        <v>0</v>
      </c>
      <c r="P14" s="84">
        <v>0</v>
      </c>
      <c r="Q14" s="82" t="s">
        <v>948</v>
      </c>
      <c r="R14" s="82" t="s">
        <v>2374</v>
      </c>
      <c r="S14" s="82" t="s">
        <v>2308</v>
      </c>
    </row>
    <row r="15" spans="1:19" ht="31.95" customHeight="1">
      <c r="A15" s="83" t="s">
        <v>2342</v>
      </c>
      <c r="B15" s="89">
        <v>46631</v>
      </c>
      <c r="C15" s="83" t="s">
        <v>224</v>
      </c>
      <c r="D15" s="83" t="s">
        <v>341</v>
      </c>
      <c r="E15" s="83" t="s">
        <v>2340</v>
      </c>
      <c r="F15" s="85">
        <v>163</v>
      </c>
      <c r="G15" s="85">
        <v>1</v>
      </c>
      <c r="H15" s="91">
        <v>900000</v>
      </c>
      <c r="I15" s="91">
        <v>300000</v>
      </c>
      <c r="J15" s="95">
        <f t="shared" si="0"/>
        <v>1200000</v>
      </c>
      <c r="K15" s="87">
        <v>46640.583333333336</v>
      </c>
      <c r="L15" s="87">
        <v>46640.625</v>
      </c>
      <c r="M15" s="83" t="s">
        <v>1532</v>
      </c>
      <c r="N15" s="87">
        <v>46640.541666666664</v>
      </c>
      <c r="O15" s="85">
        <v>0</v>
      </c>
      <c r="P15" s="85">
        <v>0</v>
      </c>
      <c r="Q15" s="83" t="s">
        <v>948</v>
      </c>
      <c r="R15" s="83" t="s">
        <v>2383</v>
      </c>
      <c r="S15" s="83" t="s">
        <v>2351</v>
      </c>
    </row>
    <row r="16" spans="1:19" ht="31.95" customHeight="1">
      <c r="A16" s="82" t="s">
        <v>2384</v>
      </c>
      <c r="B16" s="88">
        <v>46631</v>
      </c>
      <c r="C16" s="82" t="s">
        <v>224</v>
      </c>
      <c r="D16" s="82" t="s">
        <v>341</v>
      </c>
      <c r="E16" s="82"/>
      <c r="F16" s="84">
        <v>163</v>
      </c>
      <c r="G16" s="84">
        <v>0</v>
      </c>
      <c r="H16" s="90">
        <v>0</v>
      </c>
      <c r="I16" s="90">
        <v>0</v>
      </c>
      <c r="J16" s="94">
        <f t="shared" si="0"/>
        <v>0</v>
      </c>
      <c r="K16" s="86">
        <v>46637.583333333336</v>
      </c>
      <c r="L16" s="86">
        <v>46637.625</v>
      </c>
      <c r="M16" s="82"/>
      <c r="N16" s="101"/>
      <c r="O16" s="84">
        <v>0</v>
      </c>
      <c r="P16" s="84">
        <v>0</v>
      </c>
      <c r="Q16" s="82" t="s">
        <v>948</v>
      </c>
      <c r="R16" s="82" t="s">
        <v>2374</v>
      </c>
      <c r="S16" s="82" t="s">
        <v>2308</v>
      </c>
    </row>
    <row r="17" spans="1:19" ht="31.95" customHeight="1">
      <c r="A17" s="83" t="s">
        <v>2385</v>
      </c>
      <c r="B17" s="89">
        <v>46631</v>
      </c>
      <c r="C17" s="83" t="s">
        <v>224</v>
      </c>
      <c r="D17" s="83" t="s">
        <v>341</v>
      </c>
      <c r="E17" s="83"/>
      <c r="F17" s="85">
        <v>163</v>
      </c>
      <c r="G17" s="85">
        <v>0</v>
      </c>
      <c r="H17" s="91">
        <v>0</v>
      </c>
      <c r="I17" s="91">
        <v>0</v>
      </c>
      <c r="J17" s="95">
        <f t="shared" si="0"/>
        <v>0</v>
      </c>
      <c r="K17" s="87">
        <v>46637.583333333336</v>
      </c>
      <c r="L17" s="87">
        <v>46637.625</v>
      </c>
      <c r="M17" s="83"/>
      <c r="N17" s="96"/>
      <c r="O17" s="85">
        <v>0</v>
      </c>
      <c r="P17" s="85">
        <v>0</v>
      </c>
      <c r="Q17" s="83" t="s">
        <v>948</v>
      </c>
      <c r="R17" s="83" t="s">
        <v>2374</v>
      </c>
      <c r="S17" s="83" t="s">
        <v>2308</v>
      </c>
    </row>
    <row r="18" spans="1:19" ht="31.95" customHeight="1">
      <c r="A18" s="82" t="s">
        <v>2386</v>
      </c>
      <c r="B18" s="88">
        <v>46631</v>
      </c>
      <c r="C18" s="82" t="s">
        <v>224</v>
      </c>
      <c r="D18" s="82" t="s">
        <v>341</v>
      </c>
      <c r="E18" s="82"/>
      <c r="F18" s="84">
        <v>163</v>
      </c>
      <c r="G18" s="84">
        <v>0</v>
      </c>
      <c r="H18" s="90">
        <v>0</v>
      </c>
      <c r="I18" s="90">
        <v>0</v>
      </c>
      <c r="J18" s="94">
        <f t="shared" si="0"/>
        <v>0</v>
      </c>
      <c r="K18" s="86">
        <v>46638.583333333336</v>
      </c>
      <c r="L18" s="86">
        <v>46638.625</v>
      </c>
      <c r="M18" s="82"/>
      <c r="N18" s="101"/>
      <c r="O18" s="84">
        <v>0</v>
      </c>
      <c r="P18" s="84">
        <v>0</v>
      </c>
      <c r="Q18" s="82" t="s">
        <v>948</v>
      </c>
      <c r="R18" s="82" t="s">
        <v>2374</v>
      </c>
      <c r="S18" s="82" t="s">
        <v>2308</v>
      </c>
    </row>
    <row r="19" spans="1:19" ht="31.95" customHeight="1">
      <c r="A19" s="83" t="s">
        <v>2387</v>
      </c>
      <c r="B19" s="89">
        <v>46631</v>
      </c>
      <c r="C19" s="83" t="s">
        <v>224</v>
      </c>
      <c r="D19" s="83" t="s">
        <v>341</v>
      </c>
      <c r="E19" s="83"/>
      <c r="F19" s="85">
        <v>163</v>
      </c>
      <c r="G19" s="85">
        <v>0</v>
      </c>
      <c r="H19" s="91">
        <v>0</v>
      </c>
      <c r="I19" s="91">
        <v>0</v>
      </c>
      <c r="J19" s="95">
        <f t="shared" si="0"/>
        <v>0</v>
      </c>
      <c r="K19" s="87">
        <v>46638.583333333336</v>
      </c>
      <c r="L19" s="87">
        <v>46638.625</v>
      </c>
      <c r="M19" s="83"/>
      <c r="N19" s="96"/>
      <c r="O19" s="85">
        <v>0</v>
      </c>
      <c r="P19" s="85">
        <v>0</v>
      </c>
      <c r="Q19" s="83" t="s">
        <v>948</v>
      </c>
      <c r="R19" s="83" t="s">
        <v>2374</v>
      </c>
      <c r="S19" s="83" t="s">
        <v>2308</v>
      </c>
    </row>
    <row r="20" spans="1:19" ht="31.95" customHeight="1">
      <c r="A20" s="82" t="s">
        <v>2388</v>
      </c>
      <c r="B20" s="88">
        <v>46631</v>
      </c>
      <c r="C20" s="82" t="s">
        <v>224</v>
      </c>
      <c r="D20" s="82" t="s">
        <v>341</v>
      </c>
      <c r="E20" s="82"/>
      <c r="F20" s="84">
        <v>163</v>
      </c>
      <c r="G20" s="84">
        <v>0</v>
      </c>
      <c r="H20" s="90">
        <v>0</v>
      </c>
      <c r="I20" s="90">
        <v>0</v>
      </c>
      <c r="J20" s="94">
        <f t="shared" si="0"/>
        <v>0</v>
      </c>
      <c r="K20" s="86">
        <v>46638.583333333336</v>
      </c>
      <c r="L20" s="86">
        <v>46638.625</v>
      </c>
      <c r="M20" s="82"/>
      <c r="N20" s="101"/>
      <c r="O20" s="84">
        <v>0</v>
      </c>
      <c r="P20" s="84">
        <v>0</v>
      </c>
      <c r="Q20" s="82" t="s">
        <v>948</v>
      </c>
      <c r="R20" s="82" t="s">
        <v>2374</v>
      </c>
      <c r="S20" s="82" t="s">
        <v>2308</v>
      </c>
    </row>
    <row r="21" spans="1:19" ht="31.95" customHeight="1">
      <c r="A21" s="83" t="s">
        <v>2389</v>
      </c>
      <c r="B21" s="89">
        <v>46631</v>
      </c>
      <c r="C21" s="83" t="s">
        <v>224</v>
      </c>
      <c r="D21" s="83" t="s">
        <v>341</v>
      </c>
      <c r="E21" s="83"/>
      <c r="F21" s="85">
        <v>163</v>
      </c>
      <c r="G21" s="85">
        <v>0</v>
      </c>
      <c r="H21" s="91">
        <v>0</v>
      </c>
      <c r="I21" s="91">
        <v>0</v>
      </c>
      <c r="J21" s="95">
        <f t="shared" si="0"/>
        <v>0</v>
      </c>
      <c r="K21" s="87">
        <v>46639.583333333336</v>
      </c>
      <c r="L21" s="87">
        <v>46639.625</v>
      </c>
      <c r="M21" s="83"/>
      <c r="N21" s="96"/>
      <c r="O21" s="85">
        <v>0</v>
      </c>
      <c r="P21" s="85">
        <v>0</v>
      </c>
      <c r="Q21" s="83" t="s">
        <v>948</v>
      </c>
      <c r="R21" s="83" t="s">
        <v>2374</v>
      </c>
      <c r="S21" s="83" t="s">
        <v>2308</v>
      </c>
    </row>
    <row r="22" spans="1:19" ht="31.95" customHeight="1">
      <c r="A22" s="82" t="s">
        <v>2390</v>
      </c>
      <c r="B22" s="88">
        <v>46631</v>
      </c>
      <c r="C22" s="82" t="s">
        <v>224</v>
      </c>
      <c r="D22" s="82" t="s">
        <v>341</v>
      </c>
      <c r="E22" s="82"/>
      <c r="F22" s="84">
        <v>163</v>
      </c>
      <c r="G22" s="84">
        <v>0</v>
      </c>
      <c r="H22" s="90">
        <v>0</v>
      </c>
      <c r="I22" s="90">
        <v>0</v>
      </c>
      <c r="J22" s="94">
        <f t="shared" si="0"/>
        <v>0</v>
      </c>
      <c r="K22" s="86">
        <v>46639.583333333336</v>
      </c>
      <c r="L22" s="86">
        <v>46639.625</v>
      </c>
      <c r="M22" s="82"/>
      <c r="N22" s="101"/>
      <c r="O22" s="84">
        <v>0</v>
      </c>
      <c r="P22" s="84">
        <v>0</v>
      </c>
      <c r="Q22" s="82" t="s">
        <v>948</v>
      </c>
      <c r="R22" s="82" t="s">
        <v>2374</v>
      </c>
      <c r="S22" s="82" t="s">
        <v>2308</v>
      </c>
    </row>
    <row r="23" spans="1:19" ht="31.95" customHeight="1">
      <c r="A23" s="83" t="s">
        <v>2391</v>
      </c>
      <c r="B23" s="89">
        <v>46631</v>
      </c>
      <c r="C23" s="83" t="s">
        <v>224</v>
      </c>
      <c r="D23" s="83" t="s">
        <v>341</v>
      </c>
      <c r="E23" s="83"/>
      <c r="F23" s="85">
        <v>163</v>
      </c>
      <c r="G23" s="85">
        <v>1</v>
      </c>
      <c r="H23" s="91">
        <v>900000</v>
      </c>
      <c r="I23" s="91">
        <v>300000</v>
      </c>
      <c r="J23" s="95">
        <f t="shared" si="0"/>
        <v>1200000</v>
      </c>
      <c r="K23" s="87">
        <v>46639.583333333336</v>
      </c>
      <c r="L23" s="87">
        <v>46639.625</v>
      </c>
      <c r="M23" s="83" t="s">
        <v>1532</v>
      </c>
      <c r="N23" s="87">
        <v>46639.541666666664</v>
      </c>
      <c r="O23" s="85">
        <v>0</v>
      </c>
      <c r="P23" s="85">
        <v>0</v>
      </c>
      <c r="Q23" s="83" t="s">
        <v>948</v>
      </c>
      <c r="R23" s="83" t="s">
        <v>2383</v>
      </c>
      <c r="S23" s="83" t="s">
        <v>2351</v>
      </c>
    </row>
    <row r="24" spans="1:19" ht="31.95" customHeight="1">
      <c r="A24" s="82" t="s">
        <v>2392</v>
      </c>
      <c r="B24" s="88">
        <v>46631</v>
      </c>
      <c r="C24" s="82" t="s">
        <v>224</v>
      </c>
      <c r="D24" s="82" t="s">
        <v>341</v>
      </c>
      <c r="E24" s="82"/>
      <c r="F24" s="84">
        <v>163</v>
      </c>
      <c r="G24" s="84">
        <v>0</v>
      </c>
      <c r="H24" s="90">
        <v>0</v>
      </c>
      <c r="I24" s="90">
        <v>0</v>
      </c>
      <c r="J24" s="94">
        <f t="shared" si="0"/>
        <v>0</v>
      </c>
      <c r="K24" s="86">
        <v>46640.583333333336</v>
      </c>
      <c r="L24" s="86">
        <v>46640.625</v>
      </c>
      <c r="M24" s="82"/>
      <c r="N24" s="101"/>
      <c r="O24" s="84">
        <v>0</v>
      </c>
      <c r="P24" s="84">
        <v>0</v>
      </c>
      <c r="Q24" s="82" t="s">
        <v>948</v>
      </c>
      <c r="R24" s="82" t="s">
        <v>2374</v>
      </c>
      <c r="S24" s="82" t="s">
        <v>2308</v>
      </c>
    </row>
    <row r="25" spans="1:19" ht="31.95" customHeight="1">
      <c r="A25" s="83" t="s">
        <v>2346</v>
      </c>
      <c r="B25" s="89">
        <v>46631</v>
      </c>
      <c r="C25" s="83" t="s">
        <v>224</v>
      </c>
      <c r="D25" s="83" t="s">
        <v>341</v>
      </c>
      <c r="E25" s="83" t="s">
        <v>2344</v>
      </c>
      <c r="F25" s="85">
        <v>163</v>
      </c>
      <c r="G25" s="85">
        <v>0</v>
      </c>
      <c r="H25" s="91">
        <v>0</v>
      </c>
      <c r="I25" s="91">
        <v>0</v>
      </c>
      <c r="J25" s="95">
        <f t="shared" si="0"/>
        <v>0</v>
      </c>
      <c r="K25" s="87">
        <v>46644.583333333336</v>
      </c>
      <c r="L25" s="87">
        <v>46644.625</v>
      </c>
      <c r="M25" s="83"/>
      <c r="N25" s="96"/>
      <c r="O25" s="85">
        <v>0</v>
      </c>
      <c r="P25" s="85">
        <v>0</v>
      </c>
      <c r="Q25" s="83" t="s">
        <v>948</v>
      </c>
      <c r="R25" s="83" t="s">
        <v>2374</v>
      </c>
      <c r="S25" s="83" t="s">
        <v>2308</v>
      </c>
    </row>
    <row r="26" spans="1:19" ht="31.95" customHeight="1">
      <c r="A26" s="82" t="s">
        <v>2393</v>
      </c>
      <c r="B26" s="88">
        <v>46631</v>
      </c>
      <c r="C26" s="82" t="s">
        <v>224</v>
      </c>
      <c r="D26" s="82" t="s">
        <v>341</v>
      </c>
      <c r="E26" s="82"/>
      <c r="F26" s="84">
        <v>163</v>
      </c>
      <c r="G26" s="84">
        <v>0</v>
      </c>
      <c r="H26" s="90">
        <v>0</v>
      </c>
      <c r="I26" s="90">
        <v>0</v>
      </c>
      <c r="J26" s="94">
        <f t="shared" si="0"/>
        <v>0</v>
      </c>
      <c r="K26" s="86">
        <v>46640.583333333336</v>
      </c>
      <c r="L26" s="86">
        <v>46640.625</v>
      </c>
      <c r="M26" s="82"/>
      <c r="N26" s="101"/>
      <c r="O26" s="84">
        <v>0</v>
      </c>
      <c r="P26" s="84">
        <v>0</v>
      </c>
      <c r="Q26" s="82" t="s">
        <v>948</v>
      </c>
      <c r="R26" s="82" t="s">
        <v>2374</v>
      </c>
      <c r="S26" s="82" t="s">
        <v>2308</v>
      </c>
    </row>
    <row r="27" spans="1:19" ht="31.95" customHeight="1">
      <c r="A27" s="83" t="s">
        <v>2394</v>
      </c>
      <c r="B27" s="89">
        <v>46631</v>
      </c>
      <c r="C27" s="83" t="s">
        <v>224</v>
      </c>
      <c r="D27" s="83" t="s">
        <v>341</v>
      </c>
      <c r="E27" s="83"/>
      <c r="F27" s="85">
        <v>163</v>
      </c>
      <c r="G27" s="85">
        <v>0</v>
      </c>
      <c r="H27" s="91">
        <v>0</v>
      </c>
      <c r="I27" s="91">
        <v>0</v>
      </c>
      <c r="J27" s="95">
        <f t="shared" si="0"/>
        <v>0</v>
      </c>
      <c r="K27" s="87">
        <v>46643.583333333336</v>
      </c>
      <c r="L27" s="87">
        <v>46643.625</v>
      </c>
      <c r="M27" s="83"/>
      <c r="N27" s="96"/>
      <c r="O27" s="85">
        <v>0</v>
      </c>
      <c r="P27" s="85">
        <v>0</v>
      </c>
      <c r="Q27" s="83" t="s">
        <v>948</v>
      </c>
      <c r="R27" s="83" t="s">
        <v>2374</v>
      </c>
      <c r="S27" s="83" t="s">
        <v>2308</v>
      </c>
    </row>
    <row r="28" spans="1:19" ht="31.95" customHeight="1">
      <c r="A28" s="82" t="s">
        <v>2395</v>
      </c>
      <c r="B28" s="88">
        <v>46631</v>
      </c>
      <c r="C28" s="82" t="s">
        <v>224</v>
      </c>
      <c r="D28" s="82" t="s">
        <v>341</v>
      </c>
      <c r="E28" s="82"/>
      <c r="F28" s="84">
        <v>163</v>
      </c>
      <c r="G28" s="84">
        <v>0</v>
      </c>
      <c r="H28" s="90">
        <v>0</v>
      </c>
      <c r="I28" s="90">
        <v>0</v>
      </c>
      <c r="J28" s="94">
        <f t="shared" si="0"/>
        <v>0</v>
      </c>
      <c r="K28" s="86">
        <v>46643.583333333336</v>
      </c>
      <c r="L28" s="86">
        <v>46643.625</v>
      </c>
      <c r="M28" s="82"/>
      <c r="N28" s="101"/>
      <c r="O28" s="84">
        <v>0</v>
      </c>
      <c r="P28" s="84">
        <v>0</v>
      </c>
      <c r="Q28" s="82" t="s">
        <v>948</v>
      </c>
      <c r="R28" s="82" t="s">
        <v>2374</v>
      </c>
      <c r="S28" s="82" t="s">
        <v>2308</v>
      </c>
    </row>
    <row r="29" spans="1:19" ht="31.95" customHeight="1">
      <c r="A29" s="83" t="s">
        <v>2396</v>
      </c>
      <c r="B29" s="89">
        <v>46631</v>
      </c>
      <c r="C29" s="83" t="s">
        <v>224</v>
      </c>
      <c r="D29" s="83" t="s">
        <v>341</v>
      </c>
      <c r="E29" s="83"/>
      <c r="F29" s="85">
        <v>163</v>
      </c>
      <c r="G29" s="85">
        <v>0</v>
      </c>
      <c r="H29" s="91">
        <v>0</v>
      </c>
      <c r="I29" s="91">
        <v>0</v>
      </c>
      <c r="J29" s="95">
        <f t="shared" si="0"/>
        <v>0</v>
      </c>
      <c r="K29" s="87">
        <v>46643.583333333336</v>
      </c>
      <c r="L29" s="87">
        <v>46643.625</v>
      </c>
      <c r="M29" s="83"/>
      <c r="N29" s="96"/>
      <c r="O29" s="85">
        <v>0</v>
      </c>
      <c r="P29" s="85">
        <v>0</v>
      </c>
      <c r="Q29" s="83" t="s">
        <v>948</v>
      </c>
      <c r="R29" s="83" t="s">
        <v>2374</v>
      </c>
      <c r="S29" s="83" t="s">
        <v>2308</v>
      </c>
    </row>
    <row r="30" spans="1:19" ht="31.95" customHeight="1">
      <c r="A30" s="82" t="s">
        <v>2397</v>
      </c>
      <c r="B30" s="88">
        <v>46631</v>
      </c>
      <c r="C30" s="82" t="s">
        <v>224</v>
      </c>
      <c r="D30" s="82" t="s">
        <v>341</v>
      </c>
      <c r="E30" s="82"/>
      <c r="F30" s="84">
        <v>163</v>
      </c>
      <c r="G30" s="84">
        <v>0</v>
      </c>
      <c r="H30" s="90">
        <v>0</v>
      </c>
      <c r="I30" s="90">
        <v>0</v>
      </c>
      <c r="J30" s="94">
        <f t="shared" si="0"/>
        <v>0</v>
      </c>
      <c r="K30" s="86">
        <v>46644.583333333336</v>
      </c>
      <c r="L30" s="86">
        <v>46644.625</v>
      </c>
      <c r="M30" s="82"/>
      <c r="N30" s="101"/>
      <c r="O30" s="84">
        <v>0</v>
      </c>
      <c r="P30" s="84">
        <v>0</v>
      </c>
      <c r="Q30" s="82" t="s">
        <v>948</v>
      </c>
      <c r="R30" s="82" t="s">
        <v>2374</v>
      </c>
      <c r="S30" s="82" t="s">
        <v>2308</v>
      </c>
    </row>
    <row r="31" spans="1:19" ht="31.95" customHeight="1">
      <c r="A31" s="83" t="s">
        <v>2398</v>
      </c>
      <c r="B31" s="89">
        <v>46631</v>
      </c>
      <c r="C31" s="83" t="s">
        <v>224</v>
      </c>
      <c r="D31" s="83" t="s">
        <v>341</v>
      </c>
      <c r="E31" s="83"/>
      <c r="F31" s="85">
        <v>163</v>
      </c>
      <c r="G31" s="85">
        <v>0</v>
      </c>
      <c r="H31" s="91">
        <v>0</v>
      </c>
      <c r="I31" s="91">
        <v>0</v>
      </c>
      <c r="J31" s="95">
        <f t="shared" si="0"/>
        <v>0</v>
      </c>
      <c r="K31" s="87">
        <v>46644.583333333336</v>
      </c>
      <c r="L31" s="87">
        <v>46644.625</v>
      </c>
      <c r="M31" s="83"/>
      <c r="N31" s="96"/>
      <c r="O31" s="85">
        <v>0</v>
      </c>
      <c r="P31" s="85">
        <v>0</v>
      </c>
      <c r="Q31" s="83" t="s">
        <v>948</v>
      </c>
      <c r="R31" s="83" t="s">
        <v>2374</v>
      </c>
      <c r="S31" s="83" t="s">
        <v>2308</v>
      </c>
    </row>
    <row r="32" spans="1:19" ht="31.95" customHeight="1">
      <c r="A32" s="82" t="s">
        <v>2399</v>
      </c>
      <c r="B32" s="88">
        <v>46631</v>
      </c>
      <c r="C32" s="82" t="s">
        <v>224</v>
      </c>
      <c r="D32" s="82" t="s">
        <v>341</v>
      </c>
      <c r="E32" s="82"/>
      <c r="F32" s="84">
        <v>163</v>
      </c>
      <c r="G32" s="84">
        <v>0</v>
      </c>
      <c r="H32" s="90">
        <v>0</v>
      </c>
      <c r="I32" s="90">
        <v>0</v>
      </c>
      <c r="J32" s="94">
        <f t="shared" si="0"/>
        <v>0</v>
      </c>
      <c r="K32" s="86">
        <v>46644.583333333336</v>
      </c>
      <c r="L32" s="86">
        <v>46644.625</v>
      </c>
      <c r="M32" s="82"/>
      <c r="N32" s="101"/>
      <c r="O32" s="84">
        <v>0</v>
      </c>
      <c r="P32" s="84">
        <v>0</v>
      </c>
      <c r="Q32" s="82" t="s">
        <v>948</v>
      </c>
      <c r="R32" s="82" t="s">
        <v>2374</v>
      </c>
      <c r="S32" s="82" t="s">
        <v>2308</v>
      </c>
    </row>
    <row r="33" spans="1:19" ht="31.95" customHeight="1">
      <c r="A33" s="83" t="s">
        <v>2400</v>
      </c>
      <c r="B33" s="89">
        <v>46631</v>
      </c>
      <c r="C33" s="83" t="s">
        <v>224</v>
      </c>
      <c r="D33" s="83" t="s">
        <v>341</v>
      </c>
      <c r="E33" s="83"/>
      <c r="F33" s="85">
        <v>163</v>
      </c>
      <c r="G33" s="85">
        <v>0</v>
      </c>
      <c r="H33" s="91">
        <v>0</v>
      </c>
      <c r="I33" s="91">
        <v>0</v>
      </c>
      <c r="J33" s="95">
        <f t="shared" si="0"/>
        <v>0</v>
      </c>
      <c r="K33" s="87">
        <v>46645.583333333336</v>
      </c>
      <c r="L33" s="87">
        <v>46645.625</v>
      </c>
      <c r="M33" s="83"/>
      <c r="N33" s="96"/>
      <c r="O33" s="85">
        <v>0</v>
      </c>
      <c r="P33" s="85">
        <v>0</v>
      </c>
      <c r="Q33" s="83" t="s">
        <v>948</v>
      </c>
      <c r="R33" s="83" t="s">
        <v>2374</v>
      </c>
      <c r="S33" s="83" t="s">
        <v>2308</v>
      </c>
    </row>
    <row r="34" spans="1:19" ht="31.95" customHeight="1">
      <c r="A34" s="82" t="s">
        <v>2401</v>
      </c>
      <c r="B34" s="88">
        <v>46631</v>
      </c>
      <c r="C34" s="82" t="s">
        <v>224</v>
      </c>
      <c r="D34" s="82" t="s">
        <v>341</v>
      </c>
      <c r="E34" s="82"/>
      <c r="F34" s="84">
        <v>163</v>
      </c>
      <c r="G34" s="84">
        <v>0</v>
      </c>
      <c r="H34" s="90">
        <v>0</v>
      </c>
      <c r="I34" s="90">
        <v>0</v>
      </c>
      <c r="J34" s="94">
        <f t="shared" si="0"/>
        <v>0</v>
      </c>
      <c r="K34" s="86">
        <v>46645.583333333336</v>
      </c>
      <c r="L34" s="86">
        <v>46645.625</v>
      </c>
      <c r="M34" s="82"/>
      <c r="N34" s="101"/>
      <c r="O34" s="84">
        <v>0</v>
      </c>
      <c r="P34" s="84">
        <v>0</v>
      </c>
      <c r="Q34" s="82" t="s">
        <v>948</v>
      </c>
      <c r="R34" s="82" t="s">
        <v>2374</v>
      </c>
      <c r="S34" s="82" t="s">
        <v>2308</v>
      </c>
    </row>
    <row r="35" spans="1:19" ht="31.95" customHeight="1">
      <c r="A35" s="83" t="s">
        <v>2349</v>
      </c>
      <c r="B35" s="89">
        <v>46631</v>
      </c>
      <c r="C35" s="83" t="s">
        <v>224</v>
      </c>
      <c r="D35" s="83" t="s">
        <v>341</v>
      </c>
      <c r="E35" s="83" t="s">
        <v>2348</v>
      </c>
      <c r="F35" s="85">
        <v>163</v>
      </c>
      <c r="G35" s="85">
        <v>1</v>
      </c>
      <c r="H35" s="91">
        <v>900000</v>
      </c>
      <c r="I35" s="91">
        <v>300000</v>
      </c>
      <c r="J35" s="95">
        <f t="shared" si="0"/>
        <v>1200000</v>
      </c>
      <c r="K35" s="87">
        <v>46647.583333333336</v>
      </c>
      <c r="L35" s="87">
        <v>46647.625</v>
      </c>
      <c r="M35" s="83" t="s">
        <v>1532</v>
      </c>
      <c r="N35" s="87">
        <v>46647.541666666664</v>
      </c>
      <c r="O35" s="85">
        <v>0</v>
      </c>
      <c r="P35" s="85">
        <v>0</v>
      </c>
      <c r="Q35" s="83" t="s">
        <v>948</v>
      </c>
      <c r="R35" s="83" t="s">
        <v>2383</v>
      </c>
      <c r="S35" s="83" t="s">
        <v>2351</v>
      </c>
    </row>
    <row r="36" spans="1:19" ht="31.95" customHeight="1">
      <c r="A36" s="82" t="s">
        <v>2402</v>
      </c>
      <c r="B36" s="88">
        <v>46631</v>
      </c>
      <c r="C36" s="82" t="s">
        <v>224</v>
      </c>
      <c r="D36" s="82" t="s">
        <v>341</v>
      </c>
      <c r="E36" s="82"/>
      <c r="F36" s="84">
        <v>163</v>
      </c>
      <c r="G36" s="84">
        <v>0</v>
      </c>
      <c r="H36" s="90">
        <v>0</v>
      </c>
      <c r="I36" s="90">
        <v>0</v>
      </c>
      <c r="J36" s="94">
        <f t="shared" si="0"/>
        <v>0</v>
      </c>
      <c r="K36" s="86">
        <v>46646.583333333336</v>
      </c>
      <c r="L36" s="86">
        <v>46646.625</v>
      </c>
      <c r="M36" s="82"/>
      <c r="N36" s="101"/>
      <c r="O36" s="84">
        <v>0</v>
      </c>
      <c r="P36" s="84">
        <v>0</v>
      </c>
      <c r="Q36" s="82" t="s">
        <v>948</v>
      </c>
      <c r="R36" s="82" t="s">
        <v>2374</v>
      </c>
      <c r="S36" s="82" t="s">
        <v>2308</v>
      </c>
    </row>
    <row r="37" spans="1:19" ht="31.95" customHeight="1">
      <c r="A37" s="83" t="s">
        <v>2403</v>
      </c>
      <c r="B37" s="89">
        <v>46631</v>
      </c>
      <c r="C37" s="83" t="s">
        <v>224</v>
      </c>
      <c r="D37" s="83" t="s">
        <v>341</v>
      </c>
      <c r="E37" s="83"/>
      <c r="F37" s="85">
        <v>163</v>
      </c>
      <c r="G37" s="85">
        <v>0</v>
      </c>
      <c r="H37" s="91">
        <v>0</v>
      </c>
      <c r="I37" s="91">
        <v>0</v>
      </c>
      <c r="J37" s="95">
        <f t="shared" si="0"/>
        <v>0</v>
      </c>
      <c r="K37" s="87">
        <v>46646.583333333336</v>
      </c>
      <c r="L37" s="87">
        <v>46646.625</v>
      </c>
      <c r="M37" s="83"/>
      <c r="N37" s="96"/>
      <c r="O37" s="85">
        <v>0</v>
      </c>
      <c r="P37" s="85">
        <v>0</v>
      </c>
      <c r="Q37" s="83" t="s">
        <v>948</v>
      </c>
      <c r="R37" s="83" t="s">
        <v>2374</v>
      </c>
      <c r="S37" s="83" t="s">
        <v>2308</v>
      </c>
    </row>
    <row r="38" spans="1:19" ht="31.95" customHeight="1">
      <c r="A38" s="82" t="s">
        <v>2404</v>
      </c>
      <c r="B38" s="88">
        <v>46631</v>
      </c>
      <c r="C38" s="82" t="s">
        <v>224</v>
      </c>
      <c r="D38" s="82" t="s">
        <v>341</v>
      </c>
      <c r="E38" s="82"/>
      <c r="F38" s="84">
        <v>163</v>
      </c>
      <c r="G38" s="84">
        <v>0</v>
      </c>
      <c r="H38" s="90">
        <v>0</v>
      </c>
      <c r="I38" s="90">
        <v>0</v>
      </c>
      <c r="J38" s="94">
        <f t="shared" ref="J38:J69" si="1">H38+I38</f>
        <v>0</v>
      </c>
      <c r="K38" s="86">
        <v>46646.583333333336</v>
      </c>
      <c r="L38" s="86">
        <v>46646.625</v>
      </c>
      <c r="M38" s="82"/>
      <c r="N38" s="101"/>
      <c r="O38" s="84">
        <v>0</v>
      </c>
      <c r="P38" s="84">
        <v>0</v>
      </c>
      <c r="Q38" s="82" t="s">
        <v>948</v>
      </c>
      <c r="R38" s="82" t="s">
        <v>2374</v>
      </c>
      <c r="S38" s="82" t="s">
        <v>2308</v>
      </c>
    </row>
    <row r="39" spans="1:19" ht="31.95" customHeight="1">
      <c r="A39" s="83" t="s">
        <v>2405</v>
      </c>
      <c r="B39" s="89">
        <v>46631</v>
      </c>
      <c r="C39" s="83" t="s">
        <v>224</v>
      </c>
      <c r="D39" s="83" t="s">
        <v>341</v>
      </c>
      <c r="E39" s="83"/>
      <c r="F39" s="85">
        <v>163</v>
      </c>
      <c r="G39" s="85">
        <v>0</v>
      </c>
      <c r="H39" s="91">
        <v>0</v>
      </c>
      <c r="I39" s="91">
        <v>0</v>
      </c>
      <c r="J39" s="95">
        <f t="shared" si="1"/>
        <v>0</v>
      </c>
      <c r="K39" s="87">
        <v>46647.583333333336</v>
      </c>
      <c r="L39" s="87">
        <v>46647.625</v>
      </c>
      <c r="M39" s="83"/>
      <c r="N39" s="96"/>
      <c r="O39" s="85">
        <v>0</v>
      </c>
      <c r="P39" s="85">
        <v>0</v>
      </c>
      <c r="Q39" s="83" t="s">
        <v>948</v>
      </c>
      <c r="R39" s="83" t="s">
        <v>2374</v>
      </c>
      <c r="S39" s="83" t="s">
        <v>2308</v>
      </c>
    </row>
    <row r="40" spans="1:19" ht="31.95" customHeight="1">
      <c r="A40" s="82" t="s">
        <v>2406</v>
      </c>
      <c r="B40" s="88">
        <v>46631</v>
      </c>
      <c r="C40" s="82" t="s">
        <v>224</v>
      </c>
      <c r="D40" s="82" t="s">
        <v>341</v>
      </c>
      <c r="E40" s="82"/>
      <c r="F40" s="84">
        <v>163</v>
      </c>
      <c r="G40" s="84">
        <v>0</v>
      </c>
      <c r="H40" s="90">
        <v>0</v>
      </c>
      <c r="I40" s="90">
        <v>0</v>
      </c>
      <c r="J40" s="94">
        <f t="shared" si="1"/>
        <v>0</v>
      </c>
      <c r="K40" s="86">
        <v>46647.583333333336</v>
      </c>
      <c r="L40" s="86">
        <v>46647.625</v>
      </c>
      <c r="M40" s="82"/>
      <c r="N40" s="101"/>
      <c r="O40" s="84">
        <v>0</v>
      </c>
      <c r="P40" s="84">
        <v>0</v>
      </c>
      <c r="Q40" s="82" t="s">
        <v>948</v>
      </c>
      <c r="R40" s="82" t="s">
        <v>2374</v>
      </c>
      <c r="S40" s="82" t="s">
        <v>2308</v>
      </c>
    </row>
    <row r="41" spans="1:19" ht="31.95" customHeight="1">
      <c r="A41" s="83" t="s">
        <v>2407</v>
      </c>
      <c r="B41" s="89">
        <v>46631</v>
      </c>
      <c r="C41" s="83" t="s">
        <v>224</v>
      </c>
      <c r="D41" s="83" t="s">
        <v>341</v>
      </c>
      <c r="E41" s="83"/>
      <c r="F41" s="85">
        <v>163</v>
      </c>
      <c r="G41" s="85">
        <v>0</v>
      </c>
      <c r="H41" s="91">
        <v>0</v>
      </c>
      <c r="I41" s="91">
        <v>0</v>
      </c>
      <c r="J41" s="95">
        <f t="shared" si="1"/>
        <v>0</v>
      </c>
      <c r="K41" s="87">
        <v>46647.583333333336</v>
      </c>
      <c r="L41" s="87">
        <v>46647.625</v>
      </c>
      <c r="M41" s="83"/>
      <c r="N41" s="96"/>
      <c r="O41" s="85">
        <v>0</v>
      </c>
      <c r="P41" s="85">
        <v>0</v>
      </c>
      <c r="Q41" s="83" t="s">
        <v>948</v>
      </c>
      <c r="R41" s="83" t="s">
        <v>2374</v>
      </c>
      <c r="S41" s="83" t="s">
        <v>2308</v>
      </c>
    </row>
    <row r="42" spans="1:19" ht="31.95" customHeight="1">
      <c r="A42" s="82" t="s">
        <v>2408</v>
      </c>
      <c r="B42" s="88">
        <v>46631</v>
      </c>
      <c r="C42" s="82" t="s">
        <v>224</v>
      </c>
      <c r="D42" s="82" t="s">
        <v>341</v>
      </c>
      <c r="E42" s="82"/>
      <c r="F42" s="84">
        <v>163</v>
      </c>
      <c r="G42" s="84">
        <v>0</v>
      </c>
      <c r="H42" s="90">
        <v>0</v>
      </c>
      <c r="I42" s="90">
        <v>0</v>
      </c>
      <c r="J42" s="94">
        <f t="shared" si="1"/>
        <v>0</v>
      </c>
      <c r="K42" s="86">
        <v>46650.583333333336</v>
      </c>
      <c r="L42" s="86">
        <v>46650.625</v>
      </c>
      <c r="M42" s="82"/>
      <c r="N42" s="101"/>
      <c r="O42" s="84">
        <v>0</v>
      </c>
      <c r="P42" s="84">
        <v>0</v>
      </c>
      <c r="Q42" s="82" t="s">
        <v>948</v>
      </c>
      <c r="R42" s="82" t="s">
        <v>2374</v>
      </c>
      <c r="S42" s="82" t="s">
        <v>2308</v>
      </c>
    </row>
    <row r="43" spans="1:19" ht="31.95" customHeight="1">
      <c r="A43" s="83" t="s">
        <v>2409</v>
      </c>
      <c r="B43" s="89">
        <v>46631</v>
      </c>
      <c r="C43" s="83" t="s">
        <v>224</v>
      </c>
      <c r="D43" s="83" t="s">
        <v>341</v>
      </c>
      <c r="E43" s="83"/>
      <c r="F43" s="85">
        <v>163</v>
      </c>
      <c r="G43" s="85">
        <v>0</v>
      </c>
      <c r="H43" s="91">
        <v>0</v>
      </c>
      <c r="I43" s="91">
        <v>0</v>
      </c>
      <c r="J43" s="95">
        <f t="shared" si="1"/>
        <v>0</v>
      </c>
      <c r="K43" s="87">
        <v>46650.583333333336</v>
      </c>
      <c r="L43" s="87">
        <v>46650.625</v>
      </c>
      <c r="M43" s="83"/>
      <c r="N43" s="96"/>
      <c r="O43" s="85">
        <v>0</v>
      </c>
      <c r="P43" s="85">
        <v>0</v>
      </c>
      <c r="Q43" s="83" t="s">
        <v>948</v>
      </c>
      <c r="R43" s="83" t="s">
        <v>2374</v>
      </c>
      <c r="S43" s="83" t="s">
        <v>2308</v>
      </c>
    </row>
    <row r="44" spans="1:19" ht="31.95" customHeight="1">
      <c r="A44" s="82" t="s">
        <v>2410</v>
      </c>
      <c r="B44" s="88">
        <v>46631</v>
      </c>
      <c r="C44" s="82" t="s">
        <v>224</v>
      </c>
      <c r="D44" s="82" t="s">
        <v>341</v>
      </c>
      <c r="E44" s="82"/>
      <c r="F44" s="84">
        <v>163</v>
      </c>
      <c r="G44" s="84">
        <v>0</v>
      </c>
      <c r="H44" s="90">
        <v>0</v>
      </c>
      <c r="I44" s="90">
        <v>0</v>
      </c>
      <c r="J44" s="94">
        <f t="shared" si="1"/>
        <v>0</v>
      </c>
      <c r="K44" s="86">
        <v>46650.583333333336</v>
      </c>
      <c r="L44" s="86">
        <v>46650.625</v>
      </c>
      <c r="M44" s="82"/>
      <c r="N44" s="101"/>
      <c r="O44" s="84">
        <v>0</v>
      </c>
      <c r="P44" s="84">
        <v>0</v>
      </c>
      <c r="Q44" s="82" t="s">
        <v>948</v>
      </c>
      <c r="R44" s="82" t="s">
        <v>2374</v>
      </c>
      <c r="S44" s="82" t="s">
        <v>2308</v>
      </c>
    </row>
    <row r="45" spans="1:19" ht="31.95" customHeight="1">
      <c r="A45" s="83" t="s">
        <v>2353</v>
      </c>
      <c r="B45" s="89">
        <v>46631</v>
      </c>
      <c r="C45" s="83" t="s">
        <v>224</v>
      </c>
      <c r="D45" s="83" t="s">
        <v>341</v>
      </c>
      <c r="E45" s="83" t="s">
        <v>2352</v>
      </c>
      <c r="F45" s="85">
        <v>163</v>
      </c>
      <c r="G45" s="85">
        <v>0</v>
      </c>
      <c r="H45" s="91">
        <v>0</v>
      </c>
      <c r="I45" s="91">
        <v>0</v>
      </c>
      <c r="J45" s="95">
        <f t="shared" si="1"/>
        <v>0</v>
      </c>
      <c r="K45" s="87">
        <v>46651.583333333336</v>
      </c>
      <c r="L45" s="87">
        <v>46651.625</v>
      </c>
      <c r="M45" s="83"/>
      <c r="N45" s="96"/>
      <c r="O45" s="85">
        <v>0</v>
      </c>
      <c r="P45" s="85">
        <v>0</v>
      </c>
      <c r="Q45" s="83" t="s">
        <v>948</v>
      </c>
      <c r="R45" s="83" t="s">
        <v>2374</v>
      </c>
      <c r="S45" s="83" t="s">
        <v>2308</v>
      </c>
    </row>
    <row r="46" spans="1:19" ht="31.95" customHeight="1">
      <c r="A46" s="82" t="s">
        <v>2411</v>
      </c>
      <c r="B46" s="88">
        <v>46631</v>
      </c>
      <c r="C46" s="82" t="s">
        <v>224</v>
      </c>
      <c r="D46" s="82" t="s">
        <v>341</v>
      </c>
      <c r="E46" s="82"/>
      <c r="F46" s="84">
        <v>163</v>
      </c>
      <c r="G46" s="84">
        <v>0</v>
      </c>
      <c r="H46" s="90">
        <v>0</v>
      </c>
      <c r="I46" s="90">
        <v>0</v>
      </c>
      <c r="J46" s="94">
        <f t="shared" si="1"/>
        <v>0</v>
      </c>
      <c r="K46" s="86">
        <v>46651.583333333336</v>
      </c>
      <c r="L46" s="86">
        <v>46651.625</v>
      </c>
      <c r="M46" s="82"/>
      <c r="N46" s="101"/>
      <c r="O46" s="84">
        <v>0</v>
      </c>
      <c r="P46" s="84">
        <v>0</v>
      </c>
      <c r="Q46" s="82" t="s">
        <v>948</v>
      </c>
      <c r="R46" s="82" t="s">
        <v>2374</v>
      </c>
      <c r="S46" s="82" t="s">
        <v>2308</v>
      </c>
    </row>
    <row r="47" spans="1:19" ht="31.95" customHeight="1">
      <c r="A47" s="83" t="s">
        <v>2412</v>
      </c>
      <c r="B47" s="89">
        <v>46631</v>
      </c>
      <c r="C47" s="83" t="s">
        <v>224</v>
      </c>
      <c r="D47" s="83" t="s">
        <v>341</v>
      </c>
      <c r="E47" s="83"/>
      <c r="F47" s="85">
        <v>163</v>
      </c>
      <c r="G47" s="85">
        <v>0</v>
      </c>
      <c r="H47" s="91">
        <v>0</v>
      </c>
      <c r="I47" s="91">
        <v>0</v>
      </c>
      <c r="J47" s="95">
        <f t="shared" si="1"/>
        <v>0</v>
      </c>
      <c r="K47" s="87">
        <v>46651.583333333336</v>
      </c>
      <c r="L47" s="87">
        <v>46651.625</v>
      </c>
      <c r="M47" s="83"/>
      <c r="N47" s="96"/>
      <c r="O47" s="85">
        <v>0</v>
      </c>
      <c r="P47" s="85">
        <v>0</v>
      </c>
      <c r="Q47" s="83" t="s">
        <v>948</v>
      </c>
      <c r="R47" s="83" t="s">
        <v>2374</v>
      </c>
      <c r="S47" s="83" t="s">
        <v>2308</v>
      </c>
    </row>
    <row r="48" spans="1:19" ht="31.95" customHeight="1">
      <c r="A48" s="82" t="s">
        <v>2413</v>
      </c>
      <c r="B48" s="88">
        <v>46631</v>
      </c>
      <c r="C48" s="82" t="s">
        <v>224</v>
      </c>
      <c r="D48" s="82" t="s">
        <v>341</v>
      </c>
      <c r="E48" s="82"/>
      <c r="F48" s="84">
        <v>163</v>
      </c>
      <c r="G48" s="84">
        <v>0</v>
      </c>
      <c r="H48" s="90">
        <v>0</v>
      </c>
      <c r="I48" s="90">
        <v>0</v>
      </c>
      <c r="J48" s="94">
        <f t="shared" si="1"/>
        <v>0</v>
      </c>
      <c r="K48" s="86">
        <v>46652.583333333336</v>
      </c>
      <c r="L48" s="86">
        <v>46652.625</v>
      </c>
      <c r="M48" s="82"/>
      <c r="N48" s="101"/>
      <c r="O48" s="84">
        <v>0</v>
      </c>
      <c r="P48" s="84">
        <v>0</v>
      </c>
      <c r="Q48" s="82" t="s">
        <v>948</v>
      </c>
      <c r="R48" s="82" t="s">
        <v>2374</v>
      </c>
      <c r="S48" s="82" t="s">
        <v>2308</v>
      </c>
    </row>
    <row r="49" spans="1:19" ht="31.95" customHeight="1">
      <c r="A49" s="83" t="s">
        <v>2414</v>
      </c>
      <c r="B49" s="89">
        <v>46631</v>
      </c>
      <c r="C49" s="83" t="s">
        <v>224</v>
      </c>
      <c r="D49" s="83" t="s">
        <v>341</v>
      </c>
      <c r="E49" s="83"/>
      <c r="F49" s="85">
        <v>163</v>
      </c>
      <c r="G49" s="85">
        <v>1</v>
      </c>
      <c r="H49" s="91">
        <v>900000</v>
      </c>
      <c r="I49" s="91">
        <v>300000</v>
      </c>
      <c r="J49" s="95">
        <f t="shared" si="1"/>
        <v>1200000</v>
      </c>
      <c r="K49" s="87">
        <v>46652.583333333336</v>
      </c>
      <c r="L49" s="87">
        <v>46652.625</v>
      </c>
      <c r="M49" s="83" t="s">
        <v>1532</v>
      </c>
      <c r="N49" s="87">
        <v>46652.541666666664</v>
      </c>
      <c r="O49" s="85">
        <v>0</v>
      </c>
      <c r="P49" s="85">
        <v>0</v>
      </c>
      <c r="Q49" s="83" t="s">
        <v>948</v>
      </c>
      <c r="R49" s="83" t="s">
        <v>2383</v>
      </c>
      <c r="S49" s="83" t="s">
        <v>2351</v>
      </c>
    </row>
    <row r="50" spans="1:19" ht="31.95" customHeight="1">
      <c r="A50" s="82" t="s">
        <v>2415</v>
      </c>
      <c r="B50" s="88">
        <v>46631</v>
      </c>
      <c r="C50" s="82" t="s">
        <v>224</v>
      </c>
      <c r="D50" s="82" t="s">
        <v>341</v>
      </c>
      <c r="E50" s="82"/>
      <c r="F50" s="84">
        <v>163</v>
      </c>
      <c r="G50" s="84">
        <v>0</v>
      </c>
      <c r="H50" s="90">
        <v>0</v>
      </c>
      <c r="I50" s="90">
        <v>0</v>
      </c>
      <c r="J50" s="94">
        <f t="shared" si="1"/>
        <v>0</v>
      </c>
      <c r="K50" s="86">
        <v>46652.583333333336</v>
      </c>
      <c r="L50" s="86">
        <v>46652.625</v>
      </c>
      <c r="M50" s="82"/>
      <c r="N50" s="101"/>
      <c r="O50" s="84">
        <v>0</v>
      </c>
      <c r="P50" s="84">
        <v>0</v>
      </c>
      <c r="Q50" s="82" t="s">
        <v>948</v>
      </c>
      <c r="R50" s="82" t="s">
        <v>2374</v>
      </c>
      <c r="S50" s="82" t="s">
        <v>2308</v>
      </c>
    </row>
    <row r="51" spans="1:19" ht="31.95" customHeight="1">
      <c r="A51" s="83" t="s">
        <v>2416</v>
      </c>
      <c r="B51" s="89">
        <v>46631</v>
      </c>
      <c r="C51" s="83" t="s">
        <v>224</v>
      </c>
      <c r="D51" s="83" t="s">
        <v>341</v>
      </c>
      <c r="E51" s="83"/>
      <c r="F51" s="85">
        <v>163</v>
      </c>
      <c r="G51" s="85">
        <v>0</v>
      </c>
      <c r="H51" s="91">
        <v>0</v>
      </c>
      <c r="I51" s="91">
        <v>0</v>
      </c>
      <c r="J51" s="95">
        <f t="shared" si="1"/>
        <v>0</v>
      </c>
      <c r="K51" s="87">
        <v>46653.583333333336</v>
      </c>
      <c r="L51" s="87">
        <v>46653.625</v>
      </c>
      <c r="M51" s="83"/>
      <c r="N51" s="96"/>
      <c r="O51" s="85">
        <v>0</v>
      </c>
      <c r="P51" s="85">
        <v>0</v>
      </c>
      <c r="Q51" s="83" t="s">
        <v>948</v>
      </c>
      <c r="R51" s="83" t="s">
        <v>2374</v>
      </c>
      <c r="S51" s="83" t="s">
        <v>2308</v>
      </c>
    </row>
    <row r="52" spans="1:19" ht="31.95" customHeight="1">
      <c r="A52" s="82" t="s">
        <v>2417</v>
      </c>
      <c r="B52" s="88">
        <v>46631</v>
      </c>
      <c r="C52" s="82" t="s">
        <v>224</v>
      </c>
      <c r="D52" s="82" t="s">
        <v>341</v>
      </c>
      <c r="E52" s="82"/>
      <c r="F52" s="84">
        <v>163</v>
      </c>
      <c r="G52" s="84">
        <v>0</v>
      </c>
      <c r="H52" s="90">
        <v>0</v>
      </c>
      <c r="I52" s="90">
        <v>0</v>
      </c>
      <c r="J52" s="94">
        <f t="shared" si="1"/>
        <v>0</v>
      </c>
      <c r="K52" s="86">
        <v>46653.583333333336</v>
      </c>
      <c r="L52" s="86">
        <v>46653.625</v>
      </c>
      <c r="M52" s="82"/>
      <c r="N52" s="101"/>
      <c r="O52" s="84">
        <v>0</v>
      </c>
      <c r="P52" s="84">
        <v>0</v>
      </c>
      <c r="Q52" s="82" t="s">
        <v>948</v>
      </c>
      <c r="R52" s="82" t="s">
        <v>2374</v>
      </c>
      <c r="S52" s="82" t="s">
        <v>2308</v>
      </c>
    </row>
    <row r="53" spans="1:19" ht="31.95" customHeight="1">
      <c r="A53" s="83" t="s">
        <v>2418</v>
      </c>
      <c r="B53" s="89">
        <v>46631</v>
      </c>
      <c r="C53" s="83" t="s">
        <v>224</v>
      </c>
      <c r="D53" s="83" t="s">
        <v>341</v>
      </c>
      <c r="E53" s="83"/>
      <c r="F53" s="85">
        <v>163</v>
      </c>
      <c r="G53" s="85">
        <v>0</v>
      </c>
      <c r="H53" s="91">
        <v>0</v>
      </c>
      <c r="I53" s="91">
        <v>0</v>
      </c>
      <c r="J53" s="95">
        <f t="shared" si="1"/>
        <v>0</v>
      </c>
      <c r="K53" s="87">
        <v>46653.583333333336</v>
      </c>
      <c r="L53" s="87">
        <v>46653.625</v>
      </c>
      <c r="M53" s="83"/>
      <c r="N53" s="96"/>
      <c r="O53" s="85">
        <v>0</v>
      </c>
      <c r="P53" s="85">
        <v>0</v>
      </c>
      <c r="Q53" s="83" t="s">
        <v>948</v>
      </c>
      <c r="R53" s="83" t="s">
        <v>2374</v>
      </c>
      <c r="S53" s="83" t="s">
        <v>2308</v>
      </c>
    </row>
    <row r="54" spans="1:19" ht="31.95" customHeight="1">
      <c r="A54" s="82" t="s">
        <v>2419</v>
      </c>
      <c r="B54" s="88">
        <v>46631</v>
      </c>
      <c r="C54" s="82" t="s">
        <v>224</v>
      </c>
      <c r="D54" s="82" t="s">
        <v>341</v>
      </c>
      <c r="E54" s="82"/>
      <c r="F54" s="84">
        <v>163</v>
      </c>
      <c r="G54" s="84">
        <v>0</v>
      </c>
      <c r="H54" s="90">
        <v>0</v>
      </c>
      <c r="I54" s="90">
        <v>0</v>
      </c>
      <c r="J54" s="94">
        <f t="shared" si="1"/>
        <v>0</v>
      </c>
      <c r="K54" s="86">
        <v>46654.583333333336</v>
      </c>
      <c r="L54" s="86">
        <v>46654.625</v>
      </c>
      <c r="M54" s="82"/>
      <c r="N54" s="101"/>
      <c r="O54" s="84">
        <v>0</v>
      </c>
      <c r="P54" s="84">
        <v>0</v>
      </c>
      <c r="Q54" s="82" t="s">
        <v>948</v>
      </c>
      <c r="R54" s="82" t="s">
        <v>2374</v>
      </c>
      <c r="S54" s="82" t="s">
        <v>2308</v>
      </c>
    </row>
    <row r="55" spans="1:19" ht="31.95" customHeight="1">
      <c r="A55" s="83" t="s">
        <v>2356</v>
      </c>
      <c r="B55" s="89">
        <v>46631</v>
      </c>
      <c r="C55" s="83" t="s">
        <v>224</v>
      </c>
      <c r="D55" s="83" t="s">
        <v>341</v>
      </c>
      <c r="E55" s="83" t="s">
        <v>2355</v>
      </c>
      <c r="F55" s="85">
        <v>163</v>
      </c>
      <c r="G55" s="85">
        <v>1</v>
      </c>
      <c r="H55" s="91">
        <v>900000</v>
      </c>
      <c r="I55" s="91">
        <v>300000</v>
      </c>
      <c r="J55" s="95">
        <f t="shared" si="1"/>
        <v>1200000</v>
      </c>
      <c r="K55" s="87">
        <v>46658.583333333336</v>
      </c>
      <c r="L55" s="87">
        <v>46658.625</v>
      </c>
      <c r="M55" s="83" t="s">
        <v>1532</v>
      </c>
      <c r="N55" s="87">
        <v>46658.541666666664</v>
      </c>
      <c r="O55" s="85">
        <v>0</v>
      </c>
      <c r="P55" s="85">
        <v>0</v>
      </c>
      <c r="Q55" s="83" t="s">
        <v>948</v>
      </c>
      <c r="R55" s="83" t="s">
        <v>2383</v>
      </c>
      <c r="S55" s="83" t="s">
        <v>2351</v>
      </c>
    </row>
    <row r="56" spans="1:19" ht="31.95" customHeight="1">
      <c r="A56" s="82" t="s">
        <v>2420</v>
      </c>
      <c r="B56" s="88">
        <v>46631</v>
      </c>
      <c r="C56" s="82" t="s">
        <v>224</v>
      </c>
      <c r="D56" s="82" t="s">
        <v>341</v>
      </c>
      <c r="E56" s="82"/>
      <c r="F56" s="84">
        <v>163</v>
      </c>
      <c r="G56" s="84">
        <v>0</v>
      </c>
      <c r="H56" s="90">
        <v>0</v>
      </c>
      <c r="I56" s="90">
        <v>0</v>
      </c>
      <c r="J56" s="94">
        <f t="shared" si="1"/>
        <v>0</v>
      </c>
      <c r="K56" s="86">
        <v>46654.583333333336</v>
      </c>
      <c r="L56" s="86">
        <v>46654.625</v>
      </c>
      <c r="M56" s="82"/>
      <c r="N56" s="101"/>
      <c r="O56" s="84">
        <v>0</v>
      </c>
      <c r="P56" s="84">
        <v>0</v>
      </c>
      <c r="Q56" s="82" t="s">
        <v>948</v>
      </c>
      <c r="R56" s="82" t="s">
        <v>2374</v>
      </c>
      <c r="S56" s="82" t="s">
        <v>2308</v>
      </c>
    </row>
    <row r="57" spans="1:19" ht="31.95" customHeight="1">
      <c r="A57" s="83" t="s">
        <v>2421</v>
      </c>
      <c r="B57" s="89">
        <v>46631</v>
      </c>
      <c r="C57" s="83" t="s">
        <v>224</v>
      </c>
      <c r="D57" s="83" t="s">
        <v>341</v>
      </c>
      <c r="E57" s="83"/>
      <c r="F57" s="85">
        <v>163</v>
      </c>
      <c r="G57" s="85">
        <v>0</v>
      </c>
      <c r="H57" s="91">
        <v>0</v>
      </c>
      <c r="I57" s="91">
        <v>0</v>
      </c>
      <c r="J57" s="95">
        <f t="shared" si="1"/>
        <v>0</v>
      </c>
      <c r="K57" s="87">
        <v>46657.583333333336</v>
      </c>
      <c r="L57" s="87">
        <v>46657.625</v>
      </c>
      <c r="M57" s="83"/>
      <c r="N57" s="96"/>
      <c r="O57" s="85">
        <v>0</v>
      </c>
      <c r="P57" s="85">
        <v>0</v>
      </c>
      <c r="Q57" s="83" t="s">
        <v>948</v>
      </c>
      <c r="R57" s="83" t="s">
        <v>2374</v>
      </c>
      <c r="S57" s="83" t="s">
        <v>2308</v>
      </c>
    </row>
    <row r="58" spans="1:19" ht="31.95" customHeight="1">
      <c r="A58" s="82" t="s">
        <v>2422</v>
      </c>
      <c r="B58" s="88">
        <v>46631</v>
      </c>
      <c r="C58" s="82" t="s">
        <v>224</v>
      </c>
      <c r="D58" s="82" t="s">
        <v>341</v>
      </c>
      <c r="E58" s="82"/>
      <c r="F58" s="84">
        <v>163</v>
      </c>
      <c r="G58" s="84">
        <v>0</v>
      </c>
      <c r="H58" s="90">
        <v>0</v>
      </c>
      <c r="I58" s="90">
        <v>0</v>
      </c>
      <c r="J58" s="94">
        <f t="shared" si="1"/>
        <v>0</v>
      </c>
      <c r="K58" s="86">
        <v>46657.583333333336</v>
      </c>
      <c r="L58" s="86">
        <v>46657.625</v>
      </c>
      <c r="M58" s="82"/>
      <c r="N58" s="101"/>
      <c r="O58" s="84">
        <v>0</v>
      </c>
      <c r="P58" s="84">
        <v>0</v>
      </c>
      <c r="Q58" s="82" t="s">
        <v>948</v>
      </c>
      <c r="R58" s="82" t="s">
        <v>2374</v>
      </c>
      <c r="S58" s="82" t="s">
        <v>2308</v>
      </c>
    </row>
    <row r="59" spans="1:19" ht="31.95" customHeight="1">
      <c r="A59" s="83" t="s">
        <v>2423</v>
      </c>
      <c r="B59" s="89">
        <v>46631</v>
      </c>
      <c r="C59" s="83" t="s">
        <v>224</v>
      </c>
      <c r="D59" s="83" t="s">
        <v>341</v>
      </c>
      <c r="E59" s="83"/>
      <c r="F59" s="85">
        <v>163</v>
      </c>
      <c r="G59" s="85">
        <v>0</v>
      </c>
      <c r="H59" s="91">
        <v>0</v>
      </c>
      <c r="I59" s="91">
        <v>0</v>
      </c>
      <c r="J59" s="95">
        <f t="shared" si="1"/>
        <v>0</v>
      </c>
      <c r="K59" s="87">
        <v>46657.583333333336</v>
      </c>
      <c r="L59" s="87">
        <v>46657.625</v>
      </c>
      <c r="M59" s="83"/>
      <c r="N59" s="96"/>
      <c r="O59" s="85">
        <v>0</v>
      </c>
      <c r="P59" s="85">
        <v>0</v>
      </c>
      <c r="Q59" s="83" t="s">
        <v>948</v>
      </c>
      <c r="R59" s="83" t="s">
        <v>2374</v>
      </c>
      <c r="S59" s="83" t="s">
        <v>2308</v>
      </c>
    </row>
    <row r="60" spans="1:19" ht="31.95" customHeight="1">
      <c r="A60" s="82" t="s">
        <v>2424</v>
      </c>
      <c r="B60" s="88">
        <v>46631</v>
      </c>
      <c r="C60" s="82" t="s">
        <v>224</v>
      </c>
      <c r="D60" s="82" t="s">
        <v>341</v>
      </c>
      <c r="E60" s="82"/>
      <c r="F60" s="84">
        <v>163</v>
      </c>
      <c r="G60" s="84">
        <v>0</v>
      </c>
      <c r="H60" s="90">
        <v>0</v>
      </c>
      <c r="I60" s="90">
        <v>0</v>
      </c>
      <c r="J60" s="94">
        <f t="shared" si="1"/>
        <v>0</v>
      </c>
      <c r="K60" s="86">
        <v>46658.583333333336</v>
      </c>
      <c r="L60" s="86">
        <v>46658.625</v>
      </c>
      <c r="M60" s="82"/>
      <c r="N60" s="101"/>
      <c r="O60" s="84">
        <v>0</v>
      </c>
      <c r="P60" s="84">
        <v>0</v>
      </c>
      <c r="Q60" s="82" t="s">
        <v>948</v>
      </c>
      <c r="R60" s="82" t="s">
        <v>2374</v>
      </c>
      <c r="S60" s="82" t="s">
        <v>2308</v>
      </c>
    </row>
    <row r="61" spans="1:19" ht="31.95" customHeight="1">
      <c r="A61" s="83" t="s">
        <v>2425</v>
      </c>
      <c r="B61" s="89">
        <v>46631</v>
      </c>
      <c r="C61" s="83" t="s">
        <v>224</v>
      </c>
      <c r="D61" s="83" t="s">
        <v>341</v>
      </c>
      <c r="E61" s="83"/>
      <c r="F61" s="85">
        <v>163</v>
      </c>
      <c r="G61" s="85">
        <v>0</v>
      </c>
      <c r="H61" s="91">
        <v>0</v>
      </c>
      <c r="I61" s="91">
        <v>0</v>
      </c>
      <c r="J61" s="95">
        <f t="shared" si="1"/>
        <v>0</v>
      </c>
      <c r="K61" s="87">
        <v>46658.583333333336</v>
      </c>
      <c r="L61" s="87">
        <v>46658.625</v>
      </c>
      <c r="M61" s="83"/>
      <c r="N61" s="96"/>
      <c r="O61" s="85">
        <v>0</v>
      </c>
      <c r="P61" s="85">
        <v>0</v>
      </c>
      <c r="Q61" s="83" t="s">
        <v>948</v>
      </c>
      <c r="R61" s="83" t="s">
        <v>2374</v>
      </c>
      <c r="S61" s="83" t="s">
        <v>2308</v>
      </c>
    </row>
    <row r="62" spans="1:19" ht="31.95" customHeight="1">
      <c r="A62" s="82" t="s">
        <v>2426</v>
      </c>
      <c r="B62" s="88">
        <v>46631</v>
      </c>
      <c r="C62" s="82" t="s">
        <v>224</v>
      </c>
      <c r="D62" s="82" t="s">
        <v>341</v>
      </c>
      <c r="E62" s="82"/>
      <c r="F62" s="84">
        <v>163</v>
      </c>
      <c r="G62" s="84">
        <v>0</v>
      </c>
      <c r="H62" s="90">
        <v>0</v>
      </c>
      <c r="I62" s="90">
        <v>0</v>
      </c>
      <c r="J62" s="94">
        <f t="shared" si="1"/>
        <v>0</v>
      </c>
      <c r="K62" s="86">
        <v>46658.583333333336</v>
      </c>
      <c r="L62" s="86">
        <v>46658.625</v>
      </c>
      <c r="M62" s="82"/>
      <c r="N62" s="101"/>
      <c r="O62" s="84">
        <v>0</v>
      </c>
      <c r="P62" s="84">
        <v>0</v>
      </c>
      <c r="Q62" s="82" t="s">
        <v>948</v>
      </c>
      <c r="R62" s="82" t="s">
        <v>2374</v>
      </c>
      <c r="S62" s="82" t="s">
        <v>2308</v>
      </c>
    </row>
    <row r="63" spans="1:19" ht="31.95" customHeight="1">
      <c r="A63" s="83" t="s">
        <v>2427</v>
      </c>
      <c r="B63" s="89">
        <v>46631</v>
      </c>
      <c r="C63" s="83" t="s">
        <v>224</v>
      </c>
      <c r="D63" s="83" t="s">
        <v>341</v>
      </c>
      <c r="E63" s="83"/>
      <c r="F63" s="85">
        <v>163</v>
      </c>
      <c r="G63" s="85">
        <v>0</v>
      </c>
      <c r="H63" s="91">
        <v>0</v>
      </c>
      <c r="I63" s="91">
        <v>0</v>
      </c>
      <c r="J63" s="95">
        <f t="shared" si="1"/>
        <v>0</v>
      </c>
      <c r="K63" s="87">
        <v>46659.583333333336</v>
      </c>
      <c r="L63" s="87">
        <v>46659.625</v>
      </c>
      <c r="M63" s="83"/>
      <c r="N63" s="96"/>
      <c r="O63" s="85">
        <v>0</v>
      </c>
      <c r="P63" s="85">
        <v>0</v>
      </c>
      <c r="Q63" s="83" t="s">
        <v>948</v>
      </c>
      <c r="R63" s="83" t="s">
        <v>2374</v>
      </c>
      <c r="S63" s="83" t="s">
        <v>2308</v>
      </c>
    </row>
    <row r="64" spans="1:19" ht="31.95" customHeight="1">
      <c r="A64" s="82" t="s">
        <v>2428</v>
      </c>
      <c r="B64" s="88">
        <v>46631</v>
      </c>
      <c r="C64" s="82" t="s">
        <v>224</v>
      </c>
      <c r="D64" s="82" t="s">
        <v>341</v>
      </c>
      <c r="E64" s="82"/>
      <c r="F64" s="84">
        <v>163</v>
      </c>
      <c r="G64" s="84">
        <v>0</v>
      </c>
      <c r="H64" s="90">
        <v>0</v>
      </c>
      <c r="I64" s="90">
        <v>0</v>
      </c>
      <c r="J64" s="94">
        <f t="shared" si="1"/>
        <v>0</v>
      </c>
      <c r="K64" s="86">
        <v>46659.583333333336</v>
      </c>
      <c r="L64" s="86">
        <v>46659.625</v>
      </c>
      <c r="M64" s="82"/>
      <c r="N64" s="101"/>
      <c r="O64" s="84">
        <v>0</v>
      </c>
      <c r="P64" s="84">
        <v>0</v>
      </c>
      <c r="Q64" s="82" t="s">
        <v>948</v>
      </c>
      <c r="R64" s="82" t="s">
        <v>2374</v>
      </c>
      <c r="S64" s="82" t="s">
        <v>2308</v>
      </c>
    </row>
    <row r="65" spans="1:19" ht="31.95" customHeight="1">
      <c r="A65" s="83" t="s">
        <v>2429</v>
      </c>
      <c r="B65" s="89">
        <v>46631</v>
      </c>
      <c r="C65" s="83" t="s">
        <v>224</v>
      </c>
      <c r="D65" s="83" t="s">
        <v>341</v>
      </c>
      <c r="E65" s="83"/>
      <c r="F65" s="85">
        <v>163</v>
      </c>
      <c r="G65" s="85">
        <v>0</v>
      </c>
      <c r="H65" s="91">
        <v>0</v>
      </c>
      <c r="I65" s="91">
        <v>0</v>
      </c>
      <c r="J65" s="95">
        <f t="shared" si="1"/>
        <v>0</v>
      </c>
      <c r="K65" s="87">
        <v>46659.583333333336</v>
      </c>
      <c r="L65" s="87">
        <v>46659.625</v>
      </c>
      <c r="M65" s="83"/>
      <c r="N65" s="96"/>
      <c r="O65" s="85">
        <v>0</v>
      </c>
      <c r="P65" s="85">
        <v>0</v>
      </c>
      <c r="Q65" s="83" t="s">
        <v>948</v>
      </c>
      <c r="R65" s="83" t="s">
        <v>2374</v>
      </c>
      <c r="S65" s="83" t="s">
        <v>2308</v>
      </c>
    </row>
  </sheetData>
  <phoneticPr fontId="30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9BB2C2"/>
  </sheetPr>
  <dimension ref="A1:E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8" customWidth="1"/>
    <col min="2" max="2" width="34" customWidth="1"/>
    <col min="3" max="3" width="27" customWidth="1"/>
    <col min="4" max="4" width="16" customWidth="1"/>
    <col min="5" max="5" width="90" customWidth="1"/>
  </cols>
  <sheetData>
    <row r="1" spans="1:5" ht="28.95" customHeight="1">
      <c r="A1" s="80" t="s">
        <v>2430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2431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2432</v>
      </c>
      <c r="B5" s="81" t="s">
        <v>2433</v>
      </c>
      <c r="C5" s="81" t="s">
        <v>3</v>
      </c>
      <c r="D5" s="81" t="s">
        <v>2434</v>
      </c>
      <c r="E5" s="81" t="s">
        <v>2435</v>
      </c>
    </row>
    <row r="6" spans="1:5" ht="31.95" customHeight="1">
      <c r="A6" s="82" t="s">
        <v>2436</v>
      </c>
      <c r="B6" s="82" t="s">
        <v>2437</v>
      </c>
      <c r="C6" s="102">
        <f>COUNTA(SC05구매표본!A6:A65)</f>
        <v>60</v>
      </c>
      <c r="D6" s="82" t="s">
        <v>890</v>
      </c>
      <c r="E6" s="82" t="s">
        <v>2438</v>
      </c>
    </row>
    <row r="7" spans="1:5" ht="31.95" customHeight="1">
      <c r="A7" s="83" t="s">
        <v>2439</v>
      </c>
      <c r="B7" s="83" t="s">
        <v>2440</v>
      </c>
      <c r="C7" s="103">
        <f>SUM(SC05구매표본!G6:G65)</f>
        <v>5</v>
      </c>
      <c r="D7" s="83" t="s">
        <v>890</v>
      </c>
      <c r="E7" s="83" t="s">
        <v>2441</v>
      </c>
    </row>
    <row r="8" spans="1:5" ht="31.95" customHeight="1">
      <c r="A8" s="82" t="s">
        <v>2442</v>
      </c>
      <c r="B8" s="82" t="s">
        <v>2443</v>
      </c>
      <c r="C8" s="111">
        <f>C7/C6</f>
        <v>8.3333333333333329E-2</v>
      </c>
      <c r="D8" s="82" t="s">
        <v>901</v>
      </c>
      <c r="E8" s="82" t="s">
        <v>2444</v>
      </c>
    </row>
    <row r="9" spans="1:5" ht="31.95" customHeight="1">
      <c r="A9" s="83" t="s">
        <v>2445</v>
      </c>
      <c r="B9" s="83" t="s">
        <v>2446</v>
      </c>
      <c r="C9" s="103">
        <f>SUM(SC05구매표본!J6:J65)</f>
        <v>6000000</v>
      </c>
      <c r="D9" s="83" t="s">
        <v>11</v>
      </c>
      <c r="E9" s="83" t="s">
        <v>2447</v>
      </c>
    </row>
    <row r="10" spans="1:5" ht="31.95" customHeight="1">
      <c r="A10" s="82" t="s">
        <v>2448</v>
      </c>
      <c r="B10" s="82" t="s">
        <v>2449</v>
      </c>
      <c r="C10" s="102">
        <f>SC05설정!$B$12*SC05설정!$B$13</f>
        <v>14400000</v>
      </c>
      <c r="D10" s="82" t="s">
        <v>11</v>
      </c>
      <c r="E10" s="82" t="s">
        <v>2450</v>
      </c>
    </row>
    <row r="11" spans="1:5" ht="31.95" customHeight="1">
      <c r="A11" s="83" t="s">
        <v>2451</v>
      </c>
      <c r="B11" s="83" t="s">
        <v>2452</v>
      </c>
      <c r="C11" s="103">
        <f>SUMIFS(SC05예산원장!I6:I13,SC05예산원장!C6:C13,"OPERATING")</f>
        <v>200000</v>
      </c>
      <c r="D11" s="83" t="s">
        <v>11</v>
      </c>
      <c r="E11" s="83" t="s">
        <v>2453</v>
      </c>
    </row>
    <row r="12" spans="1:5" ht="31.95" customHeight="1">
      <c r="A12" s="82" t="s">
        <v>2454</v>
      </c>
      <c r="B12" s="82" t="s">
        <v>2455</v>
      </c>
      <c r="C12" s="104">
        <f>C10-C9-C11</f>
        <v>8200000</v>
      </c>
      <c r="D12" s="82" t="s">
        <v>11</v>
      </c>
      <c r="E12" s="82" t="s">
        <v>2456</v>
      </c>
    </row>
    <row r="13" spans="1:5" ht="31.95" customHeight="1">
      <c r="A13" s="83" t="s">
        <v>2457</v>
      </c>
      <c r="B13" s="83" t="s">
        <v>2458</v>
      </c>
      <c r="C13" s="103">
        <f>SUM(SC05구매표본!O6:O65)</f>
        <v>0</v>
      </c>
      <c r="D13" s="83" t="s">
        <v>890</v>
      </c>
      <c r="E13" s="83" t="s">
        <v>2459</v>
      </c>
    </row>
    <row r="14" spans="1:5" ht="31.95" customHeight="1">
      <c r="A14" s="82" t="s">
        <v>2460</v>
      </c>
      <c r="B14" s="82" t="s">
        <v>2461</v>
      </c>
      <c r="C14" s="102">
        <f>SUM(SC05구매표본!P6:P65)</f>
        <v>0</v>
      </c>
      <c r="D14" s="82" t="s">
        <v>890</v>
      </c>
      <c r="E14" s="82" t="s">
        <v>2459</v>
      </c>
    </row>
    <row r="15" spans="1:5" ht="31.95" customHeight="1">
      <c r="A15" s="83" t="s">
        <v>2462</v>
      </c>
      <c r="B15" s="83" t="s">
        <v>2463</v>
      </c>
      <c r="C15" s="103">
        <f>AVERAGE(SC05변경공유!N6:N11)</f>
        <v>26.666666666666668</v>
      </c>
      <c r="D15" s="83" t="s">
        <v>2099</v>
      </c>
      <c r="E15" s="83" t="s">
        <v>2464</v>
      </c>
    </row>
    <row r="16" spans="1:5" ht="31.95" customHeight="1">
      <c r="A16" s="82" t="s">
        <v>2465</v>
      </c>
      <c r="B16" s="82" t="s">
        <v>2466</v>
      </c>
      <c r="C16" s="102">
        <f>AVERAGE(SC05변경공유!O6:O11)</f>
        <v>62.5</v>
      </c>
      <c r="D16" s="82" t="s">
        <v>2099</v>
      </c>
      <c r="E16" s="82" t="s">
        <v>2467</v>
      </c>
    </row>
    <row r="17" spans="1:5" ht="31.95" customHeight="1">
      <c r="A17" s="83" t="s">
        <v>2468</v>
      </c>
      <c r="B17" s="83" t="s">
        <v>2469</v>
      </c>
      <c r="C17" s="103">
        <f>COUNTIFS(SC05변경공유!P6:P11,"지연")</f>
        <v>1</v>
      </c>
      <c r="D17" s="83" t="s">
        <v>890</v>
      </c>
      <c r="E17" s="83" t="s">
        <v>2470</v>
      </c>
    </row>
    <row r="18" spans="1:5" ht="31.95" customHeight="1">
      <c r="A18" s="82" t="s">
        <v>2471</v>
      </c>
      <c r="B18" s="82" t="s">
        <v>2472</v>
      </c>
      <c r="C18" s="102">
        <f>SUM(SC05구매표본!F6:F65)</f>
        <v>9785</v>
      </c>
      <c r="D18" s="82" t="s">
        <v>2473</v>
      </c>
      <c r="E18" s="82" t="s">
        <v>2474</v>
      </c>
    </row>
    <row r="19" spans="1:5" ht="31.95" customHeight="1">
      <c r="A19" s="83" t="s">
        <v>2475</v>
      </c>
      <c r="B19" s="83" t="s">
        <v>2476</v>
      </c>
      <c r="C19" s="103">
        <f>SUMIFS(SC05예산원장!I6:I13,SC05예산원장!B6:B13,"ACT42",SC05예산원장!C6:C13,"ONEOFF")</f>
        <v>2000000</v>
      </c>
      <c r="D19" s="83" t="s">
        <v>11</v>
      </c>
      <c r="E19" s="83" t="s">
        <v>2477</v>
      </c>
    </row>
  </sheetData>
  <phoneticPr fontId="30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BB2C2"/>
  </sheetPr>
  <dimension ref="A1:Q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9" customWidth="1"/>
    <col min="2" max="2" width="17" customWidth="1"/>
    <col min="3" max="3" width="18" customWidth="1"/>
    <col min="4" max="5" width="20" customWidth="1"/>
    <col min="6" max="8" width="22" customWidth="1"/>
    <col min="9" max="9" width="20" customWidth="1"/>
    <col min="10" max="10" width="24" customWidth="1"/>
    <col min="11" max="11" width="22" customWidth="1"/>
    <col min="12" max="13" width="23" customWidth="1"/>
    <col min="14" max="14" width="25" customWidth="1"/>
    <col min="15" max="15" width="22" customWidth="1"/>
    <col min="16" max="16" width="66" customWidth="1"/>
    <col min="17" max="17" width="29" customWidth="1"/>
  </cols>
  <sheetData>
    <row r="1" spans="1:17" ht="28.95" customHeight="1">
      <c r="A1" s="80" t="s">
        <v>2478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17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</row>
    <row r="3" spans="1:17" ht="25.95" customHeight="1">
      <c r="A3" s="79" t="s">
        <v>2479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</row>
    <row r="4" spans="1:17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</row>
    <row r="5" spans="1:17" ht="36" customHeight="1">
      <c r="A5" s="81" t="s">
        <v>2480</v>
      </c>
      <c r="B5" s="81" t="s">
        <v>1103</v>
      </c>
      <c r="C5" s="81" t="s">
        <v>165</v>
      </c>
      <c r="D5" s="81" t="s">
        <v>152</v>
      </c>
      <c r="E5" s="81" t="s">
        <v>2481</v>
      </c>
      <c r="F5" s="81" t="s">
        <v>1567</v>
      </c>
      <c r="G5" s="81" t="s">
        <v>1568</v>
      </c>
      <c r="H5" s="81" t="s">
        <v>1569</v>
      </c>
      <c r="I5" s="81" t="s">
        <v>2482</v>
      </c>
      <c r="J5" s="81" t="s">
        <v>2483</v>
      </c>
      <c r="K5" s="81" t="s">
        <v>1572</v>
      </c>
      <c r="L5" s="81" t="s">
        <v>1592</v>
      </c>
      <c r="M5" s="81" t="s">
        <v>1574</v>
      </c>
      <c r="N5" s="81" t="s">
        <v>2484</v>
      </c>
      <c r="O5" s="81" t="s">
        <v>1596</v>
      </c>
      <c r="P5" s="81" t="s">
        <v>2485</v>
      </c>
      <c r="Q5" s="81" t="s">
        <v>1698</v>
      </c>
    </row>
    <row r="6" spans="1:17" ht="31.95" customHeight="1">
      <c r="A6" s="82" t="s">
        <v>2486</v>
      </c>
      <c r="B6" s="82" t="s">
        <v>1738</v>
      </c>
      <c r="C6" s="88">
        <v>46569</v>
      </c>
      <c r="D6" s="82" t="s">
        <v>2487</v>
      </c>
      <c r="E6" s="84">
        <v>0</v>
      </c>
      <c r="F6" s="90">
        <v>15000</v>
      </c>
      <c r="G6" s="90">
        <v>8000</v>
      </c>
      <c r="H6" s="90">
        <v>1000</v>
      </c>
      <c r="I6" s="84">
        <v>0</v>
      </c>
      <c r="J6" s="84">
        <v>0</v>
      </c>
      <c r="K6" s="90">
        <v>0</v>
      </c>
      <c r="L6" s="90">
        <v>0</v>
      </c>
      <c r="M6" s="99">
        <f>SUMIFS(SC05예산원장!$I$6:$I$13,SC05예산원장!$B$6:$B$13,B6,SC05예산원장!$C$6:$C$13,"ONEOFF")</f>
        <v>4000000</v>
      </c>
      <c r="N6" s="94">
        <f t="shared" ref="N6:N23" si="0">IF(B6="ACT42",(I6-J6)*K6-L6-M6,E6*(F6-G6-H6)-L6-M6)</f>
        <v>-4000000</v>
      </c>
      <c r="O6" s="90">
        <v>0</v>
      </c>
      <c r="P6" s="82" t="s">
        <v>2488</v>
      </c>
      <c r="Q6" s="82" t="s">
        <v>2489</v>
      </c>
    </row>
    <row r="7" spans="1:17" ht="31.95" customHeight="1">
      <c r="A7" s="83" t="s">
        <v>2490</v>
      </c>
      <c r="B7" s="83" t="s">
        <v>1740</v>
      </c>
      <c r="C7" s="89">
        <v>46569</v>
      </c>
      <c r="D7" s="83" t="s">
        <v>2487</v>
      </c>
      <c r="E7" s="85">
        <v>0</v>
      </c>
      <c r="F7" s="91">
        <v>0</v>
      </c>
      <c r="G7" s="91">
        <v>0</v>
      </c>
      <c r="H7" s="91">
        <v>0</v>
      </c>
      <c r="I7" s="85">
        <v>0</v>
      </c>
      <c r="J7" s="85">
        <v>0</v>
      </c>
      <c r="K7" s="100">
        <f>SC05설정!$B$13</f>
        <v>1200000</v>
      </c>
      <c r="L7" s="91">
        <v>0</v>
      </c>
      <c r="M7" s="91">
        <v>0</v>
      </c>
      <c r="N7" s="95">
        <f t="shared" si="0"/>
        <v>0</v>
      </c>
      <c r="O7" s="91">
        <v>0</v>
      </c>
      <c r="P7" s="83" t="s">
        <v>2488</v>
      </c>
      <c r="Q7" s="83" t="s">
        <v>2491</v>
      </c>
    </row>
    <row r="8" spans="1:17" ht="31.95" customHeight="1">
      <c r="A8" s="82" t="s">
        <v>2492</v>
      </c>
      <c r="B8" s="82" t="s">
        <v>1741</v>
      </c>
      <c r="C8" s="88">
        <v>46569</v>
      </c>
      <c r="D8" s="82" t="s">
        <v>2487</v>
      </c>
      <c r="E8" s="84">
        <v>0</v>
      </c>
      <c r="F8" s="90">
        <v>5000</v>
      </c>
      <c r="G8" s="90">
        <v>4500</v>
      </c>
      <c r="H8" s="90">
        <v>100</v>
      </c>
      <c r="I8" s="84">
        <v>0</v>
      </c>
      <c r="J8" s="84">
        <v>0</v>
      </c>
      <c r="K8" s="90">
        <v>0</v>
      </c>
      <c r="L8" s="90">
        <v>0</v>
      </c>
      <c r="M8" s="90">
        <v>0</v>
      </c>
      <c r="N8" s="94">
        <f t="shared" si="0"/>
        <v>0</v>
      </c>
      <c r="O8" s="90">
        <v>0</v>
      </c>
      <c r="P8" s="82" t="s">
        <v>2488</v>
      </c>
      <c r="Q8" s="82" t="s">
        <v>2278</v>
      </c>
    </row>
    <row r="9" spans="1:17" ht="31.95" customHeight="1">
      <c r="A9" s="83" t="s">
        <v>2493</v>
      </c>
      <c r="B9" s="83" t="s">
        <v>1738</v>
      </c>
      <c r="C9" s="89">
        <v>46600</v>
      </c>
      <c r="D9" s="83" t="s">
        <v>2487</v>
      </c>
      <c r="E9" s="85">
        <v>3000</v>
      </c>
      <c r="F9" s="91">
        <v>15000</v>
      </c>
      <c r="G9" s="91">
        <v>8000</v>
      </c>
      <c r="H9" s="91">
        <v>1000</v>
      </c>
      <c r="I9" s="85">
        <v>0</v>
      </c>
      <c r="J9" s="85">
        <v>0</v>
      </c>
      <c r="K9" s="91">
        <v>0</v>
      </c>
      <c r="L9" s="91">
        <v>0</v>
      </c>
      <c r="M9" s="91">
        <v>0</v>
      </c>
      <c r="N9" s="95">
        <f t="shared" si="0"/>
        <v>18000000</v>
      </c>
      <c r="O9" s="91">
        <v>0</v>
      </c>
      <c r="P9" s="83" t="s">
        <v>2488</v>
      </c>
      <c r="Q9" s="83" t="s">
        <v>2489</v>
      </c>
    </row>
    <row r="10" spans="1:17" ht="31.95" customHeight="1">
      <c r="A10" s="82" t="s">
        <v>2494</v>
      </c>
      <c r="B10" s="82" t="s">
        <v>1740</v>
      </c>
      <c r="C10" s="88">
        <v>46600</v>
      </c>
      <c r="D10" s="82" t="s">
        <v>2487</v>
      </c>
      <c r="E10" s="84">
        <v>0</v>
      </c>
      <c r="F10" s="90">
        <v>0</v>
      </c>
      <c r="G10" s="90">
        <v>0</v>
      </c>
      <c r="H10" s="90">
        <v>0</v>
      </c>
      <c r="I10" s="84">
        <v>0</v>
      </c>
      <c r="J10" s="84">
        <v>0</v>
      </c>
      <c r="K10" s="99">
        <f>SC05설정!$B$13</f>
        <v>1200000</v>
      </c>
      <c r="L10" s="90">
        <v>0</v>
      </c>
      <c r="M10" s="99">
        <f>SUMIFS(SC05예산원장!$I$6:$I$13,SC05예산원장!$B$6:$B$13,B10,SC05예산원장!$C$6:$C$13,"ONEOFF")</f>
        <v>2000000</v>
      </c>
      <c r="N10" s="94">
        <f t="shared" si="0"/>
        <v>-2000000</v>
      </c>
      <c r="O10" s="90">
        <v>0</v>
      </c>
      <c r="P10" s="82" t="s">
        <v>2488</v>
      </c>
      <c r="Q10" s="82" t="s">
        <v>2491</v>
      </c>
    </row>
    <row r="11" spans="1:17" ht="31.95" customHeight="1">
      <c r="A11" s="83" t="s">
        <v>2495</v>
      </c>
      <c r="B11" s="83" t="s">
        <v>1741</v>
      </c>
      <c r="C11" s="89">
        <v>46600</v>
      </c>
      <c r="D11" s="83" t="s">
        <v>2487</v>
      </c>
      <c r="E11" s="85">
        <v>0</v>
      </c>
      <c r="F11" s="91">
        <v>5000</v>
      </c>
      <c r="G11" s="91">
        <v>4500</v>
      </c>
      <c r="H11" s="91">
        <v>100</v>
      </c>
      <c r="I11" s="85">
        <v>0</v>
      </c>
      <c r="J11" s="85">
        <v>0</v>
      </c>
      <c r="K11" s="91">
        <v>0</v>
      </c>
      <c r="L11" s="91">
        <v>0</v>
      </c>
      <c r="M11" s="91">
        <v>0</v>
      </c>
      <c r="N11" s="95">
        <f t="shared" si="0"/>
        <v>0</v>
      </c>
      <c r="O11" s="91">
        <v>0</v>
      </c>
      <c r="P11" s="83" t="s">
        <v>2488</v>
      </c>
      <c r="Q11" s="83" t="s">
        <v>2278</v>
      </c>
    </row>
    <row r="12" spans="1:17" ht="31.95" customHeight="1">
      <c r="A12" s="82" t="s">
        <v>2496</v>
      </c>
      <c r="B12" s="82" t="s">
        <v>1738</v>
      </c>
      <c r="C12" s="88">
        <v>46631</v>
      </c>
      <c r="D12" s="82" t="s">
        <v>2487</v>
      </c>
      <c r="E12" s="84">
        <v>3000</v>
      </c>
      <c r="F12" s="90">
        <v>15000</v>
      </c>
      <c r="G12" s="90">
        <v>8000</v>
      </c>
      <c r="H12" s="90">
        <v>1000</v>
      </c>
      <c r="I12" s="84">
        <v>0</v>
      </c>
      <c r="J12" s="84">
        <v>0</v>
      </c>
      <c r="K12" s="90">
        <v>0</v>
      </c>
      <c r="L12" s="90">
        <v>0</v>
      </c>
      <c r="M12" s="90">
        <v>0</v>
      </c>
      <c r="N12" s="94">
        <f t="shared" si="0"/>
        <v>18000000</v>
      </c>
      <c r="O12" s="90">
        <v>0</v>
      </c>
      <c r="P12" s="82" t="s">
        <v>2488</v>
      </c>
      <c r="Q12" s="82" t="s">
        <v>2489</v>
      </c>
    </row>
    <row r="13" spans="1:17" ht="31.95" customHeight="1">
      <c r="A13" s="83" t="s">
        <v>2497</v>
      </c>
      <c r="B13" s="83" t="s">
        <v>1740</v>
      </c>
      <c r="C13" s="89">
        <v>46631</v>
      </c>
      <c r="D13" s="83" t="s">
        <v>2487</v>
      </c>
      <c r="E13" s="85">
        <v>0</v>
      </c>
      <c r="F13" s="91">
        <v>0</v>
      </c>
      <c r="G13" s="91">
        <v>0</v>
      </c>
      <c r="H13" s="91">
        <v>0</v>
      </c>
      <c r="I13" s="98">
        <f>SC05설정!$B$12</f>
        <v>12</v>
      </c>
      <c r="J13" s="98">
        <f>SC05초기지표!C7</f>
        <v>5</v>
      </c>
      <c r="K13" s="100">
        <f>SC05설정!$B$13</f>
        <v>1200000</v>
      </c>
      <c r="L13" s="100">
        <f>SC05초기지표!C11</f>
        <v>200000</v>
      </c>
      <c r="M13" s="91">
        <v>0</v>
      </c>
      <c r="N13" s="95">
        <f t="shared" si="0"/>
        <v>8200000</v>
      </c>
      <c r="O13" s="91">
        <v>0</v>
      </c>
      <c r="P13" s="83" t="s">
        <v>2488</v>
      </c>
      <c r="Q13" s="83" t="s">
        <v>2491</v>
      </c>
    </row>
    <row r="14" spans="1:17" ht="31.95" customHeight="1">
      <c r="A14" s="82" t="s">
        <v>2498</v>
      </c>
      <c r="B14" s="82" t="s">
        <v>1741</v>
      </c>
      <c r="C14" s="88">
        <v>46631</v>
      </c>
      <c r="D14" s="82" t="s">
        <v>2487</v>
      </c>
      <c r="E14" s="84">
        <v>0</v>
      </c>
      <c r="F14" s="90">
        <v>5000</v>
      </c>
      <c r="G14" s="90">
        <v>4500</v>
      </c>
      <c r="H14" s="90">
        <v>100</v>
      </c>
      <c r="I14" s="84">
        <v>0</v>
      </c>
      <c r="J14" s="84">
        <v>0</v>
      </c>
      <c r="K14" s="90">
        <v>0</v>
      </c>
      <c r="L14" s="90">
        <v>0</v>
      </c>
      <c r="M14" s="99">
        <f>SUMIFS(SC05예산원장!$I$6:$I$13,SC05예산원장!$B$6:$B$13,B14,SC05예산원장!$C$6:$C$13,"ONEOFF")</f>
        <v>1000000</v>
      </c>
      <c r="N14" s="94">
        <f t="shared" si="0"/>
        <v>-1000000</v>
      </c>
      <c r="O14" s="90">
        <v>0</v>
      </c>
      <c r="P14" s="82" t="s">
        <v>2488</v>
      </c>
      <c r="Q14" s="82" t="s">
        <v>2278</v>
      </c>
    </row>
    <row r="15" spans="1:17" ht="31.95" customHeight="1">
      <c r="A15" s="83" t="s">
        <v>2499</v>
      </c>
      <c r="B15" s="83" t="s">
        <v>1738</v>
      </c>
      <c r="C15" s="89">
        <v>46661</v>
      </c>
      <c r="D15" s="83" t="s">
        <v>2500</v>
      </c>
      <c r="E15" s="85">
        <v>3000</v>
      </c>
      <c r="F15" s="91">
        <v>15000</v>
      </c>
      <c r="G15" s="91">
        <v>8000</v>
      </c>
      <c r="H15" s="91">
        <v>1000</v>
      </c>
      <c r="I15" s="85">
        <v>0</v>
      </c>
      <c r="J15" s="85">
        <v>0</v>
      </c>
      <c r="K15" s="91">
        <v>0</v>
      </c>
      <c r="L15" s="91">
        <v>0</v>
      </c>
      <c r="M15" s="91">
        <v>0</v>
      </c>
      <c r="N15" s="95">
        <f t="shared" si="0"/>
        <v>18000000</v>
      </c>
      <c r="O15" s="91">
        <v>0</v>
      </c>
      <c r="P15" s="83" t="s">
        <v>2501</v>
      </c>
      <c r="Q15" s="83" t="s">
        <v>2489</v>
      </c>
    </row>
    <row r="16" spans="1:17" ht="31.95" customHeight="1">
      <c r="A16" s="82" t="s">
        <v>2502</v>
      </c>
      <c r="B16" s="82" t="s">
        <v>1740</v>
      </c>
      <c r="C16" s="88">
        <v>46661</v>
      </c>
      <c r="D16" s="82" t="s">
        <v>2500</v>
      </c>
      <c r="E16" s="84">
        <v>0</v>
      </c>
      <c r="F16" s="90">
        <v>0</v>
      </c>
      <c r="G16" s="90">
        <v>0</v>
      </c>
      <c r="H16" s="90">
        <v>0</v>
      </c>
      <c r="I16" s="97">
        <f>SC05설정!$B$12</f>
        <v>12</v>
      </c>
      <c r="J16" s="97">
        <f>SC05설정!$B$15</f>
        <v>4</v>
      </c>
      <c r="K16" s="99">
        <f>SC05설정!$B$13</f>
        <v>1200000</v>
      </c>
      <c r="L16" s="99">
        <f>SC05설정!$B$14</f>
        <v>200000</v>
      </c>
      <c r="M16" s="90">
        <v>0</v>
      </c>
      <c r="N16" s="94">
        <f t="shared" si="0"/>
        <v>9400000</v>
      </c>
      <c r="O16" s="90">
        <v>0</v>
      </c>
      <c r="P16" s="82" t="s">
        <v>2501</v>
      </c>
      <c r="Q16" s="82" t="s">
        <v>2491</v>
      </c>
    </row>
    <row r="17" spans="1:17" ht="31.95" customHeight="1">
      <c r="A17" s="83" t="s">
        <v>2503</v>
      </c>
      <c r="B17" s="83" t="s">
        <v>1741</v>
      </c>
      <c r="C17" s="89">
        <v>46661</v>
      </c>
      <c r="D17" s="83" t="s">
        <v>2500</v>
      </c>
      <c r="E17" s="85">
        <v>6000</v>
      </c>
      <c r="F17" s="91">
        <v>5000</v>
      </c>
      <c r="G17" s="91">
        <v>4500</v>
      </c>
      <c r="H17" s="91">
        <v>100</v>
      </c>
      <c r="I17" s="85">
        <v>0</v>
      </c>
      <c r="J17" s="85">
        <v>0</v>
      </c>
      <c r="K17" s="91">
        <v>0</v>
      </c>
      <c r="L17" s="91">
        <v>0</v>
      </c>
      <c r="M17" s="91">
        <v>0</v>
      </c>
      <c r="N17" s="95">
        <f t="shared" si="0"/>
        <v>2400000</v>
      </c>
      <c r="O17" s="91">
        <v>0</v>
      </c>
      <c r="P17" s="83" t="s">
        <v>2501</v>
      </c>
      <c r="Q17" s="83" t="s">
        <v>2278</v>
      </c>
    </row>
    <row r="18" spans="1:17" ht="31.95" customHeight="1">
      <c r="A18" s="82" t="s">
        <v>2504</v>
      </c>
      <c r="B18" s="82" t="s">
        <v>1738</v>
      </c>
      <c r="C18" s="88">
        <v>46692</v>
      </c>
      <c r="D18" s="82" t="s">
        <v>2500</v>
      </c>
      <c r="E18" s="84">
        <v>3000</v>
      </c>
      <c r="F18" s="90">
        <v>15000</v>
      </c>
      <c r="G18" s="90">
        <v>8000</v>
      </c>
      <c r="H18" s="90">
        <v>1000</v>
      </c>
      <c r="I18" s="84">
        <v>0</v>
      </c>
      <c r="J18" s="84">
        <v>0</v>
      </c>
      <c r="K18" s="90">
        <v>0</v>
      </c>
      <c r="L18" s="90">
        <v>0</v>
      </c>
      <c r="M18" s="90">
        <v>0</v>
      </c>
      <c r="N18" s="94">
        <f t="shared" si="0"/>
        <v>18000000</v>
      </c>
      <c r="O18" s="90">
        <v>0</v>
      </c>
      <c r="P18" s="82" t="s">
        <v>2501</v>
      </c>
      <c r="Q18" s="82" t="s">
        <v>2489</v>
      </c>
    </row>
    <row r="19" spans="1:17" ht="31.95" customHeight="1">
      <c r="A19" s="83" t="s">
        <v>2505</v>
      </c>
      <c r="B19" s="83" t="s">
        <v>1740</v>
      </c>
      <c r="C19" s="89">
        <v>46692</v>
      </c>
      <c r="D19" s="83" t="s">
        <v>2500</v>
      </c>
      <c r="E19" s="85">
        <v>0</v>
      </c>
      <c r="F19" s="91">
        <v>0</v>
      </c>
      <c r="G19" s="91">
        <v>0</v>
      </c>
      <c r="H19" s="91">
        <v>0</v>
      </c>
      <c r="I19" s="98">
        <f>SC05설정!$B$12</f>
        <v>12</v>
      </c>
      <c r="J19" s="98">
        <f>SC05설정!$B$16</f>
        <v>3</v>
      </c>
      <c r="K19" s="100">
        <f>SC05설정!$B$13</f>
        <v>1200000</v>
      </c>
      <c r="L19" s="100">
        <f>SC05설정!$B$14</f>
        <v>200000</v>
      </c>
      <c r="M19" s="91">
        <v>0</v>
      </c>
      <c r="N19" s="95">
        <f t="shared" si="0"/>
        <v>10600000</v>
      </c>
      <c r="O19" s="91">
        <v>0</v>
      </c>
      <c r="P19" s="83" t="s">
        <v>2501</v>
      </c>
      <c r="Q19" s="83" t="s">
        <v>2491</v>
      </c>
    </row>
    <row r="20" spans="1:17" ht="31.95" customHeight="1">
      <c r="A20" s="82" t="s">
        <v>2506</v>
      </c>
      <c r="B20" s="82" t="s">
        <v>1741</v>
      </c>
      <c r="C20" s="88">
        <v>46692</v>
      </c>
      <c r="D20" s="82" t="s">
        <v>2500</v>
      </c>
      <c r="E20" s="84">
        <v>6000</v>
      </c>
      <c r="F20" s="90">
        <v>5000</v>
      </c>
      <c r="G20" s="90">
        <v>4500</v>
      </c>
      <c r="H20" s="90">
        <v>100</v>
      </c>
      <c r="I20" s="84">
        <v>0</v>
      </c>
      <c r="J20" s="84">
        <v>0</v>
      </c>
      <c r="K20" s="90">
        <v>0</v>
      </c>
      <c r="L20" s="90">
        <v>0</v>
      </c>
      <c r="M20" s="90">
        <v>0</v>
      </c>
      <c r="N20" s="94">
        <f t="shared" si="0"/>
        <v>2400000</v>
      </c>
      <c r="O20" s="90">
        <v>0</v>
      </c>
      <c r="P20" s="82" t="s">
        <v>2501</v>
      </c>
      <c r="Q20" s="82" t="s">
        <v>2278</v>
      </c>
    </row>
    <row r="21" spans="1:17" ht="31.95" customHeight="1">
      <c r="A21" s="83" t="s">
        <v>2507</v>
      </c>
      <c r="B21" s="83" t="s">
        <v>1738</v>
      </c>
      <c r="C21" s="89">
        <v>46722</v>
      </c>
      <c r="D21" s="83" t="s">
        <v>2500</v>
      </c>
      <c r="E21" s="85">
        <v>3000</v>
      </c>
      <c r="F21" s="91">
        <v>15000</v>
      </c>
      <c r="G21" s="91">
        <v>8000</v>
      </c>
      <c r="H21" s="91">
        <v>1000</v>
      </c>
      <c r="I21" s="85">
        <v>0</v>
      </c>
      <c r="J21" s="85">
        <v>0</v>
      </c>
      <c r="K21" s="91">
        <v>0</v>
      </c>
      <c r="L21" s="91">
        <v>0</v>
      </c>
      <c r="M21" s="91">
        <v>0</v>
      </c>
      <c r="N21" s="95">
        <f t="shared" si="0"/>
        <v>18000000</v>
      </c>
      <c r="O21" s="91">
        <v>0</v>
      </c>
      <c r="P21" s="83" t="s">
        <v>2501</v>
      </c>
      <c r="Q21" s="83" t="s">
        <v>2489</v>
      </c>
    </row>
    <row r="22" spans="1:17" ht="31.95" customHeight="1">
      <c r="A22" s="82" t="s">
        <v>2508</v>
      </c>
      <c r="B22" s="82" t="s">
        <v>1740</v>
      </c>
      <c r="C22" s="88">
        <v>46722</v>
      </c>
      <c r="D22" s="82" t="s">
        <v>2500</v>
      </c>
      <c r="E22" s="84">
        <v>0</v>
      </c>
      <c r="F22" s="90">
        <v>0</v>
      </c>
      <c r="G22" s="90">
        <v>0</v>
      </c>
      <c r="H22" s="90">
        <v>0</v>
      </c>
      <c r="I22" s="97">
        <f>SC05설정!$B$12</f>
        <v>12</v>
      </c>
      <c r="J22" s="97">
        <f>SC05설정!$B$17</f>
        <v>3</v>
      </c>
      <c r="K22" s="99">
        <f>SC05설정!$B$13</f>
        <v>1200000</v>
      </c>
      <c r="L22" s="99">
        <f>SC05설정!$B$14</f>
        <v>200000</v>
      </c>
      <c r="M22" s="90">
        <v>0</v>
      </c>
      <c r="N22" s="94">
        <f t="shared" si="0"/>
        <v>10600000</v>
      </c>
      <c r="O22" s="90">
        <v>0</v>
      </c>
      <c r="P22" s="82" t="s">
        <v>2501</v>
      </c>
      <c r="Q22" s="82" t="s">
        <v>2491</v>
      </c>
    </row>
    <row r="23" spans="1:17" ht="31.95" customHeight="1">
      <c r="A23" s="83" t="s">
        <v>2509</v>
      </c>
      <c r="B23" s="83" t="s">
        <v>1741</v>
      </c>
      <c r="C23" s="89">
        <v>46722</v>
      </c>
      <c r="D23" s="83" t="s">
        <v>2500</v>
      </c>
      <c r="E23" s="85">
        <v>6000</v>
      </c>
      <c r="F23" s="91">
        <v>5000</v>
      </c>
      <c r="G23" s="91">
        <v>4500</v>
      </c>
      <c r="H23" s="91">
        <v>100</v>
      </c>
      <c r="I23" s="85">
        <v>0</v>
      </c>
      <c r="J23" s="85">
        <v>0</v>
      </c>
      <c r="K23" s="91">
        <v>0</v>
      </c>
      <c r="L23" s="91">
        <v>0</v>
      </c>
      <c r="M23" s="91">
        <v>0</v>
      </c>
      <c r="N23" s="95">
        <f t="shared" si="0"/>
        <v>2400000</v>
      </c>
      <c r="O23" s="91">
        <v>0</v>
      </c>
      <c r="P23" s="83" t="s">
        <v>2501</v>
      </c>
      <c r="Q23" s="83" t="s">
        <v>2278</v>
      </c>
    </row>
  </sheetData>
  <phoneticPr fontId="30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9BB2C2"/>
  </sheetPr>
  <dimension ref="A1:M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32" customWidth="1"/>
    <col min="2" max="2" width="18" customWidth="1"/>
    <col min="3" max="3" width="17" customWidth="1"/>
    <col min="4" max="5" width="20" customWidth="1"/>
    <col min="6" max="6" width="24" customWidth="1"/>
    <col min="7" max="8" width="27" customWidth="1"/>
    <col min="9" max="9" width="25" customWidth="1"/>
    <col min="10" max="11" width="27" customWidth="1"/>
    <col min="12" max="12" width="75" customWidth="1"/>
    <col min="13" max="13" width="34" customWidth="1"/>
  </cols>
  <sheetData>
    <row r="1" spans="1:13" ht="28.95" customHeight="1">
      <c r="A1" s="80" t="s">
        <v>2510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2511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1584</v>
      </c>
      <c r="B5" s="81" t="s">
        <v>165</v>
      </c>
      <c r="C5" s="81" t="s">
        <v>190</v>
      </c>
      <c r="D5" s="81" t="s">
        <v>2512</v>
      </c>
      <c r="E5" s="81" t="s">
        <v>2513</v>
      </c>
      <c r="F5" s="81" t="s">
        <v>193</v>
      </c>
      <c r="G5" s="81" t="s">
        <v>2514</v>
      </c>
      <c r="H5" s="81" t="s">
        <v>2515</v>
      </c>
      <c r="I5" s="81" t="s">
        <v>2516</v>
      </c>
      <c r="J5" s="81" t="s">
        <v>2517</v>
      </c>
      <c r="K5" s="81" t="s">
        <v>2518</v>
      </c>
      <c r="L5" s="81" t="s">
        <v>2519</v>
      </c>
      <c r="M5" s="81" t="s">
        <v>2520</v>
      </c>
    </row>
    <row r="6" spans="1:13" ht="31.95" customHeight="1">
      <c r="A6" s="82" t="s">
        <v>2521</v>
      </c>
      <c r="B6" s="88">
        <v>46388</v>
      </c>
      <c r="C6" s="82" t="s">
        <v>219</v>
      </c>
      <c r="D6" s="82" t="s">
        <v>2487</v>
      </c>
      <c r="E6" s="84">
        <v>4080</v>
      </c>
      <c r="F6" s="90">
        <v>300000</v>
      </c>
      <c r="G6" s="90">
        <v>122400000</v>
      </c>
      <c r="H6" s="94">
        <f>월별계산!R6</f>
        <v>122400000</v>
      </c>
      <c r="I6" s="99">
        <f>SUMIFS(SC05월효과!$N$6:$N$23,SC05월효과!$B$6:$B$23,"ACT41",SC05월효과!$C$6:$C$23,B6)</f>
        <v>0</v>
      </c>
      <c r="J6" s="94">
        <f t="shared" ref="J6:J37" si="0">G6+I6</f>
        <v>122400000</v>
      </c>
      <c r="K6" s="94">
        <f t="shared" ref="K6:K37" si="1">E6*F6</f>
        <v>1224000000</v>
      </c>
      <c r="L6" s="82" t="s">
        <v>2522</v>
      </c>
      <c r="M6" s="82" t="s">
        <v>2523</v>
      </c>
    </row>
    <row r="7" spans="1:13" ht="31.95" customHeight="1">
      <c r="A7" s="83" t="s">
        <v>2524</v>
      </c>
      <c r="B7" s="89">
        <v>46388</v>
      </c>
      <c r="C7" s="83" t="s">
        <v>224</v>
      </c>
      <c r="D7" s="83" t="s">
        <v>2487</v>
      </c>
      <c r="E7" s="85">
        <v>10200</v>
      </c>
      <c r="F7" s="91">
        <v>180000</v>
      </c>
      <c r="G7" s="91">
        <v>204000000</v>
      </c>
      <c r="H7" s="95">
        <f>월별계산!R7</f>
        <v>204000000</v>
      </c>
      <c r="I7" s="100">
        <f>SUMIFS(SC05월효과!$N$6:$N$23,SC05월효과!$B$6:$B$23,"ACT42",SC05월효과!$C$6:$C$23,B7)+SUMIFS(SC05월효과!$N$6:$N$23,SC05월효과!$B$6:$B$23,"ACT43",SC05월효과!$C$6:$C$23,B7)</f>
        <v>0</v>
      </c>
      <c r="J7" s="95">
        <f t="shared" si="0"/>
        <v>204000000</v>
      </c>
      <c r="K7" s="95">
        <f t="shared" si="1"/>
        <v>1836000000</v>
      </c>
      <c r="L7" s="83" t="s">
        <v>2522</v>
      </c>
      <c r="M7" s="83" t="s">
        <v>2525</v>
      </c>
    </row>
    <row r="8" spans="1:13" ht="31.95" customHeight="1">
      <c r="A8" s="82" t="s">
        <v>2526</v>
      </c>
      <c r="B8" s="88">
        <v>46388</v>
      </c>
      <c r="C8" s="82" t="s">
        <v>226</v>
      </c>
      <c r="D8" s="82" t="s">
        <v>2487</v>
      </c>
      <c r="E8" s="84">
        <v>6059</v>
      </c>
      <c r="F8" s="90">
        <v>230000</v>
      </c>
      <c r="G8" s="90">
        <v>169652000</v>
      </c>
      <c r="H8" s="94">
        <f>월별계산!R8</f>
        <v>171360000</v>
      </c>
      <c r="I8" s="90">
        <v>0</v>
      </c>
      <c r="J8" s="94">
        <f t="shared" si="0"/>
        <v>169652000</v>
      </c>
      <c r="K8" s="94">
        <f t="shared" si="1"/>
        <v>1393570000</v>
      </c>
      <c r="L8" s="82" t="s">
        <v>2522</v>
      </c>
      <c r="M8" s="82" t="s">
        <v>2527</v>
      </c>
    </row>
    <row r="9" spans="1:13" ht="31.95" customHeight="1">
      <c r="A9" s="83" t="s">
        <v>2528</v>
      </c>
      <c r="B9" s="89">
        <v>46388</v>
      </c>
      <c r="C9" s="83" t="s">
        <v>228</v>
      </c>
      <c r="D9" s="83" t="s">
        <v>2487</v>
      </c>
      <c r="E9" s="85">
        <v>5151</v>
      </c>
      <c r="F9" s="91">
        <v>210000</v>
      </c>
      <c r="G9" s="91">
        <v>128775000</v>
      </c>
      <c r="H9" s="95">
        <f>월별계산!R9</f>
        <v>127500000</v>
      </c>
      <c r="I9" s="91">
        <v>0</v>
      </c>
      <c r="J9" s="95">
        <f t="shared" si="0"/>
        <v>128775000</v>
      </c>
      <c r="K9" s="95">
        <f t="shared" si="1"/>
        <v>1081710000</v>
      </c>
      <c r="L9" s="83" t="s">
        <v>2522</v>
      </c>
      <c r="M9" s="83" t="s">
        <v>2529</v>
      </c>
    </row>
    <row r="10" spans="1:13" ht="31.95" customHeight="1">
      <c r="A10" s="82" t="s">
        <v>2530</v>
      </c>
      <c r="B10" s="88">
        <v>46388</v>
      </c>
      <c r="C10" s="82" t="s">
        <v>230</v>
      </c>
      <c r="D10" s="82" t="s">
        <v>2487</v>
      </c>
      <c r="E10" s="84">
        <v>3029</v>
      </c>
      <c r="F10" s="90">
        <v>150000</v>
      </c>
      <c r="G10" s="90">
        <v>54522000</v>
      </c>
      <c r="H10" s="94">
        <f>월별계산!R10</f>
        <v>55080000</v>
      </c>
      <c r="I10" s="90">
        <v>0</v>
      </c>
      <c r="J10" s="94">
        <f t="shared" si="0"/>
        <v>54522000</v>
      </c>
      <c r="K10" s="94">
        <f t="shared" si="1"/>
        <v>454350000</v>
      </c>
      <c r="L10" s="82" t="s">
        <v>2522</v>
      </c>
      <c r="M10" s="82" t="s">
        <v>2531</v>
      </c>
    </row>
    <row r="11" spans="1:13" ht="31.95" customHeight="1">
      <c r="A11" s="83" t="s">
        <v>2532</v>
      </c>
      <c r="B11" s="89">
        <v>46419</v>
      </c>
      <c r="C11" s="83" t="s">
        <v>219</v>
      </c>
      <c r="D11" s="83" t="s">
        <v>2487</v>
      </c>
      <c r="E11" s="85">
        <v>3564</v>
      </c>
      <c r="F11" s="91">
        <v>300000</v>
      </c>
      <c r="G11" s="91">
        <v>106920000</v>
      </c>
      <c r="H11" s="95">
        <f>월별계산!R11</f>
        <v>108000000</v>
      </c>
      <c r="I11" s="100">
        <f>SUMIFS(SC05월효과!$N$6:$N$23,SC05월효과!$B$6:$B$23,"ACT41",SC05월효과!$C$6:$C$23,B11)</f>
        <v>0</v>
      </c>
      <c r="J11" s="95">
        <f t="shared" si="0"/>
        <v>106920000</v>
      </c>
      <c r="K11" s="95">
        <f t="shared" si="1"/>
        <v>1069200000</v>
      </c>
      <c r="L11" s="83" t="s">
        <v>2522</v>
      </c>
      <c r="M11" s="83" t="s">
        <v>2533</v>
      </c>
    </row>
    <row r="12" spans="1:13" ht="31.95" customHeight="1">
      <c r="A12" s="82" t="s">
        <v>2534</v>
      </c>
      <c r="B12" s="88">
        <v>46419</v>
      </c>
      <c r="C12" s="82" t="s">
        <v>224</v>
      </c>
      <c r="D12" s="82" t="s">
        <v>2487</v>
      </c>
      <c r="E12" s="84">
        <v>8910</v>
      </c>
      <c r="F12" s="90">
        <v>180000</v>
      </c>
      <c r="G12" s="90">
        <v>178200000</v>
      </c>
      <c r="H12" s="94">
        <f>월별계산!R12</f>
        <v>180000000</v>
      </c>
      <c r="I12" s="99">
        <f>SUMIFS(SC05월효과!$N$6:$N$23,SC05월효과!$B$6:$B$23,"ACT42",SC05월효과!$C$6:$C$23,B12)+SUMIFS(SC05월효과!$N$6:$N$23,SC05월효과!$B$6:$B$23,"ACT43",SC05월효과!$C$6:$C$23,B12)</f>
        <v>0</v>
      </c>
      <c r="J12" s="94">
        <f t="shared" si="0"/>
        <v>178200000</v>
      </c>
      <c r="K12" s="94">
        <f t="shared" si="1"/>
        <v>1603800000</v>
      </c>
      <c r="L12" s="82" t="s">
        <v>2522</v>
      </c>
      <c r="M12" s="82" t="s">
        <v>2535</v>
      </c>
    </row>
    <row r="13" spans="1:13" ht="31.95" customHeight="1">
      <c r="A13" s="83" t="s">
        <v>2536</v>
      </c>
      <c r="B13" s="89">
        <v>46419</v>
      </c>
      <c r="C13" s="83" t="s">
        <v>226</v>
      </c>
      <c r="D13" s="83" t="s">
        <v>2487</v>
      </c>
      <c r="E13" s="85">
        <v>5346</v>
      </c>
      <c r="F13" s="91">
        <v>230000</v>
      </c>
      <c r="G13" s="91">
        <v>149688000</v>
      </c>
      <c r="H13" s="95">
        <f>월별계산!R13</f>
        <v>151200000</v>
      </c>
      <c r="I13" s="91">
        <v>0</v>
      </c>
      <c r="J13" s="95">
        <f t="shared" si="0"/>
        <v>149688000</v>
      </c>
      <c r="K13" s="95">
        <f t="shared" si="1"/>
        <v>1229580000</v>
      </c>
      <c r="L13" s="83" t="s">
        <v>2522</v>
      </c>
      <c r="M13" s="83" t="s">
        <v>2537</v>
      </c>
    </row>
    <row r="14" spans="1:13" ht="31.95" customHeight="1">
      <c r="A14" s="82" t="s">
        <v>2538</v>
      </c>
      <c r="B14" s="88">
        <v>46419</v>
      </c>
      <c r="C14" s="82" t="s">
        <v>228</v>
      </c>
      <c r="D14" s="82" t="s">
        <v>2487</v>
      </c>
      <c r="E14" s="84">
        <v>4545</v>
      </c>
      <c r="F14" s="90">
        <v>210000</v>
      </c>
      <c r="G14" s="90">
        <v>113625000</v>
      </c>
      <c r="H14" s="94">
        <f>월별계산!R14</f>
        <v>112500000</v>
      </c>
      <c r="I14" s="90">
        <v>0</v>
      </c>
      <c r="J14" s="94">
        <f t="shared" si="0"/>
        <v>113625000</v>
      </c>
      <c r="K14" s="94">
        <f t="shared" si="1"/>
        <v>954450000</v>
      </c>
      <c r="L14" s="82" t="s">
        <v>2522</v>
      </c>
      <c r="M14" s="82" t="s">
        <v>2539</v>
      </c>
    </row>
    <row r="15" spans="1:13" ht="31.95" customHeight="1">
      <c r="A15" s="83" t="s">
        <v>2540</v>
      </c>
      <c r="B15" s="89">
        <v>46419</v>
      </c>
      <c r="C15" s="83" t="s">
        <v>230</v>
      </c>
      <c r="D15" s="83" t="s">
        <v>2487</v>
      </c>
      <c r="E15" s="85">
        <v>2673</v>
      </c>
      <c r="F15" s="91">
        <v>150000</v>
      </c>
      <c r="G15" s="91">
        <v>48114000</v>
      </c>
      <c r="H15" s="95">
        <f>월별계산!R15</f>
        <v>48600000</v>
      </c>
      <c r="I15" s="91">
        <v>0</v>
      </c>
      <c r="J15" s="95">
        <f t="shared" si="0"/>
        <v>48114000</v>
      </c>
      <c r="K15" s="95">
        <f t="shared" si="1"/>
        <v>400950000</v>
      </c>
      <c r="L15" s="83" t="s">
        <v>2522</v>
      </c>
      <c r="M15" s="83" t="s">
        <v>2541</v>
      </c>
    </row>
    <row r="16" spans="1:13" ht="31.95" customHeight="1">
      <c r="A16" s="82" t="s">
        <v>2542</v>
      </c>
      <c r="B16" s="88">
        <v>46447</v>
      </c>
      <c r="C16" s="82" t="s">
        <v>219</v>
      </c>
      <c r="D16" s="82" t="s">
        <v>2487</v>
      </c>
      <c r="E16" s="84">
        <v>4116</v>
      </c>
      <c r="F16" s="90">
        <v>300000</v>
      </c>
      <c r="G16" s="90">
        <v>123480000</v>
      </c>
      <c r="H16" s="94">
        <f>월별계산!R16</f>
        <v>126000000</v>
      </c>
      <c r="I16" s="99">
        <f>SUMIFS(SC05월효과!$N$6:$N$23,SC05월효과!$B$6:$B$23,"ACT41",SC05월효과!$C$6:$C$23,B16)</f>
        <v>0</v>
      </c>
      <c r="J16" s="94">
        <f t="shared" si="0"/>
        <v>123480000</v>
      </c>
      <c r="K16" s="94">
        <f t="shared" si="1"/>
        <v>1234800000</v>
      </c>
      <c r="L16" s="82" t="s">
        <v>2522</v>
      </c>
      <c r="M16" s="82" t="s">
        <v>2543</v>
      </c>
    </row>
    <row r="17" spans="1:13" ht="31.95" customHeight="1">
      <c r="A17" s="83" t="s">
        <v>2544</v>
      </c>
      <c r="B17" s="89">
        <v>46447</v>
      </c>
      <c r="C17" s="83" t="s">
        <v>224</v>
      </c>
      <c r="D17" s="83" t="s">
        <v>2487</v>
      </c>
      <c r="E17" s="85">
        <v>10290</v>
      </c>
      <c r="F17" s="91">
        <v>180000</v>
      </c>
      <c r="G17" s="91">
        <v>205800000</v>
      </c>
      <c r="H17" s="95">
        <f>월별계산!R17</f>
        <v>210000000</v>
      </c>
      <c r="I17" s="100">
        <f>SUMIFS(SC05월효과!$N$6:$N$23,SC05월효과!$B$6:$B$23,"ACT42",SC05월효과!$C$6:$C$23,B17)+SUMIFS(SC05월효과!$N$6:$N$23,SC05월효과!$B$6:$B$23,"ACT43",SC05월효과!$C$6:$C$23,B17)</f>
        <v>0</v>
      </c>
      <c r="J17" s="95">
        <f t="shared" si="0"/>
        <v>205800000</v>
      </c>
      <c r="K17" s="95">
        <f t="shared" si="1"/>
        <v>1852200000</v>
      </c>
      <c r="L17" s="83" t="s">
        <v>2522</v>
      </c>
      <c r="M17" s="83" t="s">
        <v>2545</v>
      </c>
    </row>
    <row r="18" spans="1:13" ht="31.95" customHeight="1">
      <c r="A18" s="82" t="s">
        <v>2546</v>
      </c>
      <c r="B18" s="88">
        <v>46447</v>
      </c>
      <c r="C18" s="82" t="s">
        <v>226</v>
      </c>
      <c r="D18" s="82" t="s">
        <v>2487</v>
      </c>
      <c r="E18" s="84">
        <v>6237</v>
      </c>
      <c r="F18" s="90">
        <v>230000</v>
      </c>
      <c r="G18" s="90">
        <v>174636000</v>
      </c>
      <c r="H18" s="94">
        <f>월별계산!R18</f>
        <v>176400000</v>
      </c>
      <c r="I18" s="90">
        <v>0</v>
      </c>
      <c r="J18" s="94">
        <f t="shared" si="0"/>
        <v>174636000</v>
      </c>
      <c r="K18" s="94">
        <f t="shared" si="1"/>
        <v>1434510000</v>
      </c>
      <c r="L18" s="82" t="s">
        <v>2522</v>
      </c>
      <c r="M18" s="82" t="s">
        <v>2547</v>
      </c>
    </row>
    <row r="19" spans="1:13" ht="31.95" customHeight="1">
      <c r="A19" s="83" t="s">
        <v>2548</v>
      </c>
      <c r="B19" s="89">
        <v>46447</v>
      </c>
      <c r="C19" s="83" t="s">
        <v>228</v>
      </c>
      <c r="D19" s="83" t="s">
        <v>2487</v>
      </c>
      <c r="E19" s="85">
        <v>5303</v>
      </c>
      <c r="F19" s="91">
        <v>210000</v>
      </c>
      <c r="G19" s="91">
        <v>132575000</v>
      </c>
      <c r="H19" s="95">
        <f>월별계산!R19</f>
        <v>131250000</v>
      </c>
      <c r="I19" s="91">
        <v>0</v>
      </c>
      <c r="J19" s="95">
        <f t="shared" si="0"/>
        <v>132575000</v>
      </c>
      <c r="K19" s="95">
        <f t="shared" si="1"/>
        <v>1113630000</v>
      </c>
      <c r="L19" s="83" t="s">
        <v>2522</v>
      </c>
      <c r="M19" s="83" t="s">
        <v>2549</v>
      </c>
    </row>
    <row r="20" spans="1:13" ht="31.95" customHeight="1">
      <c r="A20" s="82" t="s">
        <v>2550</v>
      </c>
      <c r="B20" s="88">
        <v>46447</v>
      </c>
      <c r="C20" s="82" t="s">
        <v>230</v>
      </c>
      <c r="D20" s="82" t="s">
        <v>2487</v>
      </c>
      <c r="E20" s="84">
        <v>3119</v>
      </c>
      <c r="F20" s="90">
        <v>150000</v>
      </c>
      <c r="G20" s="90">
        <v>56142000</v>
      </c>
      <c r="H20" s="94">
        <f>월별계산!R20</f>
        <v>56700000</v>
      </c>
      <c r="I20" s="90">
        <v>0</v>
      </c>
      <c r="J20" s="94">
        <f t="shared" si="0"/>
        <v>56142000</v>
      </c>
      <c r="K20" s="94">
        <f t="shared" si="1"/>
        <v>467850000</v>
      </c>
      <c r="L20" s="82" t="s">
        <v>2522</v>
      </c>
      <c r="M20" s="82" t="s">
        <v>2551</v>
      </c>
    </row>
    <row r="21" spans="1:13" ht="31.95" customHeight="1">
      <c r="A21" s="83" t="s">
        <v>2552</v>
      </c>
      <c r="B21" s="89">
        <v>46478</v>
      </c>
      <c r="C21" s="83" t="s">
        <v>219</v>
      </c>
      <c r="D21" s="83" t="s">
        <v>2487</v>
      </c>
      <c r="E21" s="85">
        <v>3880</v>
      </c>
      <c r="F21" s="91">
        <v>300000</v>
      </c>
      <c r="G21" s="91">
        <v>116400000</v>
      </c>
      <c r="H21" s="95">
        <f>월별계산!R21</f>
        <v>120000000</v>
      </c>
      <c r="I21" s="100">
        <f>SUMIFS(SC05월효과!$N$6:$N$23,SC05월효과!$B$6:$B$23,"ACT41",SC05월효과!$C$6:$C$23,B21)</f>
        <v>0</v>
      </c>
      <c r="J21" s="95">
        <f t="shared" si="0"/>
        <v>116400000</v>
      </c>
      <c r="K21" s="95">
        <f t="shared" si="1"/>
        <v>1164000000</v>
      </c>
      <c r="L21" s="83" t="s">
        <v>2522</v>
      </c>
      <c r="M21" s="83" t="s">
        <v>2553</v>
      </c>
    </row>
    <row r="22" spans="1:13" ht="31.95" customHeight="1">
      <c r="A22" s="82" t="s">
        <v>2554</v>
      </c>
      <c r="B22" s="88">
        <v>46478</v>
      </c>
      <c r="C22" s="82" t="s">
        <v>224</v>
      </c>
      <c r="D22" s="82" t="s">
        <v>2487</v>
      </c>
      <c r="E22" s="84">
        <v>9700</v>
      </c>
      <c r="F22" s="90">
        <v>180000</v>
      </c>
      <c r="G22" s="90">
        <v>194000000</v>
      </c>
      <c r="H22" s="94">
        <f>월별계산!R22</f>
        <v>200000000</v>
      </c>
      <c r="I22" s="99">
        <f>SUMIFS(SC05월효과!$N$6:$N$23,SC05월효과!$B$6:$B$23,"ACT42",SC05월효과!$C$6:$C$23,B22)+SUMIFS(SC05월효과!$N$6:$N$23,SC05월효과!$B$6:$B$23,"ACT43",SC05월효과!$C$6:$C$23,B22)</f>
        <v>0</v>
      </c>
      <c r="J22" s="94">
        <f t="shared" si="0"/>
        <v>194000000</v>
      </c>
      <c r="K22" s="94">
        <f t="shared" si="1"/>
        <v>1746000000</v>
      </c>
      <c r="L22" s="82" t="s">
        <v>2522</v>
      </c>
      <c r="M22" s="82" t="s">
        <v>2555</v>
      </c>
    </row>
    <row r="23" spans="1:13" ht="31.95" customHeight="1">
      <c r="A23" s="83" t="s">
        <v>2556</v>
      </c>
      <c r="B23" s="89">
        <v>46478</v>
      </c>
      <c r="C23" s="83" t="s">
        <v>226</v>
      </c>
      <c r="D23" s="83" t="s">
        <v>2487</v>
      </c>
      <c r="E23" s="85">
        <v>5940</v>
      </c>
      <c r="F23" s="91">
        <v>230000</v>
      </c>
      <c r="G23" s="91">
        <v>166320000</v>
      </c>
      <c r="H23" s="95">
        <f>월별계산!R23</f>
        <v>168000000</v>
      </c>
      <c r="I23" s="91">
        <v>0</v>
      </c>
      <c r="J23" s="95">
        <f t="shared" si="0"/>
        <v>166320000</v>
      </c>
      <c r="K23" s="95">
        <f t="shared" si="1"/>
        <v>1366200000</v>
      </c>
      <c r="L23" s="83" t="s">
        <v>2522</v>
      </c>
      <c r="M23" s="83" t="s">
        <v>2557</v>
      </c>
    </row>
    <row r="24" spans="1:13" ht="31.95" customHeight="1">
      <c r="A24" s="82" t="s">
        <v>2558</v>
      </c>
      <c r="B24" s="88">
        <v>46478</v>
      </c>
      <c r="C24" s="82" t="s">
        <v>228</v>
      </c>
      <c r="D24" s="82" t="s">
        <v>2487</v>
      </c>
      <c r="E24" s="84">
        <v>5050</v>
      </c>
      <c r="F24" s="90">
        <v>210000</v>
      </c>
      <c r="G24" s="90">
        <v>126250000</v>
      </c>
      <c r="H24" s="94">
        <f>월별계산!R24</f>
        <v>125000000</v>
      </c>
      <c r="I24" s="90">
        <v>0</v>
      </c>
      <c r="J24" s="94">
        <f t="shared" si="0"/>
        <v>126250000</v>
      </c>
      <c r="K24" s="94">
        <f t="shared" si="1"/>
        <v>1060500000</v>
      </c>
      <c r="L24" s="82" t="s">
        <v>2522</v>
      </c>
      <c r="M24" s="82" t="s">
        <v>2559</v>
      </c>
    </row>
    <row r="25" spans="1:13" ht="31.95" customHeight="1">
      <c r="A25" s="83" t="s">
        <v>2560</v>
      </c>
      <c r="B25" s="89">
        <v>46478</v>
      </c>
      <c r="C25" s="83" t="s">
        <v>230</v>
      </c>
      <c r="D25" s="83" t="s">
        <v>2487</v>
      </c>
      <c r="E25" s="85">
        <v>2970</v>
      </c>
      <c r="F25" s="91">
        <v>150000</v>
      </c>
      <c r="G25" s="91">
        <v>53460000</v>
      </c>
      <c r="H25" s="95">
        <f>월별계산!R25</f>
        <v>54000000</v>
      </c>
      <c r="I25" s="91">
        <v>0</v>
      </c>
      <c r="J25" s="95">
        <f t="shared" si="0"/>
        <v>53460000</v>
      </c>
      <c r="K25" s="95">
        <f t="shared" si="1"/>
        <v>445500000</v>
      </c>
      <c r="L25" s="83" t="s">
        <v>2522</v>
      </c>
      <c r="M25" s="83" t="s">
        <v>2561</v>
      </c>
    </row>
    <row r="26" spans="1:13" ht="31.95" customHeight="1">
      <c r="A26" s="82" t="s">
        <v>2562</v>
      </c>
      <c r="B26" s="88">
        <v>46508</v>
      </c>
      <c r="C26" s="82" t="s">
        <v>219</v>
      </c>
      <c r="D26" s="82" t="s">
        <v>2487</v>
      </c>
      <c r="E26" s="84">
        <v>3763</v>
      </c>
      <c r="F26" s="90">
        <v>300000</v>
      </c>
      <c r="G26" s="90">
        <v>112890000</v>
      </c>
      <c r="H26" s="94">
        <f>월별계산!R26</f>
        <v>117600000</v>
      </c>
      <c r="I26" s="99">
        <f>SUMIFS(SC05월효과!$N$6:$N$23,SC05월효과!$B$6:$B$23,"ACT41",SC05월효과!$C$6:$C$23,B26)</f>
        <v>0</v>
      </c>
      <c r="J26" s="94">
        <f t="shared" si="0"/>
        <v>112890000</v>
      </c>
      <c r="K26" s="94">
        <f t="shared" si="1"/>
        <v>1128900000</v>
      </c>
      <c r="L26" s="82" t="s">
        <v>2522</v>
      </c>
      <c r="M26" s="82" t="s">
        <v>2563</v>
      </c>
    </row>
    <row r="27" spans="1:13" ht="31.95" customHeight="1">
      <c r="A27" s="83" t="s">
        <v>2564</v>
      </c>
      <c r="B27" s="89">
        <v>46508</v>
      </c>
      <c r="C27" s="83" t="s">
        <v>224</v>
      </c>
      <c r="D27" s="83" t="s">
        <v>2487</v>
      </c>
      <c r="E27" s="85">
        <v>9408</v>
      </c>
      <c r="F27" s="91">
        <v>180000</v>
      </c>
      <c r="G27" s="91">
        <v>188160000</v>
      </c>
      <c r="H27" s="95">
        <f>월별계산!R27</f>
        <v>196000000</v>
      </c>
      <c r="I27" s="100">
        <f>SUMIFS(SC05월효과!$N$6:$N$23,SC05월효과!$B$6:$B$23,"ACT42",SC05월효과!$C$6:$C$23,B27)+SUMIFS(SC05월효과!$N$6:$N$23,SC05월효과!$B$6:$B$23,"ACT43",SC05월효과!$C$6:$C$23,B27)</f>
        <v>0</v>
      </c>
      <c r="J27" s="95">
        <f t="shared" si="0"/>
        <v>188160000</v>
      </c>
      <c r="K27" s="95">
        <f t="shared" si="1"/>
        <v>1693440000</v>
      </c>
      <c r="L27" s="83" t="s">
        <v>2522</v>
      </c>
      <c r="M27" s="83" t="s">
        <v>2565</v>
      </c>
    </row>
    <row r="28" spans="1:13" ht="31.95" customHeight="1">
      <c r="A28" s="82" t="s">
        <v>2566</v>
      </c>
      <c r="B28" s="88">
        <v>46508</v>
      </c>
      <c r="C28" s="82" t="s">
        <v>226</v>
      </c>
      <c r="D28" s="82" t="s">
        <v>2487</v>
      </c>
      <c r="E28" s="84">
        <v>5821</v>
      </c>
      <c r="F28" s="90">
        <v>230000</v>
      </c>
      <c r="G28" s="90">
        <v>162988000</v>
      </c>
      <c r="H28" s="94">
        <f>월별계산!R28</f>
        <v>164640000</v>
      </c>
      <c r="I28" s="90">
        <v>0</v>
      </c>
      <c r="J28" s="94">
        <f t="shared" si="0"/>
        <v>162988000</v>
      </c>
      <c r="K28" s="94">
        <f t="shared" si="1"/>
        <v>1338830000</v>
      </c>
      <c r="L28" s="82" t="s">
        <v>2522</v>
      </c>
      <c r="M28" s="82" t="s">
        <v>2567</v>
      </c>
    </row>
    <row r="29" spans="1:13" ht="31.95" customHeight="1">
      <c r="A29" s="83" t="s">
        <v>2568</v>
      </c>
      <c r="B29" s="89">
        <v>46508</v>
      </c>
      <c r="C29" s="83" t="s">
        <v>228</v>
      </c>
      <c r="D29" s="83" t="s">
        <v>2487</v>
      </c>
      <c r="E29" s="85">
        <v>4949</v>
      </c>
      <c r="F29" s="91">
        <v>210000</v>
      </c>
      <c r="G29" s="91">
        <v>123725000</v>
      </c>
      <c r="H29" s="95">
        <f>월별계산!R29</f>
        <v>122500000</v>
      </c>
      <c r="I29" s="91">
        <v>0</v>
      </c>
      <c r="J29" s="95">
        <f t="shared" si="0"/>
        <v>123725000</v>
      </c>
      <c r="K29" s="95">
        <f t="shared" si="1"/>
        <v>1039290000</v>
      </c>
      <c r="L29" s="83" t="s">
        <v>2522</v>
      </c>
      <c r="M29" s="83" t="s">
        <v>2569</v>
      </c>
    </row>
    <row r="30" spans="1:13" ht="31.95" customHeight="1">
      <c r="A30" s="82" t="s">
        <v>2570</v>
      </c>
      <c r="B30" s="88">
        <v>46508</v>
      </c>
      <c r="C30" s="82" t="s">
        <v>230</v>
      </c>
      <c r="D30" s="82" t="s">
        <v>2487</v>
      </c>
      <c r="E30" s="84">
        <v>2911</v>
      </c>
      <c r="F30" s="90">
        <v>150000</v>
      </c>
      <c r="G30" s="90">
        <v>52398000</v>
      </c>
      <c r="H30" s="94">
        <f>월별계산!R30</f>
        <v>52920000</v>
      </c>
      <c r="I30" s="90">
        <v>0</v>
      </c>
      <c r="J30" s="94">
        <f t="shared" si="0"/>
        <v>52398000</v>
      </c>
      <c r="K30" s="94">
        <f t="shared" si="1"/>
        <v>436650000</v>
      </c>
      <c r="L30" s="82" t="s">
        <v>2522</v>
      </c>
      <c r="M30" s="82" t="s">
        <v>2571</v>
      </c>
    </row>
    <row r="31" spans="1:13" ht="31.95" customHeight="1">
      <c r="A31" s="83" t="s">
        <v>2572</v>
      </c>
      <c r="B31" s="89">
        <v>46539</v>
      </c>
      <c r="C31" s="83" t="s">
        <v>219</v>
      </c>
      <c r="D31" s="83" t="s">
        <v>2487</v>
      </c>
      <c r="E31" s="85">
        <v>3800</v>
      </c>
      <c r="F31" s="91">
        <v>300000</v>
      </c>
      <c r="G31" s="91">
        <v>114000000</v>
      </c>
      <c r="H31" s="95">
        <f>월별계산!R31</f>
        <v>120000000</v>
      </c>
      <c r="I31" s="100">
        <f>SUMIFS(SC05월효과!$N$6:$N$23,SC05월효과!$B$6:$B$23,"ACT41",SC05월효과!$C$6:$C$23,B31)</f>
        <v>0</v>
      </c>
      <c r="J31" s="95">
        <f t="shared" si="0"/>
        <v>114000000</v>
      </c>
      <c r="K31" s="95">
        <f t="shared" si="1"/>
        <v>1140000000</v>
      </c>
      <c r="L31" s="83" t="s">
        <v>2522</v>
      </c>
      <c r="M31" s="83" t="s">
        <v>2573</v>
      </c>
    </row>
    <row r="32" spans="1:13" ht="31.95" customHeight="1">
      <c r="A32" s="82" t="s">
        <v>2574</v>
      </c>
      <c r="B32" s="88">
        <v>46539</v>
      </c>
      <c r="C32" s="82" t="s">
        <v>224</v>
      </c>
      <c r="D32" s="82" t="s">
        <v>2487</v>
      </c>
      <c r="E32" s="84">
        <v>9500</v>
      </c>
      <c r="F32" s="90">
        <v>180000</v>
      </c>
      <c r="G32" s="90">
        <v>190000000</v>
      </c>
      <c r="H32" s="94">
        <f>월별계산!R32</f>
        <v>200000000</v>
      </c>
      <c r="I32" s="99">
        <f>SUMIFS(SC05월효과!$N$6:$N$23,SC05월효과!$B$6:$B$23,"ACT42",SC05월효과!$C$6:$C$23,B32)+SUMIFS(SC05월효과!$N$6:$N$23,SC05월효과!$B$6:$B$23,"ACT43",SC05월효과!$C$6:$C$23,B32)</f>
        <v>0</v>
      </c>
      <c r="J32" s="94">
        <f t="shared" si="0"/>
        <v>190000000</v>
      </c>
      <c r="K32" s="94">
        <f t="shared" si="1"/>
        <v>1710000000</v>
      </c>
      <c r="L32" s="82" t="s">
        <v>2522</v>
      </c>
      <c r="M32" s="82" t="s">
        <v>2575</v>
      </c>
    </row>
    <row r="33" spans="1:13" ht="31.95" customHeight="1">
      <c r="A33" s="83" t="s">
        <v>2576</v>
      </c>
      <c r="B33" s="89">
        <v>46539</v>
      </c>
      <c r="C33" s="83" t="s">
        <v>226</v>
      </c>
      <c r="D33" s="83" t="s">
        <v>2487</v>
      </c>
      <c r="E33" s="85">
        <v>5940</v>
      </c>
      <c r="F33" s="91">
        <v>230000</v>
      </c>
      <c r="G33" s="91">
        <v>166320000</v>
      </c>
      <c r="H33" s="95">
        <f>월별계산!R33</f>
        <v>168000000</v>
      </c>
      <c r="I33" s="91">
        <v>0</v>
      </c>
      <c r="J33" s="95">
        <f t="shared" si="0"/>
        <v>166320000</v>
      </c>
      <c r="K33" s="95">
        <f t="shared" si="1"/>
        <v>1366200000</v>
      </c>
      <c r="L33" s="83" t="s">
        <v>2522</v>
      </c>
      <c r="M33" s="83" t="s">
        <v>2577</v>
      </c>
    </row>
    <row r="34" spans="1:13" ht="31.95" customHeight="1">
      <c r="A34" s="82" t="s">
        <v>2578</v>
      </c>
      <c r="B34" s="88">
        <v>46539</v>
      </c>
      <c r="C34" s="82" t="s">
        <v>228</v>
      </c>
      <c r="D34" s="82" t="s">
        <v>2487</v>
      </c>
      <c r="E34" s="84">
        <v>5050</v>
      </c>
      <c r="F34" s="90">
        <v>210000</v>
      </c>
      <c r="G34" s="90">
        <v>126250000</v>
      </c>
      <c r="H34" s="94">
        <f>월별계산!R34</f>
        <v>125000000</v>
      </c>
      <c r="I34" s="90">
        <v>0</v>
      </c>
      <c r="J34" s="94">
        <f t="shared" si="0"/>
        <v>126250000</v>
      </c>
      <c r="K34" s="94">
        <f t="shared" si="1"/>
        <v>1060500000</v>
      </c>
      <c r="L34" s="82" t="s">
        <v>2522</v>
      </c>
      <c r="M34" s="82" t="s">
        <v>2579</v>
      </c>
    </row>
    <row r="35" spans="1:13" ht="31.95" customHeight="1">
      <c r="A35" s="83" t="s">
        <v>2580</v>
      </c>
      <c r="B35" s="89">
        <v>46539</v>
      </c>
      <c r="C35" s="83" t="s">
        <v>230</v>
      </c>
      <c r="D35" s="83" t="s">
        <v>2487</v>
      </c>
      <c r="E35" s="85">
        <v>2970</v>
      </c>
      <c r="F35" s="91">
        <v>150000</v>
      </c>
      <c r="G35" s="91">
        <v>53460000</v>
      </c>
      <c r="H35" s="95">
        <f>월별계산!R35</f>
        <v>54000000</v>
      </c>
      <c r="I35" s="91">
        <v>0</v>
      </c>
      <c r="J35" s="95">
        <f t="shared" si="0"/>
        <v>53460000</v>
      </c>
      <c r="K35" s="95">
        <f t="shared" si="1"/>
        <v>445500000</v>
      </c>
      <c r="L35" s="83" t="s">
        <v>2522</v>
      </c>
      <c r="M35" s="83" t="s">
        <v>2581</v>
      </c>
    </row>
    <row r="36" spans="1:13" ht="31.95" customHeight="1">
      <c r="A36" s="82" t="s">
        <v>2582</v>
      </c>
      <c r="B36" s="88">
        <v>46569</v>
      </c>
      <c r="C36" s="82" t="s">
        <v>219</v>
      </c>
      <c r="D36" s="82" t="s">
        <v>2487</v>
      </c>
      <c r="E36" s="84">
        <v>3800</v>
      </c>
      <c r="F36" s="90">
        <v>300000</v>
      </c>
      <c r="G36" s="90">
        <v>113544000</v>
      </c>
      <c r="H36" s="94">
        <f>월별계산!R36</f>
        <v>120000000</v>
      </c>
      <c r="I36" s="99">
        <f>SUMIFS(SC05월효과!$N$6:$N$23,SC05월효과!$B$6:$B$23,"ACT41",SC05월효과!$C$6:$C$23,B36)</f>
        <v>-4000000</v>
      </c>
      <c r="J36" s="94">
        <f t="shared" si="0"/>
        <v>109544000</v>
      </c>
      <c r="K36" s="94">
        <f t="shared" si="1"/>
        <v>1140000000</v>
      </c>
      <c r="L36" s="82" t="s">
        <v>2583</v>
      </c>
      <c r="M36" s="82" t="s">
        <v>2584</v>
      </c>
    </row>
    <row r="37" spans="1:13" ht="31.95" customHeight="1">
      <c r="A37" s="83" t="s">
        <v>2585</v>
      </c>
      <c r="B37" s="89">
        <v>46569</v>
      </c>
      <c r="C37" s="83" t="s">
        <v>224</v>
      </c>
      <c r="D37" s="83" t="s">
        <v>2487</v>
      </c>
      <c r="E37" s="85">
        <v>8800</v>
      </c>
      <c r="F37" s="91">
        <v>180000</v>
      </c>
      <c r="G37" s="91">
        <v>174944000</v>
      </c>
      <c r="H37" s="95">
        <f>월별계산!R37</f>
        <v>200000000</v>
      </c>
      <c r="I37" s="100">
        <f>SUMIFS(SC05월효과!$N$6:$N$23,SC05월효과!$B$6:$B$23,"ACT42",SC05월효과!$C$6:$C$23,B37)+SUMIFS(SC05월효과!$N$6:$N$23,SC05월효과!$B$6:$B$23,"ACT43",SC05월효과!$C$6:$C$23,B37)</f>
        <v>0</v>
      </c>
      <c r="J37" s="95">
        <f t="shared" si="0"/>
        <v>174944000</v>
      </c>
      <c r="K37" s="95">
        <f t="shared" si="1"/>
        <v>1584000000</v>
      </c>
      <c r="L37" s="83" t="s">
        <v>2583</v>
      </c>
      <c r="M37" s="83" t="s">
        <v>2586</v>
      </c>
    </row>
    <row r="38" spans="1:13" ht="31.95" customHeight="1">
      <c r="A38" s="82" t="s">
        <v>2587</v>
      </c>
      <c r="B38" s="88">
        <v>46569</v>
      </c>
      <c r="C38" s="82" t="s">
        <v>226</v>
      </c>
      <c r="D38" s="82" t="s">
        <v>2487</v>
      </c>
      <c r="E38" s="84">
        <v>5940</v>
      </c>
      <c r="F38" s="90">
        <v>230000</v>
      </c>
      <c r="G38" s="90">
        <v>166320000</v>
      </c>
      <c r="H38" s="94">
        <f>월별계산!R38</f>
        <v>168000000</v>
      </c>
      <c r="I38" s="90">
        <v>0</v>
      </c>
      <c r="J38" s="94">
        <f t="shared" ref="J38:J69" si="2">G38+I38</f>
        <v>166320000</v>
      </c>
      <c r="K38" s="94">
        <f t="shared" ref="K38:K65" si="3">E38*F38</f>
        <v>1366200000</v>
      </c>
      <c r="L38" s="82" t="s">
        <v>2583</v>
      </c>
      <c r="M38" s="82" t="s">
        <v>2588</v>
      </c>
    </row>
    <row r="39" spans="1:13" ht="31.95" customHeight="1">
      <c r="A39" s="83" t="s">
        <v>2589</v>
      </c>
      <c r="B39" s="89">
        <v>46569</v>
      </c>
      <c r="C39" s="83" t="s">
        <v>228</v>
      </c>
      <c r="D39" s="83" t="s">
        <v>2487</v>
      </c>
      <c r="E39" s="85">
        <v>5050</v>
      </c>
      <c r="F39" s="91">
        <v>210000</v>
      </c>
      <c r="G39" s="91">
        <v>126250000</v>
      </c>
      <c r="H39" s="95">
        <f>월별계산!R39</f>
        <v>125000000</v>
      </c>
      <c r="I39" s="91">
        <v>0</v>
      </c>
      <c r="J39" s="95">
        <f t="shared" si="2"/>
        <v>126250000</v>
      </c>
      <c r="K39" s="95">
        <f t="shared" si="3"/>
        <v>1060500000</v>
      </c>
      <c r="L39" s="83" t="s">
        <v>2583</v>
      </c>
      <c r="M39" s="83" t="s">
        <v>2590</v>
      </c>
    </row>
    <row r="40" spans="1:13" ht="31.95" customHeight="1">
      <c r="A40" s="82" t="s">
        <v>2591</v>
      </c>
      <c r="B40" s="88">
        <v>46569</v>
      </c>
      <c r="C40" s="82" t="s">
        <v>230</v>
      </c>
      <c r="D40" s="82" t="s">
        <v>2487</v>
      </c>
      <c r="E40" s="84">
        <v>2970</v>
      </c>
      <c r="F40" s="90">
        <v>150000</v>
      </c>
      <c r="G40" s="90">
        <v>53460000</v>
      </c>
      <c r="H40" s="94">
        <f>월별계산!R40</f>
        <v>54000000</v>
      </c>
      <c r="I40" s="90">
        <v>0</v>
      </c>
      <c r="J40" s="94">
        <f t="shared" si="2"/>
        <v>53460000</v>
      </c>
      <c r="K40" s="94">
        <f t="shared" si="3"/>
        <v>445500000</v>
      </c>
      <c r="L40" s="82" t="s">
        <v>2583</v>
      </c>
      <c r="M40" s="82" t="s">
        <v>2592</v>
      </c>
    </row>
    <row r="41" spans="1:13" ht="31.95" customHeight="1">
      <c r="A41" s="83" t="s">
        <v>2593</v>
      </c>
      <c r="B41" s="89">
        <v>46600</v>
      </c>
      <c r="C41" s="83" t="s">
        <v>219</v>
      </c>
      <c r="D41" s="83" t="s">
        <v>2487</v>
      </c>
      <c r="E41" s="85">
        <v>3496</v>
      </c>
      <c r="F41" s="91">
        <v>300000</v>
      </c>
      <c r="G41" s="91">
        <v>104460480</v>
      </c>
      <c r="H41" s="95">
        <f>월별계산!R41</f>
        <v>110400000</v>
      </c>
      <c r="I41" s="100">
        <f>SUMIFS(SC05월효과!$N$6:$N$23,SC05월효과!$B$6:$B$23,"ACT41",SC05월효과!$C$6:$C$23,B41)</f>
        <v>18000000</v>
      </c>
      <c r="J41" s="95">
        <f t="shared" si="2"/>
        <v>122460480</v>
      </c>
      <c r="K41" s="95">
        <f t="shared" si="3"/>
        <v>1048800000</v>
      </c>
      <c r="L41" s="83" t="s">
        <v>2583</v>
      </c>
      <c r="M41" s="83" t="s">
        <v>2594</v>
      </c>
    </row>
    <row r="42" spans="1:13" ht="31.95" customHeight="1">
      <c r="A42" s="82" t="s">
        <v>2595</v>
      </c>
      <c r="B42" s="88">
        <v>46600</v>
      </c>
      <c r="C42" s="82" t="s">
        <v>224</v>
      </c>
      <c r="D42" s="82" t="s">
        <v>2487</v>
      </c>
      <c r="E42" s="84">
        <v>8740</v>
      </c>
      <c r="F42" s="90">
        <v>180000</v>
      </c>
      <c r="G42" s="90">
        <v>173751200</v>
      </c>
      <c r="H42" s="94">
        <f>월별계산!R42</f>
        <v>184000000</v>
      </c>
      <c r="I42" s="99">
        <f>SUMIFS(SC05월효과!$N$6:$N$23,SC05월효과!$B$6:$B$23,"ACT42",SC05월효과!$C$6:$C$23,B42)+SUMIFS(SC05월효과!$N$6:$N$23,SC05월효과!$B$6:$B$23,"ACT43",SC05월효과!$C$6:$C$23,B42)</f>
        <v>-2000000</v>
      </c>
      <c r="J42" s="94">
        <f t="shared" si="2"/>
        <v>171751200</v>
      </c>
      <c r="K42" s="94">
        <f t="shared" si="3"/>
        <v>1573200000</v>
      </c>
      <c r="L42" s="82" t="s">
        <v>2583</v>
      </c>
      <c r="M42" s="82" t="s">
        <v>2596</v>
      </c>
    </row>
    <row r="43" spans="1:13" ht="31.95" customHeight="1">
      <c r="A43" s="83" t="s">
        <v>2597</v>
      </c>
      <c r="B43" s="89">
        <v>46600</v>
      </c>
      <c r="C43" s="83" t="s">
        <v>226</v>
      </c>
      <c r="D43" s="83" t="s">
        <v>2487</v>
      </c>
      <c r="E43" s="85">
        <v>5465</v>
      </c>
      <c r="F43" s="91">
        <v>230000</v>
      </c>
      <c r="G43" s="91">
        <v>153020000</v>
      </c>
      <c r="H43" s="95">
        <f>월별계산!R43</f>
        <v>154560000</v>
      </c>
      <c r="I43" s="91">
        <v>0</v>
      </c>
      <c r="J43" s="95">
        <f t="shared" si="2"/>
        <v>153020000</v>
      </c>
      <c r="K43" s="95">
        <f t="shared" si="3"/>
        <v>1256950000</v>
      </c>
      <c r="L43" s="83" t="s">
        <v>2583</v>
      </c>
      <c r="M43" s="83" t="s">
        <v>2598</v>
      </c>
    </row>
    <row r="44" spans="1:13" ht="31.95" customHeight="1">
      <c r="A44" s="82" t="s">
        <v>2599</v>
      </c>
      <c r="B44" s="88">
        <v>46600</v>
      </c>
      <c r="C44" s="82" t="s">
        <v>228</v>
      </c>
      <c r="D44" s="82" t="s">
        <v>2487</v>
      </c>
      <c r="E44" s="84">
        <v>4646</v>
      </c>
      <c r="F44" s="90">
        <v>210000</v>
      </c>
      <c r="G44" s="90">
        <v>116150000</v>
      </c>
      <c r="H44" s="94">
        <f>월별계산!R44</f>
        <v>115000000</v>
      </c>
      <c r="I44" s="90">
        <v>0</v>
      </c>
      <c r="J44" s="94">
        <f t="shared" si="2"/>
        <v>116150000</v>
      </c>
      <c r="K44" s="94">
        <f t="shared" si="3"/>
        <v>975660000</v>
      </c>
      <c r="L44" s="82" t="s">
        <v>2583</v>
      </c>
      <c r="M44" s="82" t="s">
        <v>2600</v>
      </c>
    </row>
    <row r="45" spans="1:13" ht="31.95" customHeight="1">
      <c r="A45" s="83" t="s">
        <v>2601</v>
      </c>
      <c r="B45" s="89">
        <v>46600</v>
      </c>
      <c r="C45" s="83" t="s">
        <v>230</v>
      </c>
      <c r="D45" s="83" t="s">
        <v>2487</v>
      </c>
      <c r="E45" s="85">
        <v>2732</v>
      </c>
      <c r="F45" s="91">
        <v>150000</v>
      </c>
      <c r="G45" s="91">
        <v>49176000</v>
      </c>
      <c r="H45" s="95">
        <f>월별계산!R45</f>
        <v>49680000</v>
      </c>
      <c r="I45" s="91">
        <v>0</v>
      </c>
      <c r="J45" s="95">
        <f t="shared" si="2"/>
        <v>49176000</v>
      </c>
      <c r="K45" s="95">
        <f t="shared" si="3"/>
        <v>409800000</v>
      </c>
      <c r="L45" s="83" t="s">
        <v>2583</v>
      </c>
      <c r="M45" s="83" t="s">
        <v>2602</v>
      </c>
    </row>
    <row r="46" spans="1:13" ht="31.95" customHeight="1">
      <c r="A46" s="82" t="s">
        <v>2603</v>
      </c>
      <c r="B46" s="88">
        <v>46631</v>
      </c>
      <c r="C46" s="82" t="s">
        <v>219</v>
      </c>
      <c r="D46" s="82" t="s">
        <v>2487</v>
      </c>
      <c r="E46" s="84">
        <v>3914</v>
      </c>
      <c r="F46" s="90">
        <v>300000</v>
      </c>
      <c r="G46" s="90">
        <v>116950320</v>
      </c>
      <c r="H46" s="94">
        <f>월별계산!R46</f>
        <v>123600000</v>
      </c>
      <c r="I46" s="99">
        <f>SUMIFS(SC05월효과!$N$6:$N$23,SC05월효과!$B$6:$B$23,"ACT41",SC05월효과!$C$6:$C$23,B46)</f>
        <v>18000000</v>
      </c>
      <c r="J46" s="94">
        <f t="shared" si="2"/>
        <v>134950320</v>
      </c>
      <c r="K46" s="94">
        <f t="shared" si="3"/>
        <v>1174200000</v>
      </c>
      <c r="L46" s="82" t="s">
        <v>2583</v>
      </c>
      <c r="M46" s="82" t="s">
        <v>2604</v>
      </c>
    </row>
    <row r="47" spans="1:13" ht="31.95" customHeight="1">
      <c r="A47" s="83" t="s">
        <v>2605</v>
      </c>
      <c r="B47" s="89">
        <v>46631</v>
      </c>
      <c r="C47" s="83" t="s">
        <v>224</v>
      </c>
      <c r="D47" s="83" t="s">
        <v>2487</v>
      </c>
      <c r="E47" s="85">
        <v>9785</v>
      </c>
      <c r="F47" s="91">
        <v>180000</v>
      </c>
      <c r="G47" s="91">
        <v>194525800</v>
      </c>
      <c r="H47" s="95">
        <f>월별계산!R47</f>
        <v>206000000</v>
      </c>
      <c r="I47" s="100">
        <f>SUMIFS(SC05월효과!$N$6:$N$23,SC05월효과!$B$6:$B$23,"ACT42",SC05월효과!$C$6:$C$23,B47)+SUMIFS(SC05월효과!$N$6:$N$23,SC05월효과!$B$6:$B$23,"ACT43",SC05월효과!$C$6:$C$23,B47)</f>
        <v>7200000</v>
      </c>
      <c r="J47" s="95">
        <f t="shared" si="2"/>
        <v>201725800</v>
      </c>
      <c r="K47" s="95">
        <f t="shared" si="3"/>
        <v>1761300000</v>
      </c>
      <c r="L47" s="83" t="s">
        <v>2583</v>
      </c>
      <c r="M47" s="83" t="s">
        <v>2606</v>
      </c>
    </row>
    <row r="48" spans="1:13" ht="31.95" customHeight="1">
      <c r="A48" s="82" t="s">
        <v>2607</v>
      </c>
      <c r="B48" s="88">
        <v>46631</v>
      </c>
      <c r="C48" s="82" t="s">
        <v>226</v>
      </c>
      <c r="D48" s="82" t="s">
        <v>2487</v>
      </c>
      <c r="E48" s="84">
        <v>6118</v>
      </c>
      <c r="F48" s="90">
        <v>230000</v>
      </c>
      <c r="G48" s="90">
        <v>171304000</v>
      </c>
      <c r="H48" s="94">
        <f>월별계산!R48</f>
        <v>173040000</v>
      </c>
      <c r="I48" s="90">
        <v>0</v>
      </c>
      <c r="J48" s="94">
        <f t="shared" si="2"/>
        <v>171304000</v>
      </c>
      <c r="K48" s="94">
        <f t="shared" si="3"/>
        <v>1407140000</v>
      </c>
      <c r="L48" s="82" t="s">
        <v>2583</v>
      </c>
      <c r="M48" s="82" t="s">
        <v>2608</v>
      </c>
    </row>
    <row r="49" spans="1:13" ht="31.95" customHeight="1">
      <c r="A49" s="83" t="s">
        <v>2609</v>
      </c>
      <c r="B49" s="89">
        <v>46631</v>
      </c>
      <c r="C49" s="83" t="s">
        <v>228</v>
      </c>
      <c r="D49" s="83" t="s">
        <v>2487</v>
      </c>
      <c r="E49" s="85">
        <v>5202</v>
      </c>
      <c r="F49" s="91">
        <v>210000</v>
      </c>
      <c r="G49" s="91">
        <v>130050000</v>
      </c>
      <c r="H49" s="95">
        <f>월별계산!R49</f>
        <v>128750000</v>
      </c>
      <c r="I49" s="91">
        <v>0</v>
      </c>
      <c r="J49" s="95">
        <f t="shared" si="2"/>
        <v>130050000</v>
      </c>
      <c r="K49" s="95">
        <f t="shared" si="3"/>
        <v>1092420000</v>
      </c>
      <c r="L49" s="83" t="s">
        <v>2583</v>
      </c>
      <c r="M49" s="83" t="s">
        <v>2610</v>
      </c>
    </row>
    <row r="50" spans="1:13" ht="31.95" customHeight="1">
      <c r="A50" s="82" t="s">
        <v>2611</v>
      </c>
      <c r="B50" s="88">
        <v>46631</v>
      </c>
      <c r="C50" s="82" t="s">
        <v>230</v>
      </c>
      <c r="D50" s="82" t="s">
        <v>2487</v>
      </c>
      <c r="E50" s="84">
        <v>3059</v>
      </c>
      <c r="F50" s="90">
        <v>150000</v>
      </c>
      <c r="G50" s="90">
        <v>55062000</v>
      </c>
      <c r="H50" s="94">
        <f>월별계산!R50</f>
        <v>55620000</v>
      </c>
      <c r="I50" s="90">
        <v>0</v>
      </c>
      <c r="J50" s="94">
        <f t="shared" si="2"/>
        <v>55062000</v>
      </c>
      <c r="K50" s="94">
        <f t="shared" si="3"/>
        <v>458850000</v>
      </c>
      <c r="L50" s="82" t="s">
        <v>2583</v>
      </c>
      <c r="M50" s="82" t="s">
        <v>2612</v>
      </c>
    </row>
    <row r="51" spans="1:13" ht="31.95" customHeight="1">
      <c r="A51" s="83" t="s">
        <v>2613</v>
      </c>
      <c r="B51" s="89">
        <v>46661</v>
      </c>
      <c r="C51" s="83" t="s">
        <v>219</v>
      </c>
      <c r="D51" s="83" t="s">
        <v>2500</v>
      </c>
      <c r="E51" s="83">
        <f>월별계산!E51</f>
        <v>3876</v>
      </c>
      <c r="F51" s="95">
        <f>월별계산!F51</f>
        <v>300000</v>
      </c>
      <c r="G51" s="95">
        <f>월별계산!Q51</f>
        <v>115814880</v>
      </c>
      <c r="H51" s="95">
        <f>월별계산!R51</f>
        <v>122400000</v>
      </c>
      <c r="I51" s="100">
        <f>SUMIFS(SC05월효과!$N$6:$N$23,SC05월효과!$B$6:$B$23,"ACT41",SC05월효과!$C$6:$C$23,B51)</f>
        <v>18000000</v>
      </c>
      <c r="J51" s="95">
        <f t="shared" si="2"/>
        <v>133814880</v>
      </c>
      <c r="K51" s="95">
        <f t="shared" si="3"/>
        <v>1162800000</v>
      </c>
      <c r="L51" s="83" t="s">
        <v>2614</v>
      </c>
      <c r="M51" s="83" t="s">
        <v>2615</v>
      </c>
    </row>
    <row r="52" spans="1:13" ht="31.95" customHeight="1">
      <c r="A52" s="82" t="s">
        <v>2616</v>
      </c>
      <c r="B52" s="88">
        <v>46661</v>
      </c>
      <c r="C52" s="82" t="s">
        <v>224</v>
      </c>
      <c r="D52" s="82" t="s">
        <v>2500</v>
      </c>
      <c r="E52" s="82">
        <f>월별계산!E52</f>
        <v>9690</v>
      </c>
      <c r="F52" s="94">
        <f>월별계산!F52</f>
        <v>180000</v>
      </c>
      <c r="G52" s="94">
        <f>월별계산!Q52</f>
        <v>192637200</v>
      </c>
      <c r="H52" s="94">
        <f>월별계산!R52</f>
        <v>204000000</v>
      </c>
      <c r="I52" s="99">
        <f>SUMIFS(SC05월효과!$N$6:$N$23,SC05월효과!$B$6:$B$23,"ACT42",SC05월효과!$C$6:$C$23,B52)+SUMIFS(SC05월효과!$N$6:$N$23,SC05월효과!$B$6:$B$23,"ACT43",SC05월효과!$C$6:$C$23,B52)</f>
        <v>11800000</v>
      </c>
      <c r="J52" s="94">
        <f t="shared" si="2"/>
        <v>204437200</v>
      </c>
      <c r="K52" s="94">
        <f t="shared" si="3"/>
        <v>1744200000</v>
      </c>
      <c r="L52" s="82" t="s">
        <v>2614</v>
      </c>
      <c r="M52" s="82" t="s">
        <v>2617</v>
      </c>
    </row>
    <row r="53" spans="1:13" ht="31.95" customHeight="1">
      <c r="A53" s="83" t="s">
        <v>2618</v>
      </c>
      <c r="B53" s="89">
        <v>46661</v>
      </c>
      <c r="C53" s="83" t="s">
        <v>226</v>
      </c>
      <c r="D53" s="83" t="s">
        <v>2500</v>
      </c>
      <c r="E53" s="83">
        <f>월별계산!E53</f>
        <v>6059</v>
      </c>
      <c r="F53" s="95">
        <f>월별계산!F53</f>
        <v>230000</v>
      </c>
      <c r="G53" s="95">
        <f>월별계산!Q53</f>
        <v>169652000</v>
      </c>
      <c r="H53" s="95">
        <f>월별계산!R53</f>
        <v>171360000</v>
      </c>
      <c r="I53" s="91">
        <v>0</v>
      </c>
      <c r="J53" s="95">
        <f t="shared" si="2"/>
        <v>169652000</v>
      </c>
      <c r="K53" s="95">
        <f t="shared" si="3"/>
        <v>1393570000</v>
      </c>
      <c r="L53" s="83" t="s">
        <v>2614</v>
      </c>
      <c r="M53" s="83" t="s">
        <v>2619</v>
      </c>
    </row>
    <row r="54" spans="1:13" ht="31.95" customHeight="1">
      <c r="A54" s="82" t="s">
        <v>2620</v>
      </c>
      <c r="B54" s="88">
        <v>46661</v>
      </c>
      <c r="C54" s="82" t="s">
        <v>228</v>
      </c>
      <c r="D54" s="82" t="s">
        <v>2500</v>
      </c>
      <c r="E54" s="82">
        <f>월별계산!E54</f>
        <v>5151</v>
      </c>
      <c r="F54" s="94">
        <f>월별계산!F54</f>
        <v>210000</v>
      </c>
      <c r="G54" s="94">
        <f>월별계산!Q54</f>
        <v>128775000</v>
      </c>
      <c r="H54" s="94">
        <f>월별계산!R54</f>
        <v>127500000</v>
      </c>
      <c r="I54" s="90">
        <v>0</v>
      </c>
      <c r="J54" s="94">
        <f t="shared" si="2"/>
        <v>128775000</v>
      </c>
      <c r="K54" s="94">
        <f t="shared" si="3"/>
        <v>1081710000</v>
      </c>
      <c r="L54" s="82" t="s">
        <v>2614</v>
      </c>
      <c r="M54" s="82" t="s">
        <v>2621</v>
      </c>
    </row>
    <row r="55" spans="1:13" ht="31.95" customHeight="1">
      <c r="A55" s="83" t="s">
        <v>2622</v>
      </c>
      <c r="B55" s="89">
        <v>46661</v>
      </c>
      <c r="C55" s="83" t="s">
        <v>230</v>
      </c>
      <c r="D55" s="83" t="s">
        <v>2500</v>
      </c>
      <c r="E55" s="83">
        <f>월별계산!E55</f>
        <v>3029</v>
      </c>
      <c r="F55" s="95">
        <f>월별계산!F55</f>
        <v>150000</v>
      </c>
      <c r="G55" s="95">
        <f>월별계산!Q55</f>
        <v>54522000</v>
      </c>
      <c r="H55" s="95">
        <f>월별계산!R55</f>
        <v>55080000</v>
      </c>
      <c r="I55" s="91">
        <v>0</v>
      </c>
      <c r="J55" s="95">
        <f t="shared" si="2"/>
        <v>54522000</v>
      </c>
      <c r="K55" s="95">
        <f t="shared" si="3"/>
        <v>454350000</v>
      </c>
      <c r="L55" s="83" t="s">
        <v>2614</v>
      </c>
      <c r="M55" s="83" t="s">
        <v>2623</v>
      </c>
    </row>
    <row r="56" spans="1:13" ht="31.95" customHeight="1">
      <c r="A56" s="82" t="s">
        <v>2624</v>
      </c>
      <c r="B56" s="88">
        <v>46692</v>
      </c>
      <c r="C56" s="82" t="s">
        <v>219</v>
      </c>
      <c r="D56" s="82" t="s">
        <v>2500</v>
      </c>
      <c r="E56" s="82">
        <f>월별계산!E56</f>
        <v>3800</v>
      </c>
      <c r="F56" s="94">
        <f>월별계산!F56</f>
        <v>300000</v>
      </c>
      <c r="G56" s="94">
        <f>월별계산!Q56</f>
        <v>113544000</v>
      </c>
      <c r="H56" s="94">
        <f>월별계산!R56</f>
        <v>120000000</v>
      </c>
      <c r="I56" s="99">
        <f>SUMIFS(SC05월효과!$N$6:$N$23,SC05월효과!$B$6:$B$23,"ACT41",SC05월효과!$C$6:$C$23,B56)</f>
        <v>18000000</v>
      </c>
      <c r="J56" s="94">
        <f t="shared" si="2"/>
        <v>131544000</v>
      </c>
      <c r="K56" s="94">
        <f t="shared" si="3"/>
        <v>1140000000</v>
      </c>
      <c r="L56" s="82" t="s">
        <v>2614</v>
      </c>
      <c r="M56" s="82" t="s">
        <v>2625</v>
      </c>
    </row>
    <row r="57" spans="1:13" ht="31.95" customHeight="1">
      <c r="A57" s="83" t="s">
        <v>2626</v>
      </c>
      <c r="B57" s="89">
        <v>46692</v>
      </c>
      <c r="C57" s="83" t="s">
        <v>224</v>
      </c>
      <c r="D57" s="83" t="s">
        <v>2500</v>
      </c>
      <c r="E57" s="83">
        <f>월별계산!E57</f>
        <v>9500</v>
      </c>
      <c r="F57" s="95">
        <f>월별계산!F57</f>
        <v>180000</v>
      </c>
      <c r="G57" s="95">
        <f>월별계산!Q57</f>
        <v>188860000</v>
      </c>
      <c r="H57" s="95">
        <f>월별계산!R57</f>
        <v>200000000</v>
      </c>
      <c r="I57" s="100">
        <f>SUMIFS(SC05월효과!$N$6:$N$23,SC05월효과!$B$6:$B$23,"ACT42",SC05월효과!$C$6:$C$23,B57)+SUMIFS(SC05월효과!$N$6:$N$23,SC05월효과!$B$6:$B$23,"ACT43",SC05월효과!$C$6:$C$23,B57)</f>
        <v>13000000</v>
      </c>
      <c r="J57" s="95">
        <f t="shared" si="2"/>
        <v>201860000</v>
      </c>
      <c r="K57" s="95">
        <f t="shared" si="3"/>
        <v>1710000000</v>
      </c>
      <c r="L57" s="83" t="s">
        <v>2614</v>
      </c>
      <c r="M57" s="83" t="s">
        <v>2627</v>
      </c>
    </row>
    <row r="58" spans="1:13" ht="31.95" customHeight="1">
      <c r="A58" s="82" t="s">
        <v>2628</v>
      </c>
      <c r="B58" s="88">
        <v>46692</v>
      </c>
      <c r="C58" s="82" t="s">
        <v>226</v>
      </c>
      <c r="D58" s="82" t="s">
        <v>2500</v>
      </c>
      <c r="E58" s="82">
        <f>월별계산!E58</f>
        <v>5940</v>
      </c>
      <c r="F58" s="94">
        <f>월별계산!F58</f>
        <v>230000</v>
      </c>
      <c r="G58" s="94">
        <f>월별계산!Q58</f>
        <v>166320000</v>
      </c>
      <c r="H58" s="94">
        <f>월별계산!R58</f>
        <v>168000000</v>
      </c>
      <c r="I58" s="90">
        <v>0</v>
      </c>
      <c r="J58" s="94">
        <f t="shared" si="2"/>
        <v>166320000</v>
      </c>
      <c r="K58" s="94">
        <f t="shared" si="3"/>
        <v>1366200000</v>
      </c>
      <c r="L58" s="82" t="s">
        <v>2614</v>
      </c>
      <c r="M58" s="82" t="s">
        <v>2629</v>
      </c>
    </row>
    <row r="59" spans="1:13" ht="31.95" customHeight="1">
      <c r="A59" s="83" t="s">
        <v>2630</v>
      </c>
      <c r="B59" s="89">
        <v>46692</v>
      </c>
      <c r="C59" s="83" t="s">
        <v>228</v>
      </c>
      <c r="D59" s="83" t="s">
        <v>2500</v>
      </c>
      <c r="E59" s="83">
        <f>월별계산!E59</f>
        <v>5050</v>
      </c>
      <c r="F59" s="95">
        <f>월별계산!F59</f>
        <v>210000</v>
      </c>
      <c r="G59" s="95">
        <f>월별계산!Q59</f>
        <v>126250000</v>
      </c>
      <c r="H59" s="95">
        <f>월별계산!R59</f>
        <v>125000000</v>
      </c>
      <c r="I59" s="91">
        <v>0</v>
      </c>
      <c r="J59" s="95">
        <f t="shared" si="2"/>
        <v>126250000</v>
      </c>
      <c r="K59" s="95">
        <f t="shared" si="3"/>
        <v>1060500000</v>
      </c>
      <c r="L59" s="83" t="s">
        <v>2614</v>
      </c>
      <c r="M59" s="83" t="s">
        <v>2631</v>
      </c>
    </row>
    <row r="60" spans="1:13" ht="31.95" customHeight="1">
      <c r="A60" s="82" t="s">
        <v>2632</v>
      </c>
      <c r="B60" s="88">
        <v>46692</v>
      </c>
      <c r="C60" s="82" t="s">
        <v>230</v>
      </c>
      <c r="D60" s="82" t="s">
        <v>2500</v>
      </c>
      <c r="E60" s="82">
        <f>월별계산!E60</f>
        <v>2970</v>
      </c>
      <c r="F60" s="94">
        <f>월별계산!F60</f>
        <v>150000</v>
      </c>
      <c r="G60" s="94">
        <f>월별계산!Q60</f>
        <v>53460000</v>
      </c>
      <c r="H60" s="94">
        <f>월별계산!R60</f>
        <v>54000000</v>
      </c>
      <c r="I60" s="90">
        <v>0</v>
      </c>
      <c r="J60" s="94">
        <f t="shared" si="2"/>
        <v>53460000</v>
      </c>
      <c r="K60" s="94">
        <f t="shared" si="3"/>
        <v>445500000</v>
      </c>
      <c r="L60" s="82" t="s">
        <v>2614</v>
      </c>
      <c r="M60" s="82" t="s">
        <v>2633</v>
      </c>
    </row>
    <row r="61" spans="1:13" ht="31.95" customHeight="1">
      <c r="A61" s="83" t="s">
        <v>2634</v>
      </c>
      <c r="B61" s="89">
        <v>46722</v>
      </c>
      <c r="C61" s="83" t="s">
        <v>219</v>
      </c>
      <c r="D61" s="83" t="s">
        <v>2500</v>
      </c>
      <c r="E61" s="83">
        <f>월별계산!E61</f>
        <v>3610</v>
      </c>
      <c r="F61" s="95">
        <f>월별계산!F61</f>
        <v>300000</v>
      </c>
      <c r="G61" s="95">
        <f>월별계산!Q61</f>
        <v>107866800</v>
      </c>
      <c r="H61" s="95">
        <f>월별계산!R61</f>
        <v>114000000</v>
      </c>
      <c r="I61" s="100">
        <f>SUMIFS(SC05월효과!$N$6:$N$23,SC05월효과!$B$6:$B$23,"ACT41",SC05월효과!$C$6:$C$23,B61)</f>
        <v>18000000</v>
      </c>
      <c r="J61" s="95">
        <f t="shared" si="2"/>
        <v>125866800</v>
      </c>
      <c r="K61" s="95">
        <f t="shared" si="3"/>
        <v>1083000000</v>
      </c>
      <c r="L61" s="83" t="s">
        <v>2614</v>
      </c>
      <c r="M61" s="83" t="s">
        <v>2635</v>
      </c>
    </row>
    <row r="62" spans="1:13" ht="31.95" customHeight="1">
      <c r="A62" s="82" t="s">
        <v>2636</v>
      </c>
      <c r="B62" s="88">
        <v>46722</v>
      </c>
      <c r="C62" s="82" t="s">
        <v>224</v>
      </c>
      <c r="D62" s="82" t="s">
        <v>2500</v>
      </c>
      <c r="E62" s="82">
        <f>월별계산!E62</f>
        <v>9025</v>
      </c>
      <c r="F62" s="94">
        <f>월별계산!F62</f>
        <v>180000</v>
      </c>
      <c r="G62" s="94">
        <f>월별계산!Q62</f>
        <v>179417000</v>
      </c>
      <c r="H62" s="94">
        <f>월별계산!R62</f>
        <v>190000000</v>
      </c>
      <c r="I62" s="99">
        <f>SUMIFS(SC05월효과!$N$6:$N$23,SC05월효과!$B$6:$B$23,"ACT42",SC05월효과!$C$6:$C$23,B62)+SUMIFS(SC05월효과!$N$6:$N$23,SC05월효과!$B$6:$B$23,"ACT43",SC05월효과!$C$6:$C$23,B62)</f>
        <v>13000000</v>
      </c>
      <c r="J62" s="94">
        <f t="shared" si="2"/>
        <v>192417000</v>
      </c>
      <c r="K62" s="94">
        <f t="shared" si="3"/>
        <v>1624500000</v>
      </c>
      <c r="L62" s="82" t="s">
        <v>2614</v>
      </c>
      <c r="M62" s="82" t="s">
        <v>2637</v>
      </c>
    </row>
    <row r="63" spans="1:13" ht="31.95" customHeight="1">
      <c r="A63" s="83" t="s">
        <v>2638</v>
      </c>
      <c r="B63" s="89">
        <v>46722</v>
      </c>
      <c r="C63" s="83" t="s">
        <v>226</v>
      </c>
      <c r="D63" s="83" t="s">
        <v>2500</v>
      </c>
      <c r="E63" s="83">
        <f>월별계산!E63</f>
        <v>5643</v>
      </c>
      <c r="F63" s="95">
        <f>월별계산!F63</f>
        <v>230000</v>
      </c>
      <c r="G63" s="95">
        <f>월별계산!Q63</f>
        <v>158004000</v>
      </c>
      <c r="H63" s="95">
        <f>월별계산!R63</f>
        <v>159600000</v>
      </c>
      <c r="I63" s="91">
        <v>0</v>
      </c>
      <c r="J63" s="95">
        <f t="shared" si="2"/>
        <v>158004000</v>
      </c>
      <c r="K63" s="95">
        <f t="shared" si="3"/>
        <v>1297890000</v>
      </c>
      <c r="L63" s="83" t="s">
        <v>2614</v>
      </c>
      <c r="M63" s="83" t="s">
        <v>2639</v>
      </c>
    </row>
    <row r="64" spans="1:13" ht="31.95" customHeight="1">
      <c r="A64" s="82" t="s">
        <v>2640</v>
      </c>
      <c r="B64" s="88">
        <v>46722</v>
      </c>
      <c r="C64" s="82" t="s">
        <v>228</v>
      </c>
      <c r="D64" s="82" t="s">
        <v>2500</v>
      </c>
      <c r="E64" s="82">
        <f>월별계산!E64</f>
        <v>4798</v>
      </c>
      <c r="F64" s="94">
        <f>월별계산!F64</f>
        <v>210000</v>
      </c>
      <c r="G64" s="94">
        <f>월별계산!Q64</f>
        <v>119950000</v>
      </c>
      <c r="H64" s="94">
        <f>월별계산!R64</f>
        <v>118750000</v>
      </c>
      <c r="I64" s="90">
        <v>0</v>
      </c>
      <c r="J64" s="94">
        <f t="shared" si="2"/>
        <v>119950000</v>
      </c>
      <c r="K64" s="94">
        <f t="shared" si="3"/>
        <v>1007580000</v>
      </c>
      <c r="L64" s="82" t="s">
        <v>2614</v>
      </c>
      <c r="M64" s="82" t="s">
        <v>2641</v>
      </c>
    </row>
    <row r="65" spans="1:13" ht="31.95" customHeight="1">
      <c r="A65" s="83" t="s">
        <v>2642</v>
      </c>
      <c r="B65" s="89">
        <v>46722</v>
      </c>
      <c r="C65" s="83" t="s">
        <v>230</v>
      </c>
      <c r="D65" s="83" t="s">
        <v>2500</v>
      </c>
      <c r="E65" s="83">
        <f>월별계산!E65</f>
        <v>2822</v>
      </c>
      <c r="F65" s="95">
        <f>월별계산!F65</f>
        <v>150000</v>
      </c>
      <c r="G65" s="95">
        <f>월별계산!Q65</f>
        <v>50796000</v>
      </c>
      <c r="H65" s="95">
        <f>월별계산!R65</f>
        <v>51300000</v>
      </c>
      <c r="I65" s="91">
        <v>0</v>
      </c>
      <c r="J65" s="95">
        <f t="shared" si="2"/>
        <v>50796000</v>
      </c>
      <c r="K65" s="95">
        <f t="shared" si="3"/>
        <v>423300000</v>
      </c>
      <c r="L65" s="83" t="s">
        <v>2614</v>
      </c>
      <c r="M65" s="83" t="s">
        <v>2643</v>
      </c>
    </row>
  </sheetData>
  <phoneticPr fontId="30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BB2C2"/>
  </sheetPr>
  <dimension ref="A1:L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7" customWidth="1"/>
    <col min="2" max="2" width="20" customWidth="1"/>
    <col min="3" max="3" width="27" customWidth="1"/>
    <col min="4" max="4" width="29" customWidth="1"/>
    <col min="5" max="5" width="26" customWidth="1"/>
    <col min="6" max="6" width="29" customWidth="1"/>
    <col min="7" max="7" width="26" customWidth="1"/>
    <col min="8" max="9" width="29" customWidth="1"/>
    <col min="10" max="11" width="25" customWidth="1"/>
    <col min="12" max="12" width="28" customWidth="1"/>
  </cols>
  <sheetData>
    <row r="1" spans="1:12" ht="28.95" customHeight="1">
      <c r="A1" s="80" t="s">
        <v>2644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</row>
    <row r="3" spans="1:12" ht="25.95" customHeight="1">
      <c r="A3" s="79" t="s">
        <v>2645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2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spans="1:12" ht="36" customHeight="1">
      <c r="A5" s="81" t="s">
        <v>149</v>
      </c>
      <c r="B5" s="81" t="s">
        <v>152</v>
      </c>
      <c r="C5" s="81" t="s">
        <v>1548</v>
      </c>
      <c r="D5" s="81" t="s">
        <v>2514</v>
      </c>
      <c r="E5" s="81" t="s">
        <v>154</v>
      </c>
      <c r="F5" s="81" t="s">
        <v>2646</v>
      </c>
      <c r="G5" s="81" t="s">
        <v>2516</v>
      </c>
      <c r="H5" s="81" t="s">
        <v>2647</v>
      </c>
      <c r="I5" s="81" t="s">
        <v>2648</v>
      </c>
      <c r="J5" s="81" t="s">
        <v>835</v>
      </c>
      <c r="K5" s="81" t="s">
        <v>2649</v>
      </c>
      <c r="L5" s="81" t="s">
        <v>2518</v>
      </c>
    </row>
    <row r="6" spans="1:12" ht="31.95" customHeight="1">
      <c r="A6" s="88">
        <v>46388</v>
      </c>
      <c r="B6" s="82" t="s">
        <v>2487</v>
      </c>
      <c r="C6" s="99">
        <f>SC04월손익!B6</f>
        <v>310340000</v>
      </c>
      <c r="D6" s="99">
        <f>SUMIFS(SC05모델손익!$G$6:$G$65,SC05모델손익!$B$6:$B$65,A6)</f>
        <v>679349000</v>
      </c>
      <c r="E6" s="94">
        <f>월고정비!B6</f>
        <v>370000000</v>
      </c>
      <c r="F6" s="94">
        <f t="shared" ref="F6:F17" si="0">D6-E6</f>
        <v>309349000</v>
      </c>
      <c r="G6" s="99">
        <f>SUMIFS(SC05모델손익!$I$6:$I$65,SC05모델손익!$B$6:$B$65,A6)</f>
        <v>0</v>
      </c>
      <c r="H6" s="94">
        <f t="shared" ref="H6:H17" si="1">F6+G6</f>
        <v>309349000</v>
      </c>
      <c r="I6" s="99">
        <f>SC04월손익!G6</f>
        <v>309349000</v>
      </c>
      <c r="J6" s="94">
        <f t="shared" ref="J6:J17" si="2">H6-I6</f>
        <v>0</v>
      </c>
      <c r="K6" s="94">
        <f t="shared" ref="K6:K17" si="3">C6-H6</f>
        <v>991000</v>
      </c>
      <c r="L6" s="99">
        <f>SUMIFS(SC05모델손익!$K$6:$K$65,SC05모델손익!$B$6:$B$65,A6)</f>
        <v>5989630000</v>
      </c>
    </row>
    <row r="7" spans="1:12" ht="31.95" customHeight="1">
      <c r="A7" s="89">
        <v>46419</v>
      </c>
      <c r="B7" s="83" t="s">
        <v>2487</v>
      </c>
      <c r="C7" s="100">
        <f>SC04월손익!B7</f>
        <v>230300000</v>
      </c>
      <c r="D7" s="100">
        <f>SUMIFS(SC05모델손익!$G$6:$G$65,SC05모델손익!$B$6:$B$65,A7)</f>
        <v>596547000</v>
      </c>
      <c r="E7" s="95">
        <f>월고정비!B7</f>
        <v>370000000</v>
      </c>
      <c r="F7" s="95">
        <f t="shared" si="0"/>
        <v>226547000</v>
      </c>
      <c r="G7" s="100">
        <f>SUMIFS(SC05모델손익!$I$6:$I$65,SC05모델손익!$B$6:$B$65,A7)</f>
        <v>0</v>
      </c>
      <c r="H7" s="95">
        <f t="shared" si="1"/>
        <v>226547000</v>
      </c>
      <c r="I7" s="100">
        <f>SC04월손익!G7</f>
        <v>226547000</v>
      </c>
      <c r="J7" s="95">
        <f t="shared" si="2"/>
        <v>0</v>
      </c>
      <c r="K7" s="95">
        <f t="shared" si="3"/>
        <v>3753000</v>
      </c>
      <c r="L7" s="100">
        <f>SUMIFS(SC05모델손익!$K$6:$K$65,SC05모델손익!$B$6:$B$65,A7)</f>
        <v>5257980000</v>
      </c>
    </row>
    <row r="8" spans="1:12" ht="31.95" customHeight="1">
      <c r="A8" s="88">
        <v>46447</v>
      </c>
      <c r="B8" s="82" t="s">
        <v>2487</v>
      </c>
      <c r="C8" s="99">
        <f>SC04월손익!B8</f>
        <v>330350000</v>
      </c>
      <c r="D8" s="99">
        <f>SUMIFS(SC05모델손익!$G$6:$G$65,SC05모델손익!$B$6:$B$65,A8)</f>
        <v>692633000</v>
      </c>
      <c r="E8" s="94">
        <f>월고정비!B8</f>
        <v>370000000</v>
      </c>
      <c r="F8" s="94">
        <f t="shared" si="0"/>
        <v>322633000</v>
      </c>
      <c r="G8" s="99">
        <f>SUMIFS(SC05모델손익!$I$6:$I$65,SC05모델손익!$B$6:$B$65,A8)</f>
        <v>0</v>
      </c>
      <c r="H8" s="94">
        <f t="shared" si="1"/>
        <v>322633000</v>
      </c>
      <c r="I8" s="99">
        <f>SC04월손익!G8</f>
        <v>322633000</v>
      </c>
      <c r="J8" s="94">
        <f t="shared" si="2"/>
        <v>0</v>
      </c>
      <c r="K8" s="94">
        <f t="shared" si="3"/>
        <v>7717000</v>
      </c>
      <c r="L8" s="99">
        <f>SUMIFS(SC05모델손익!$K$6:$K$65,SC05모델손익!$B$6:$B$65,A8)</f>
        <v>6102990000</v>
      </c>
    </row>
    <row r="9" spans="1:12" ht="31.95" customHeight="1">
      <c r="A9" s="89">
        <v>46478</v>
      </c>
      <c r="B9" s="83" t="s">
        <v>2487</v>
      </c>
      <c r="C9" s="100">
        <f>SC04월손익!B9</f>
        <v>297000000</v>
      </c>
      <c r="D9" s="100">
        <f>SUMIFS(SC05모델손익!$G$6:$G$65,SC05모델손익!$B$6:$B$65,A9)</f>
        <v>656430000</v>
      </c>
      <c r="E9" s="95">
        <f>월고정비!B9</f>
        <v>370000000</v>
      </c>
      <c r="F9" s="95">
        <f t="shared" si="0"/>
        <v>286430000</v>
      </c>
      <c r="G9" s="100">
        <f>SUMIFS(SC05모델손익!$I$6:$I$65,SC05모델손익!$B$6:$B$65,A9)</f>
        <v>0</v>
      </c>
      <c r="H9" s="95">
        <f t="shared" si="1"/>
        <v>286430000</v>
      </c>
      <c r="I9" s="100">
        <f>SC04월손익!G9</f>
        <v>286430000</v>
      </c>
      <c r="J9" s="95">
        <f t="shared" si="2"/>
        <v>0</v>
      </c>
      <c r="K9" s="95">
        <f t="shared" si="3"/>
        <v>10570000</v>
      </c>
      <c r="L9" s="100">
        <f>SUMIFS(SC05모델손익!$K$6:$K$65,SC05모델손익!$B$6:$B$65,A9)</f>
        <v>5782200000</v>
      </c>
    </row>
    <row r="10" spans="1:12" ht="31.95" customHeight="1">
      <c r="A10" s="88">
        <v>46508</v>
      </c>
      <c r="B10" s="82" t="s">
        <v>2487</v>
      </c>
      <c r="C10" s="99">
        <f>SC04월손익!B10</f>
        <v>283660000</v>
      </c>
      <c r="D10" s="99">
        <f>SUMIFS(SC05모델손익!$G$6:$G$65,SC05모델손익!$B$6:$B$65,A10)</f>
        <v>640161000</v>
      </c>
      <c r="E10" s="94">
        <f>월고정비!B10</f>
        <v>370000000</v>
      </c>
      <c r="F10" s="94">
        <f t="shared" si="0"/>
        <v>270161000</v>
      </c>
      <c r="G10" s="99">
        <f>SUMIFS(SC05모델손익!$I$6:$I$65,SC05모델손익!$B$6:$B$65,A10)</f>
        <v>0</v>
      </c>
      <c r="H10" s="94">
        <f t="shared" si="1"/>
        <v>270161000</v>
      </c>
      <c r="I10" s="99">
        <f>SC04월손익!G10</f>
        <v>270161000</v>
      </c>
      <c r="J10" s="94">
        <f t="shared" si="2"/>
        <v>0</v>
      </c>
      <c r="K10" s="94">
        <f t="shared" si="3"/>
        <v>13499000</v>
      </c>
      <c r="L10" s="99">
        <f>SUMIFS(SC05모델손익!$K$6:$K$65,SC05모델손익!$B$6:$B$65,A10)</f>
        <v>5637110000</v>
      </c>
    </row>
    <row r="11" spans="1:12" ht="31.95" customHeight="1">
      <c r="A11" s="89">
        <v>46539</v>
      </c>
      <c r="B11" s="83" t="s">
        <v>2487</v>
      </c>
      <c r="C11" s="100">
        <f>SC04월손익!B11</f>
        <v>297000000</v>
      </c>
      <c r="D11" s="100">
        <f>SUMIFS(SC05모델손익!$G$6:$G$65,SC05모델손익!$B$6:$B$65,A11)</f>
        <v>650030000</v>
      </c>
      <c r="E11" s="95">
        <f>월고정비!B11</f>
        <v>370000000</v>
      </c>
      <c r="F11" s="95">
        <f t="shared" si="0"/>
        <v>280030000</v>
      </c>
      <c r="G11" s="100">
        <f>SUMIFS(SC05모델손익!$I$6:$I$65,SC05모델손익!$B$6:$B$65,A11)</f>
        <v>0</v>
      </c>
      <c r="H11" s="95">
        <f t="shared" si="1"/>
        <v>280030000</v>
      </c>
      <c r="I11" s="100">
        <f>SC04월손익!G11</f>
        <v>280030000</v>
      </c>
      <c r="J11" s="95">
        <f t="shared" si="2"/>
        <v>0</v>
      </c>
      <c r="K11" s="95">
        <f t="shared" si="3"/>
        <v>16970000</v>
      </c>
      <c r="L11" s="100">
        <f>SUMIFS(SC05모델손익!$K$6:$K$65,SC05모델손익!$B$6:$B$65,A11)</f>
        <v>5722200000</v>
      </c>
    </row>
    <row r="12" spans="1:12" ht="31.95" customHeight="1">
      <c r="A12" s="88">
        <v>46569</v>
      </c>
      <c r="B12" s="82" t="s">
        <v>2487</v>
      </c>
      <c r="C12" s="99">
        <f>SC04월손익!B12</f>
        <v>297000000</v>
      </c>
      <c r="D12" s="99">
        <f>SUMIFS(SC05모델손익!$G$6:$G$65,SC05모델손익!$B$6:$B$65,A12)</f>
        <v>634518000</v>
      </c>
      <c r="E12" s="94">
        <f>월고정비!B12</f>
        <v>370000000</v>
      </c>
      <c r="F12" s="94">
        <f t="shared" si="0"/>
        <v>264518000</v>
      </c>
      <c r="G12" s="99">
        <f>SUMIFS(SC05모델손익!$I$6:$I$65,SC05모델손익!$B$6:$B$65,A12)</f>
        <v>-4000000</v>
      </c>
      <c r="H12" s="94">
        <f t="shared" si="1"/>
        <v>260518000</v>
      </c>
      <c r="I12" s="99">
        <f>SC04월손익!G12</f>
        <v>260518000</v>
      </c>
      <c r="J12" s="94">
        <f t="shared" si="2"/>
        <v>0</v>
      </c>
      <c r="K12" s="94">
        <f t="shared" si="3"/>
        <v>36482000</v>
      </c>
      <c r="L12" s="99">
        <f>SUMIFS(SC05모델손익!$K$6:$K$65,SC05모델손익!$B$6:$B$65,A12)</f>
        <v>5596200000</v>
      </c>
    </row>
    <row r="13" spans="1:12" ht="31.95" customHeight="1">
      <c r="A13" s="89">
        <v>46600</v>
      </c>
      <c r="B13" s="83" t="s">
        <v>2487</v>
      </c>
      <c r="C13" s="100">
        <f>SC04월손익!B13</f>
        <v>243640000</v>
      </c>
      <c r="D13" s="100">
        <f>SUMIFS(SC05모델손익!$G$6:$G$65,SC05모델손익!$B$6:$B$65,A13)</f>
        <v>596557680</v>
      </c>
      <c r="E13" s="95">
        <f>월고정비!B13</f>
        <v>370000000</v>
      </c>
      <c r="F13" s="95">
        <f t="shared" si="0"/>
        <v>226557680</v>
      </c>
      <c r="G13" s="100">
        <f>SUMIFS(SC05모델손익!$I$6:$I$65,SC05모델손익!$B$6:$B$65,A13)</f>
        <v>16000000</v>
      </c>
      <c r="H13" s="95">
        <f t="shared" si="1"/>
        <v>242557680</v>
      </c>
      <c r="I13" s="100">
        <f>SC04월손익!G13</f>
        <v>242557680</v>
      </c>
      <c r="J13" s="95">
        <f t="shared" si="2"/>
        <v>0</v>
      </c>
      <c r="K13" s="95">
        <f t="shared" si="3"/>
        <v>1082320</v>
      </c>
      <c r="L13" s="100">
        <f>SUMIFS(SC05모델손익!$K$6:$K$65,SC05모델손익!$B$6:$B$65,A13)</f>
        <v>5264410000</v>
      </c>
    </row>
    <row r="14" spans="1:12" ht="31.95" customHeight="1">
      <c r="A14" s="88">
        <v>46631</v>
      </c>
      <c r="B14" s="82" t="s">
        <v>2487</v>
      </c>
      <c r="C14" s="99">
        <f>SC04월손익!B14</f>
        <v>317010000</v>
      </c>
      <c r="D14" s="99">
        <f>SUMIFS(SC05모델손익!$G$6:$G$65,SC05모델손익!$B$6:$B$65,A14)</f>
        <v>667892120</v>
      </c>
      <c r="E14" s="94">
        <f>월고정비!B14</f>
        <v>370000000</v>
      </c>
      <c r="F14" s="94">
        <f t="shared" si="0"/>
        <v>297892120</v>
      </c>
      <c r="G14" s="99">
        <f>SUMIFS(SC05모델손익!$I$6:$I$65,SC05모델손익!$B$6:$B$65,A14)</f>
        <v>25200000</v>
      </c>
      <c r="H14" s="94">
        <f t="shared" si="1"/>
        <v>323092120</v>
      </c>
      <c r="I14" s="99">
        <f>SC04월손익!G14</f>
        <v>324292120</v>
      </c>
      <c r="J14" s="94">
        <f t="shared" si="2"/>
        <v>-1200000</v>
      </c>
      <c r="K14" s="94">
        <f t="shared" si="3"/>
        <v>-6082120</v>
      </c>
      <c r="L14" s="99">
        <f>SUMIFS(SC05모델손익!$K$6:$K$65,SC05모델손익!$B$6:$B$65,A14)</f>
        <v>5893910000</v>
      </c>
    </row>
    <row r="15" spans="1:12" ht="31.95" customHeight="1">
      <c r="A15" s="89">
        <v>46661</v>
      </c>
      <c r="B15" s="83" t="s">
        <v>2500</v>
      </c>
      <c r="C15" s="100">
        <f>SC04월손익!B15</f>
        <v>310340000</v>
      </c>
      <c r="D15" s="100">
        <f>SUMIFS(SC05모델손익!$G$6:$G$65,SC05모델손익!$B$6:$B$65,A15)</f>
        <v>661401080</v>
      </c>
      <c r="E15" s="95">
        <f>월고정비!B15</f>
        <v>370000000</v>
      </c>
      <c r="F15" s="95">
        <f t="shared" si="0"/>
        <v>291401080</v>
      </c>
      <c r="G15" s="100">
        <f>SUMIFS(SC05모델손익!$I$6:$I$65,SC05모델손익!$B$6:$B$65,A15)</f>
        <v>29800000</v>
      </c>
      <c r="H15" s="95">
        <f t="shared" si="1"/>
        <v>321201080</v>
      </c>
      <c r="I15" s="100">
        <f>SC04월손익!G15</f>
        <v>321201080</v>
      </c>
      <c r="J15" s="95">
        <f t="shared" si="2"/>
        <v>0</v>
      </c>
      <c r="K15" s="95">
        <f t="shared" si="3"/>
        <v>-10861080</v>
      </c>
      <c r="L15" s="100">
        <f>SUMIFS(SC05모델손익!$K$6:$K$65,SC05모델손익!$B$6:$B$65,A15)</f>
        <v>5836630000</v>
      </c>
    </row>
    <row r="16" spans="1:12" ht="31.95" customHeight="1">
      <c r="A16" s="88">
        <v>46692</v>
      </c>
      <c r="B16" s="82" t="s">
        <v>2500</v>
      </c>
      <c r="C16" s="99">
        <f>SC04월손익!B16</f>
        <v>297000000</v>
      </c>
      <c r="D16" s="99">
        <f>SUMIFS(SC05모델손익!$G$6:$G$65,SC05모델손익!$B$6:$B$65,A16)</f>
        <v>648434000</v>
      </c>
      <c r="E16" s="94">
        <f>월고정비!B16</f>
        <v>370000000</v>
      </c>
      <c r="F16" s="94">
        <f t="shared" si="0"/>
        <v>278434000</v>
      </c>
      <c r="G16" s="99">
        <f>SUMIFS(SC05모델손익!$I$6:$I$65,SC05모델손익!$B$6:$B$65,A16)</f>
        <v>31000000</v>
      </c>
      <c r="H16" s="94">
        <f t="shared" si="1"/>
        <v>309434000</v>
      </c>
      <c r="I16" s="99">
        <f>SC04월손익!G16</f>
        <v>308234000</v>
      </c>
      <c r="J16" s="94">
        <f t="shared" si="2"/>
        <v>1200000</v>
      </c>
      <c r="K16" s="94">
        <f t="shared" si="3"/>
        <v>-12434000</v>
      </c>
      <c r="L16" s="99">
        <f>SUMIFS(SC05모델손익!$K$6:$K$65,SC05모델손익!$B$6:$B$65,A16)</f>
        <v>5722200000</v>
      </c>
    </row>
    <row r="17" spans="1:12" ht="31.95" customHeight="1">
      <c r="A17" s="89">
        <v>46722</v>
      </c>
      <c r="B17" s="83" t="s">
        <v>2500</v>
      </c>
      <c r="C17" s="100">
        <f>SC04월손익!B17</f>
        <v>263650000</v>
      </c>
      <c r="D17" s="100">
        <f>SUMIFS(SC05모델손익!$G$6:$G$65,SC05모델손익!$B$6:$B$65,A17)</f>
        <v>616033800</v>
      </c>
      <c r="E17" s="95">
        <f>월고정비!B17</f>
        <v>370000000</v>
      </c>
      <c r="F17" s="95">
        <f t="shared" si="0"/>
        <v>246033800</v>
      </c>
      <c r="G17" s="100">
        <f>SUMIFS(SC05모델손익!$I$6:$I$65,SC05모델손익!$B$6:$B$65,A17)</f>
        <v>31000000</v>
      </c>
      <c r="H17" s="95">
        <f t="shared" si="1"/>
        <v>277033800</v>
      </c>
      <c r="I17" s="100">
        <f>SC04월손익!G17</f>
        <v>275833800</v>
      </c>
      <c r="J17" s="95">
        <f t="shared" si="2"/>
        <v>1200000</v>
      </c>
      <c r="K17" s="95">
        <f t="shared" si="3"/>
        <v>-13383800</v>
      </c>
      <c r="L17" s="100">
        <f>SUMIFS(SC05모델손익!$K$6:$K$65,SC05모델손익!$B$6:$B$65,A17)</f>
        <v>5436270000</v>
      </c>
    </row>
    <row r="18" spans="1:12" ht="31.95" customHeight="1">
      <c r="A18" s="82" t="s">
        <v>182</v>
      </c>
      <c r="B18" s="82" t="s">
        <v>1721</v>
      </c>
      <c r="C18" s="94">
        <f t="shared" ref="C18:L18" si="4">SUM(C6:C17)</f>
        <v>3477290000</v>
      </c>
      <c r="D18" s="94">
        <f t="shared" si="4"/>
        <v>7739986680</v>
      </c>
      <c r="E18" s="94">
        <f t="shared" si="4"/>
        <v>4440000000</v>
      </c>
      <c r="F18" s="94">
        <f t="shared" si="4"/>
        <v>3299986680</v>
      </c>
      <c r="G18" s="94">
        <f t="shared" si="4"/>
        <v>129000000</v>
      </c>
      <c r="H18" s="94">
        <f t="shared" si="4"/>
        <v>3428986680</v>
      </c>
      <c r="I18" s="94">
        <f t="shared" si="4"/>
        <v>3427786680</v>
      </c>
      <c r="J18" s="94">
        <f t="shared" si="4"/>
        <v>1200000</v>
      </c>
      <c r="K18" s="94">
        <f t="shared" si="4"/>
        <v>48303320</v>
      </c>
      <c r="L18" s="94">
        <f t="shared" si="4"/>
        <v>68241730000</v>
      </c>
    </row>
    <row r="19" spans="1:12" ht="31.95" customHeight="1">
      <c r="A19" s="83" t="s">
        <v>2650</v>
      </c>
      <c r="B19" s="83" t="s">
        <v>1721</v>
      </c>
      <c r="C19" s="95">
        <f t="shared" ref="C19:L19" si="5">SUM(C6:C14)</f>
        <v>2606300000</v>
      </c>
      <c r="D19" s="95">
        <f t="shared" si="5"/>
        <v>5814117800</v>
      </c>
      <c r="E19" s="95">
        <f t="shared" si="5"/>
        <v>3330000000</v>
      </c>
      <c r="F19" s="95">
        <f t="shared" si="5"/>
        <v>2484117800</v>
      </c>
      <c r="G19" s="95">
        <f t="shared" si="5"/>
        <v>37200000</v>
      </c>
      <c r="H19" s="95">
        <f t="shared" si="5"/>
        <v>2521317800</v>
      </c>
      <c r="I19" s="95">
        <f t="shared" si="5"/>
        <v>2522517800</v>
      </c>
      <c r="J19" s="95">
        <f t="shared" si="5"/>
        <v>-1200000</v>
      </c>
      <c r="K19" s="95">
        <f t="shared" si="5"/>
        <v>84982200</v>
      </c>
      <c r="L19" s="95">
        <f t="shared" si="5"/>
        <v>51246630000</v>
      </c>
    </row>
    <row r="20" spans="1:12" ht="31.95" customHeight="1">
      <c r="A20" s="82" t="s">
        <v>2651</v>
      </c>
      <c r="B20" s="82" t="s">
        <v>1721</v>
      </c>
      <c r="C20" s="94">
        <f t="shared" ref="C20:L20" si="6">SUM(C15:C17)</f>
        <v>870990000</v>
      </c>
      <c r="D20" s="94">
        <f t="shared" si="6"/>
        <v>1925868880</v>
      </c>
      <c r="E20" s="94">
        <f t="shared" si="6"/>
        <v>1110000000</v>
      </c>
      <c r="F20" s="94">
        <f t="shared" si="6"/>
        <v>815868880</v>
      </c>
      <c r="G20" s="94">
        <f t="shared" si="6"/>
        <v>91800000</v>
      </c>
      <c r="H20" s="94">
        <f t="shared" si="6"/>
        <v>907668880</v>
      </c>
      <c r="I20" s="94">
        <f t="shared" si="6"/>
        <v>905268880</v>
      </c>
      <c r="J20" s="94">
        <f t="shared" si="6"/>
        <v>2400000</v>
      </c>
      <c r="K20" s="94">
        <f t="shared" si="6"/>
        <v>-36678880</v>
      </c>
      <c r="L20" s="94">
        <f t="shared" si="6"/>
        <v>16995100000</v>
      </c>
    </row>
    <row r="21" spans="1:12" ht="31.95" customHeight="1">
      <c r="A21" s="83" t="s">
        <v>177</v>
      </c>
      <c r="B21" s="83" t="s">
        <v>1721</v>
      </c>
      <c r="C21" s="95">
        <f t="shared" ref="C21:L21" si="7">SUM(C12:C14)</f>
        <v>857650000</v>
      </c>
      <c r="D21" s="95">
        <f t="shared" si="7"/>
        <v>1898967800</v>
      </c>
      <c r="E21" s="95">
        <f t="shared" si="7"/>
        <v>1110000000</v>
      </c>
      <c r="F21" s="95">
        <f t="shared" si="7"/>
        <v>788967800</v>
      </c>
      <c r="G21" s="95">
        <f t="shared" si="7"/>
        <v>37200000</v>
      </c>
      <c r="H21" s="95">
        <f t="shared" si="7"/>
        <v>826167800</v>
      </c>
      <c r="I21" s="95">
        <f t="shared" si="7"/>
        <v>827367800</v>
      </c>
      <c r="J21" s="95">
        <f t="shared" si="7"/>
        <v>-1200000</v>
      </c>
      <c r="K21" s="95">
        <f t="shared" si="7"/>
        <v>31482200</v>
      </c>
      <c r="L21" s="95">
        <f t="shared" si="7"/>
        <v>16754520000</v>
      </c>
    </row>
  </sheetData>
  <phoneticPr fontId="30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BB2C2"/>
  </sheetPr>
  <dimension ref="A1:F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20" customWidth="1"/>
    <col min="3" max="3" width="22" customWidth="1"/>
    <col min="4" max="4" width="28" customWidth="1"/>
    <col min="5" max="5" width="105" customWidth="1"/>
    <col min="6" max="6" width="23" customWidth="1"/>
  </cols>
  <sheetData>
    <row r="1" spans="1:6" ht="28.95" customHeight="1">
      <c r="A1" s="80" t="s">
        <v>2652</v>
      </c>
      <c r="B1" s="79"/>
      <c r="C1" s="79"/>
      <c r="D1" s="79"/>
      <c r="E1" s="79"/>
      <c r="F1" s="79"/>
    </row>
    <row r="2" spans="1:6">
      <c r="A2" s="79"/>
      <c r="B2" s="79"/>
      <c r="C2" s="79"/>
      <c r="D2" s="79"/>
      <c r="E2" s="79"/>
      <c r="F2" s="79"/>
    </row>
    <row r="3" spans="1:6" ht="25.95" customHeight="1">
      <c r="A3" s="79" t="s">
        <v>2653</v>
      </c>
      <c r="B3" s="79"/>
      <c r="C3" s="79"/>
      <c r="D3" s="79"/>
      <c r="E3" s="79"/>
      <c r="F3" s="79"/>
    </row>
    <row r="4" spans="1:6">
      <c r="A4" s="79"/>
      <c r="B4" s="79"/>
      <c r="C4" s="79"/>
      <c r="D4" s="79"/>
      <c r="E4" s="79"/>
      <c r="F4" s="79"/>
    </row>
    <row r="5" spans="1:6" ht="36" customHeight="1">
      <c r="A5" s="81" t="s">
        <v>2654</v>
      </c>
      <c r="B5" s="81" t="s">
        <v>165</v>
      </c>
      <c r="C5" s="81" t="s">
        <v>2512</v>
      </c>
      <c r="D5" s="81" t="s">
        <v>2655</v>
      </c>
      <c r="E5" s="81" t="s">
        <v>2656</v>
      </c>
      <c r="F5" s="81" t="s">
        <v>2657</v>
      </c>
    </row>
    <row r="6" spans="1:6" ht="31.95" customHeight="1">
      <c r="A6" s="82" t="s">
        <v>2131</v>
      </c>
      <c r="B6" s="88">
        <v>46388</v>
      </c>
      <c r="C6" s="82" t="s">
        <v>2487</v>
      </c>
      <c r="D6" s="90">
        <v>309349000</v>
      </c>
      <c r="E6" s="82" t="s">
        <v>2658</v>
      </c>
      <c r="F6" s="82" t="s">
        <v>2659</v>
      </c>
    </row>
    <row r="7" spans="1:6" ht="31.95" customHeight="1">
      <c r="A7" s="83" t="s">
        <v>2131</v>
      </c>
      <c r="B7" s="89">
        <v>46419</v>
      </c>
      <c r="C7" s="83" t="s">
        <v>2487</v>
      </c>
      <c r="D7" s="91">
        <v>226547000</v>
      </c>
      <c r="E7" s="83" t="s">
        <v>2658</v>
      </c>
      <c r="F7" s="83" t="s">
        <v>2659</v>
      </c>
    </row>
    <row r="8" spans="1:6" ht="31.95" customHeight="1">
      <c r="A8" s="82" t="s">
        <v>2131</v>
      </c>
      <c r="B8" s="88">
        <v>46447</v>
      </c>
      <c r="C8" s="82" t="s">
        <v>2487</v>
      </c>
      <c r="D8" s="90">
        <v>322633000</v>
      </c>
      <c r="E8" s="82" t="s">
        <v>2658</v>
      </c>
      <c r="F8" s="82" t="s">
        <v>2659</v>
      </c>
    </row>
    <row r="9" spans="1:6" ht="31.95" customHeight="1">
      <c r="A9" s="83" t="s">
        <v>2131</v>
      </c>
      <c r="B9" s="89">
        <v>46478</v>
      </c>
      <c r="C9" s="83" t="s">
        <v>2487</v>
      </c>
      <c r="D9" s="91">
        <v>286430000</v>
      </c>
      <c r="E9" s="83" t="s">
        <v>2658</v>
      </c>
      <c r="F9" s="83" t="s">
        <v>2659</v>
      </c>
    </row>
    <row r="10" spans="1:6" ht="31.95" customHeight="1">
      <c r="A10" s="82" t="s">
        <v>2131</v>
      </c>
      <c r="B10" s="88">
        <v>46508</v>
      </c>
      <c r="C10" s="82" t="s">
        <v>2487</v>
      </c>
      <c r="D10" s="90">
        <v>270161000</v>
      </c>
      <c r="E10" s="82" t="s">
        <v>2658</v>
      </c>
      <c r="F10" s="82" t="s">
        <v>2659</v>
      </c>
    </row>
    <row r="11" spans="1:6" ht="31.95" customHeight="1">
      <c r="A11" s="83" t="s">
        <v>2131</v>
      </c>
      <c r="B11" s="89">
        <v>46539</v>
      </c>
      <c r="C11" s="83" t="s">
        <v>2487</v>
      </c>
      <c r="D11" s="91">
        <v>280030000</v>
      </c>
      <c r="E11" s="83" t="s">
        <v>2658</v>
      </c>
      <c r="F11" s="83" t="s">
        <v>2659</v>
      </c>
    </row>
    <row r="12" spans="1:6" ht="31.95" customHeight="1">
      <c r="A12" s="82" t="s">
        <v>2131</v>
      </c>
      <c r="B12" s="88">
        <v>46569</v>
      </c>
      <c r="C12" s="82" t="s">
        <v>2487</v>
      </c>
      <c r="D12" s="90">
        <v>260518000</v>
      </c>
      <c r="E12" s="82" t="s">
        <v>2658</v>
      </c>
      <c r="F12" s="82" t="s">
        <v>2659</v>
      </c>
    </row>
    <row r="13" spans="1:6" ht="31.95" customHeight="1">
      <c r="A13" s="83" t="s">
        <v>2131</v>
      </c>
      <c r="B13" s="89">
        <v>46600</v>
      </c>
      <c r="C13" s="83" t="s">
        <v>2487</v>
      </c>
      <c r="D13" s="91">
        <v>242557680</v>
      </c>
      <c r="E13" s="83" t="s">
        <v>2658</v>
      </c>
      <c r="F13" s="83" t="s">
        <v>2659</v>
      </c>
    </row>
    <row r="14" spans="1:6" ht="31.95" customHeight="1">
      <c r="A14" s="82" t="s">
        <v>2131</v>
      </c>
      <c r="B14" s="88">
        <v>46631</v>
      </c>
      <c r="C14" s="82" t="s">
        <v>2500</v>
      </c>
      <c r="D14" s="90">
        <v>324292120</v>
      </c>
      <c r="E14" s="82" t="s">
        <v>2658</v>
      </c>
      <c r="F14" s="82" t="s">
        <v>2659</v>
      </c>
    </row>
    <row r="15" spans="1:6" ht="31.95" customHeight="1">
      <c r="A15" s="83" t="s">
        <v>2131</v>
      </c>
      <c r="B15" s="89">
        <v>46661</v>
      </c>
      <c r="C15" s="83" t="s">
        <v>2500</v>
      </c>
      <c r="D15" s="91">
        <v>321201080</v>
      </c>
      <c r="E15" s="83" t="s">
        <v>2658</v>
      </c>
      <c r="F15" s="83" t="s">
        <v>2659</v>
      </c>
    </row>
    <row r="16" spans="1:6" ht="31.95" customHeight="1">
      <c r="A16" s="82" t="s">
        <v>2131</v>
      </c>
      <c r="B16" s="88">
        <v>46692</v>
      </c>
      <c r="C16" s="82" t="s">
        <v>2500</v>
      </c>
      <c r="D16" s="90">
        <v>308234000</v>
      </c>
      <c r="E16" s="82" t="s">
        <v>2658</v>
      </c>
      <c r="F16" s="82" t="s">
        <v>2659</v>
      </c>
    </row>
    <row r="17" spans="1:6" ht="31.95" customHeight="1">
      <c r="A17" s="83" t="s">
        <v>2131</v>
      </c>
      <c r="B17" s="89">
        <v>46722</v>
      </c>
      <c r="C17" s="83" t="s">
        <v>2500</v>
      </c>
      <c r="D17" s="91">
        <v>275833800</v>
      </c>
      <c r="E17" s="83" t="s">
        <v>2658</v>
      </c>
      <c r="F17" s="83" t="s">
        <v>2659</v>
      </c>
    </row>
  </sheetData>
  <phoneticPr fontId="30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9BB2C2"/>
  </sheetPr>
  <dimension ref="A1:M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3" customWidth="1"/>
    <col min="2" max="2" width="27" customWidth="1"/>
    <col min="3" max="3" width="26" customWidth="1"/>
    <col min="4" max="6" width="24" customWidth="1"/>
    <col min="7" max="7" width="22" customWidth="1"/>
    <col min="8" max="8" width="23" customWidth="1"/>
    <col min="9" max="9" width="20" customWidth="1"/>
    <col min="10" max="11" width="28" customWidth="1"/>
    <col min="12" max="12" width="27" customWidth="1"/>
    <col min="13" max="13" width="100" customWidth="1"/>
  </cols>
  <sheetData>
    <row r="1" spans="1:13" ht="28.95" customHeight="1">
      <c r="A1" s="80" t="s">
        <v>2660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1:13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25.95" customHeight="1">
      <c r="A3" s="79" t="s">
        <v>2661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1:13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1:13" ht="36" customHeight="1">
      <c r="A5" s="81" t="s">
        <v>2654</v>
      </c>
      <c r="B5" s="81" t="s">
        <v>124</v>
      </c>
      <c r="C5" s="81" t="s">
        <v>2136</v>
      </c>
      <c r="D5" s="81" t="s">
        <v>2152</v>
      </c>
      <c r="E5" s="81" t="s">
        <v>2662</v>
      </c>
      <c r="F5" s="81" t="s">
        <v>2663</v>
      </c>
      <c r="G5" s="81" t="s">
        <v>476</v>
      </c>
      <c r="H5" s="81" t="s">
        <v>350</v>
      </c>
      <c r="I5" s="81" t="s">
        <v>2664</v>
      </c>
      <c r="J5" s="81" t="s">
        <v>2665</v>
      </c>
      <c r="K5" s="81" t="s">
        <v>1548</v>
      </c>
      <c r="L5" s="81" t="s">
        <v>1554</v>
      </c>
      <c r="M5" s="81" t="s">
        <v>1698</v>
      </c>
    </row>
    <row r="6" spans="1:13" ht="31.95" customHeight="1">
      <c r="A6" s="82" t="s">
        <v>1623</v>
      </c>
      <c r="B6" s="82" t="s">
        <v>2666</v>
      </c>
      <c r="C6" s="82" t="s">
        <v>2667</v>
      </c>
      <c r="D6" s="86">
        <v>46580.440972222219</v>
      </c>
      <c r="E6" s="101"/>
      <c r="F6" s="101"/>
      <c r="G6" s="82"/>
      <c r="H6" s="82" t="s">
        <v>2668</v>
      </c>
      <c r="I6" s="88">
        <v>46569</v>
      </c>
      <c r="J6" s="99">
        <f>SC04월손익!G18</f>
        <v>3427786680</v>
      </c>
      <c r="K6" s="99">
        <f>SC04월손익!B18</f>
        <v>3477290000</v>
      </c>
      <c r="L6" s="99">
        <f>SC04월손익!H18</f>
        <v>49503320</v>
      </c>
      <c r="M6" s="82" t="s">
        <v>2669</v>
      </c>
    </row>
    <row r="7" spans="1:13" ht="31.95" customHeight="1">
      <c r="A7" s="83" t="s">
        <v>2131</v>
      </c>
      <c r="B7" s="83" t="s">
        <v>2670</v>
      </c>
      <c r="C7" s="83" t="s">
        <v>2671</v>
      </c>
      <c r="D7" s="87">
        <v>46633.416666666664</v>
      </c>
      <c r="E7" s="87">
        <v>46633.666666666664</v>
      </c>
      <c r="F7" s="87">
        <v>46636.416666666664</v>
      </c>
      <c r="G7" s="83" t="s">
        <v>979</v>
      </c>
      <c r="H7" s="83" t="s">
        <v>478</v>
      </c>
      <c r="I7" s="89">
        <v>46631</v>
      </c>
      <c r="J7" s="100">
        <f>SUM(SC05이전공식!D6:D17)</f>
        <v>3427786680</v>
      </c>
      <c r="K7" s="100">
        <f>SC04월손익!B18</f>
        <v>3477290000</v>
      </c>
      <c r="L7" s="95">
        <f>K7-J7</f>
        <v>49503320</v>
      </c>
      <c r="M7" s="83" t="s">
        <v>2672</v>
      </c>
    </row>
    <row r="8" spans="1:13" ht="31.95" customHeight="1">
      <c r="A8" s="82" t="s">
        <v>2673</v>
      </c>
      <c r="B8" s="82" t="s">
        <v>2674</v>
      </c>
      <c r="C8" s="82" t="s">
        <v>2135</v>
      </c>
      <c r="D8" s="86">
        <v>46665.416666666664</v>
      </c>
      <c r="E8" s="86">
        <v>46665.666666666664</v>
      </c>
      <c r="F8" s="101"/>
      <c r="G8" s="82"/>
      <c r="H8" s="82" t="s">
        <v>2675</v>
      </c>
      <c r="I8" s="88">
        <v>46661</v>
      </c>
      <c r="J8" s="99">
        <f>SC05월손익!H18</f>
        <v>3428986680</v>
      </c>
      <c r="K8" s="99">
        <f>SC04월손익!B18</f>
        <v>3477290000</v>
      </c>
      <c r="L8" s="94">
        <f>K8-J8</f>
        <v>48303320</v>
      </c>
      <c r="M8" s="82" t="s">
        <v>2676</v>
      </c>
    </row>
    <row r="9" spans="1:13" ht="31.95" customHeight="1">
      <c r="A9" s="83" t="s">
        <v>2677</v>
      </c>
      <c r="B9" s="83" t="s">
        <v>2678</v>
      </c>
      <c r="C9" s="83" t="s">
        <v>2135</v>
      </c>
      <c r="D9" s="87">
        <v>46665.416666666664</v>
      </c>
      <c r="E9" s="87">
        <v>46665.666666666664</v>
      </c>
      <c r="F9" s="87">
        <v>46666.416666666664</v>
      </c>
      <c r="G9" s="83" t="s">
        <v>979</v>
      </c>
      <c r="H9" s="83" t="s">
        <v>478</v>
      </c>
      <c r="I9" s="89">
        <v>46661</v>
      </c>
      <c r="J9" s="100">
        <f>SC05월손익!H18</f>
        <v>3428986680</v>
      </c>
      <c r="K9" s="100">
        <f>SC04월손익!B18</f>
        <v>3477290000</v>
      </c>
      <c r="L9" s="95">
        <f>K9-J9</f>
        <v>48303320</v>
      </c>
      <c r="M9" s="83" t="s">
        <v>2679</v>
      </c>
    </row>
  </sheetData>
  <phoneticPr fontId="30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BB2C2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47" customWidth="1"/>
    <col min="2" max="2" width="29" customWidth="1"/>
    <col min="3" max="3" width="100" customWidth="1"/>
  </cols>
  <sheetData>
    <row r="1" spans="1:3" ht="28.95" customHeight="1">
      <c r="A1" s="80" t="s">
        <v>2680</v>
      </c>
      <c r="B1" s="79"/>
      <c r="C1" s="79"/>
    </row>
    <row r="2" spans="1:3">
      <c r="A2" s="79"/>
      <c r="B2" s="79"/>
      <c r="C2" s="79"/>
    </row>
    <row r="3" spans="1:3" ht="25.95" customHeight="1">
      <c r="A3" s="79" t="s">
        <v>2681</v>
      </c>
      <c r="B3" s="79"/>
      <c r="C3" s="79"/>
    </row>
    <row r="4" spans="1:3">
      <c r="A4" s="79"/>
      <c r="B4" s="79"/>
      <c r="C4" s="79"/>
    </row>
    <row r="5" spans="1:3" ht="36" customHeight="1">
      <c r="A5" s="81" t="s">
        <v>2682</v>
      </c>
      <c r="B5" s="81" t="s">
        <v>2683</v>
      </c>
      <c r="C5" s="81" t="s">
        <v>2684</v>
      </c>
    </row>
    <row r="6" spans="1:3" ht="31.95" customHeight="1">
      <c r="A6" s="82" t="s">
        <v>2685</v>
      </c>
      <c r="B6" s="99">
        <f>SUM(SC05이전공식!D6:D17)</f>
        <v>3427786680</v>
      </c>
      <c r="C6" s="82" t="s">
        <v>2686</v>
      </c>
    </row>
    <row r="7" spans="1:3" ht="31.95" customHeight="1">
      <c r="A7" s="83" t="s">
        <v>2687</v>
      </c>
      <c r="B7" s="100">
        <f>SC05월손익!J14</f>
        <v>-1200000</v>
      </c>
      <c r="C7" s="83" t="s">
        <v>2688</v>
      </c>
    </row>
    <row r="8" spans="1:3" ht="31.95" customHeight="1">
      <c r="A8" s="82" t="s">
        <v>2689</v>
      </c>
      <c r="B8" s="99">
        <f>SC05월손익!J15</f>
        <v>0</v>
      </c>
      <c r="C8" s="82" t="s">
        <v>2690</v>
      </c>
    </row>
    <row r="9" spans="1:3" ht="31.95" customHeight="1">
      <c r="A9" s="83" t="s">
        <v>2691</v>
      </c>
      <c r="B9" s="100">
        <f>SUM(SC05월손익!J16:J17)</f>
        <v>2400000</v>
      </c>
      <c r="C9" s="83" t="s">
        <v>2692</v>
      </c>
    </row>
    <row r="10" spans="1:3" ht="31.95" customHeight="1">
      <c r="A10" s="82" t="s">
        <v>2693</v>
      </c>
      <c r="B10" s="99">
        <f>SUM(SC05월손익!J6:J13)</f>
        <v>0</v>
      </c>
      <c r="C10" s="82" t="s">
        <v>2694</v>
      </c>
    </row>
    <row r="11" spans="1:3" ht="31.95" customHeight="1">
      <c r="A11" s="83" t="s">
        <v>2695</v>
      </c>
      <c r="B11" s="95">
        <f>SUM(B6:B10)</f>
        <v>3428986680</v>
      </c>
      <c r="C11" s="83" t="s">
        <v>2696</v>
      </c>
    </row>
    <row r="12" spans="1:3" ht="31.95" customHeight="1">
      <c r="A12" s="82" t="s">
        <v>2697</v>
      </c>
      <c r="B12" s="99">
        <f>B11-SC05월손익!H18</f>
        <v>0</v>
      </c>
      <c r="C12" s="82" t="s">
        <v>2698</v>
      </c>
    </row>
  </sheetData>
  <phoneticPr fontId="30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BB2C2"/>
  </sheetPr>
  <dimension ref="A1:I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17" customWidth="1"/>
    <col min="3" max="3" width="24" customWidth="1"/>
    <col min="4" max="4" width="20" customWidth="1"/>
    <col min="5" max="5" width="26" customWidth="1"/>
    <col min="6" max="6" width="88" customWidth="1"/>
    <col min="7" max="7" width="93" customWidth="1"/>
    <col min="8" max="8" width="76" customWidth="1"/>
    <col min="9" max="9" width="32" customWidth="1"/>
  </cols>
  <sheetData>
    <row r="1" spans="1:9" ht="28.95" customHeight="1">
      <c r="A1" s="80" t="s">
        <v>2699</v>
      </c>
      <c r="B1" s="79"/>
      <c r="C1" s="79"/>
      <c r="D1" s="79"/>
      <c r="E1" s="79"/>
      <c r="F1" s="79"/>
      <c r="G1" s="79"/>
      <c r="H1" s="79"/>
      <c r="I1" s="79"/>
    </row>
    <row r="2" spans="1:9">
      <c r="A2" s="79"/>
      <c r="B2" s="79"/>
      <c r="C2" s="79"/>
      <c r="D2" s="79"/>
      <c r="E2" s="79"/>
      <c r="F2" s="79"/>
      <c r="G2" s="79"/>
      <c r="H2" s="79"/>
      <c r="I2" s="79"/>
    </row>
    <row r="3" spans="1:9" ht="25.95" customHeight="1">
      <c r="A3" s="79" t="s">
        <v>2700</v>
      </c>
      <c r="B3" s="79"/>
      <c r="C3" s="79"/>
      <c r="D3" s="79"/>
      <c r="E3" s="79"/>
      <c r="F3" s="79"/>
      <c r="G3" s="79"/>
      <c r="H3" s="79"/>
      <c r="I3" s="79"/>
    </row>
    <row r="4" spans="1:9">
      <c r="A4" s="79"/>
      <c r="B4" s="79"/>
      <c r="C4" s="79"/>
      <c r="D4" s="79"/>
      <c r="E4" s="79"/>
      <c r="F4" s="79"/>
      <c r="G4" s="79"/>
      <c r="H4" s="79"/>
      <c r="I4" s="79"/>
    </row>
    <row r="5" spans="1:9" ht="36" customHeight="1">
      <c r="A5" s="81" t="s">
        <v>2150</v>
      </c>
      <c r="B5" s="81" t="s">
        <v>1103</v>
      </c>
      <c r="C5" s="81" t="s">
        <v>2154</v>
      </c>
      <c r="D5" s="81" t="s">
        <v>2153</v>
      </c>
      <c r="E5" s="81" t="s">
        <v>2701</v>
      </c>
      <c r="F5" s="81" t="s">
        <v>2702</v>
      </c>
      <c r="G5" s="81" t="s">
        <v>2703</v>
      </c>
      <c r="H5" s="81" t="s">
        <v>2704</v>
      </c>
      <c r="I5" s="81" t="s">
        <v>1698</v>
      </c>
    </row>
    <row r="6" spans="1:9" ht="31.95" customHeight="1">
      <c r="A6" s="82" t="s">
        <v>2705</v>
      </c>
      <c r="B6" s="82" t="s">
        <v>1740</v>
      </c>
      <c r="C6" s="86">
        <v>46664.583333333336</v>
      </c>
      <c r="D6" s="82" t="s">
        <v>1532</v>
      </c>
      <c r="E6" s="86">
        <v>46664.666666666664</v>
      </c>
      <c r="F6" s="82" t="s">
        <v>2706</v>
      </c>
      <c r="G6" s="82" t="s">
        <v>2707</v>
      </c>
      <c r="H6" s="82" t="s">
        <v>2708</v>
      </c>
      <c r="I6" s="82" t="s">
        <v>2709</v>
      </c>
    </row>
    <row r="7" spans="1:9" ht="31.95" customHeight="1">
      <c r="A7" s="83" t="s">
        <v>2710</v>
      </c>
      <c r="B7" s="83" t="s">
        <v>1738</v>
      </c>
      <c r="C7" s="87">
        <v>46664.590277777781</v>
      </c>
      <c r="D7" s="83" t="s">
        <v>1527</v>
      </c>
      <c r="E7" s="87">
        <v>46664.673611111109</v>
      </c>
      <c r="F7" s="83" t="s">
        <v>2711</v>
      </c>
      <c r="G7" s="83" t="s">
        <v>2712</v>
      </c>
      <c r="H7" s="83" t="s">
        <v>2713</v>
      </c>
      <c r="I7" s="83" t="s">
        <v>2489</v>
      </c>
    </row>
    <row r="8" spans="1:9" ht="31.95" customHeight="1">
      <c r="A8" s="82" t="s">
        <v>2714</v>
      </c>
      <c r="B8" s="82" t="s">
        <v>1741</v>
      </c>
      <c r="C8" s="86">
        <v>46664.597222222219</v>
      </c>
      <c r="D8" s="82" t="s">
        <v>1532</v>
      </c>
      <c r="E8" s="86">
        <v>46664.680555555555</v>
      </c>
      <c r="F8" s="82" t="s">
        <v>2715</v>
      </c>
      <c r="G8" s="82" t="s">
        <v>2716</v>
      </c>
      <c r="H8" s="82" t="s">
        <v>2717</v>
      </c>
      <c r="I8" s="82" t="s">
        <v>2278</v>
      </c>
    </row>
  </sheetData>
  <phoneticPr fontId="30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9BB2C2"/>
  </sheetPr>
  <dimension ref="A1:H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31" customWidth="1"/>
    <col min="3" max="3" width="38" customWidth="1"/>
    <col min="4" max="4" width="24" customWidth="1"/>
    <col min="5" max="5" width="22" customWidth="1"/>
    <col min="6" max="6" width="125" customWidth="1"/>
    <col min="7" max="7" width="22" customWidth="1"/>
    <col min="8" max="8" width="24" customWidth="1"/>
  </cols>
  <sheetData>
    <row r="1" spans="1:8" ht="28.95" customHeight="1">
      <c r="A1" s="80" t="s">
        <v>2718</v>
      </c>
      <c r="B1" s="79"/>
      <c r="C1" s="79"/>
      <c r="D1" s="79"/>
      <c r="E1" s="79"/>
      <c r="F1" s="79"/>
      <c r="G1" s="79"/>
      <c r="H1" s="79"/>
    </row>
    <row r="2" spans="1:8">
      <c r="A2" s="79"/>
      <c r="B2" s="79"/>
      <c r="C2" s="79"/>
      <c r="D2" s="79"/>
      <c r="E2" s="79"/>
      <c r="F2" s="79"/>
      <c r="G2" s="79"/>
      <c r="H2" s="79"/>
    </row>
    <row r="3" spans="1:8" ht="25.95" customHeight="1">
      <c r="A3" s="79" t="s">
        <v>2719</v>
      </c>
      <c r="B3" s="79"/>
      <c r="C3" s="79"/>
      <c r="D3" s="79"/>
      <c r="E3" s="79"/>
      <c r="F3" s="79"/>
      <c r="G3" s="79"/>
      <c r="H3" s="79"/>
    </row>
    <row r="4" spans="1:8">
      <c r="A4" s="79"/>
      <c r="B4" s="79"/>
      <c r="C4" s="79"/>
      <c r="D4" s="79"/>
      <c r="E4" s="79"/>
      <c r="F4" s="79"/>
      <c r="G4" s="79"/>
      <c r="H4" s="79"/>
    </row>
    <row r="5" spans="1:8" ht="36" customHeight="1">
      <c r="A5" s="81" t="s">
        <v>377</v>
      </c>
      <c r="B5" s="81" t="s">
        <v>1746</v>
      </c>
      <c r="C5" s="81" t="s">
        <v>1179</v>
      </c>
      <c r="D5" s="81" t="s">
        <v>2152</v>
      </c>
      <c r="E5" s="81" t="s">
        <v>1694</v>
      </c>
      <c r="F5" s="81" t="s">
        <v>2720</v>
      </c>
      <c r="G5" s="81" t="s">
        <v>1695</v>
      </c>
      <c r="H5" s="81" t="s">
        <v>2155</v>
      </c>
    </row>
    <row r="6" spans="1:8" ht="48" customHeight="1">
      <c r="A6" s="82" t="s">
        <v>2186</v>
      </c>
      <c r="B6" s="82" t="s">
        <v>2721</v>
      </c>
      <c r="C6" s="82" t="s">
        <v>2722</v>
      </c>
      <c r="D6" s="86">
        <v>46619.375</v>
      </c>
      <c r="E6" s="82" t="s">
        <v>963</v>
      </c>
      <c r="F6" s="82" t="s">
        <v>2723</v>
      </c>
      <c r="G6" s="82" t="s">
        <v>1532</v>
      </c>
      <c r="H6" s="86">
        <v>46619.458333333336</v>
      </c>
    </row>
    <row r="7" spans="1:8" ht="31.95" customHeight="1">
      <c r="A7" s="83" t="s">
        <v>2191</v>
      </c>
      <c r="B7" s="83" t="s">
        <v>2724</v>
      </c>
      <c r="C7" s="83" t="s">
        <v>2725</v>
      </c>
      <c r="D7" s="87">
        <v>46619.395833333336</v>
      </c>
      <c r="E7" s="83" t="s">
        <v>1527</v>
      </c>
      <c r="F7" s="83" t="s">
        <v>2726</v>
      </c>
      <c r="G7" s="83" t="s">
        <v>955</v>
      </c>
      <c r="H7" s="87">
        <v>46619.479166666664</v>
      </c>
    </row>
    <row r="8" spans="1:8" ht="48" customHeight="1">
      <c r="A8" s="82" t="s">
        <v>2274</v>
      </c>
      <c r="B8" s="82" t="s">
        <v>2727</v>
      </c>
      <c r="C8" s="82" t="s">
        <v>2728</v>
      </c>
      <c r="D8" s="86">
        <v>46630.666666666664</v>
      </c>
      <c r="E8" s="82" t="s">
        <v>963</v>
      </c>
      <c r="F8" s="82" t="s">
        <v>2729</v>
      </c>
      <c r="G8" s="82" t="s">
        <v>1532</v>
      </c>
      <c r="H8" s="86">
        <v>46630.708333333336</v>
      </c>
    </row>
    <row r="9" spans="1:8" ht="31.95" customHeight="1">
      <c r="A9" s="83" t="s">
        <v>2489</v>
      </c>
      <c r="B9" s="83" t="s">
        <v>2730</v>
      </c>
      <c r="C9" s="83" t="s">
        <v>2731</v>
      </c>
      <c r="D9" s="87">
        <v>46660.666666666664</v>
      </c>
      <c r="E9" s="83" t="s">
        <v>959</v>
      </c>
      <c r="F9" s="83" t="s">
        <v>2732</v>
      </c>
      <c r="G9" s="83" t="s">
        <v>1527</v>
      </c>
      <c r="H9" s="87">
        <v>46664.590277777781</v>
      </c>
    </row>
    <row r="10" spans="1:8" ht="31.95" customHeight="1">
      <c r="A10" s="82" t="s">
        <v>2278</v>
      </c>
      <c r="B10" s="82" t="s">
        <v>2733</v>
      </c>
      <c r="C10" s="82" t="s">
        <v>2734</v>
      </c>
      <c r="D10" s="86">
        <v>46658.666666666664</v>
      </c>
      <c r="E10" s="82" t="s">
        <v>963</v>
      </c>
      <c r="F10" s="82" t="s">
        <v>2735</v>
      </c>
      <c r="G10" s="82" t="s">
        <v>1532</v>
      </c>
      <c r="H10" s="86">
        <v>46664.597222222219</v>
      </c>
    </row>
    <row r="11" spans="1:8" ht="48" customHeight="1">
      <c r="A11" s="83" t="s">
        <v>2308</v>
      </c>
      <c r="B11" s="83" t="s">
        <v>2736</v>
      </c>
      <c r="C11" s="83" t="s">
        <v>2737</v>
      </c>
      <c r="D11" s="87">
        <v>46632.375</v>
      </c>
      <c r="E11" s="83" t="s">
        <v>959</v>
      </c>
      <c r="F11" s="83" t="s">
        <v>2738</v>
      </c>
      <c r="G11" s="83" t="s">
        <v>963</v>
      </c>
      <c r="H11" s="87">
        <v>46632.458333333336</v>
      </c>
    </row>
    <row r="12" spans="1:8" ht="31.95" customHeight="1">
      <c r="A12" s="82" t="s">
        <v>2351</v>
      </c>
      <c r="B12" s="82" t="s">
        <v>2739</v>
      </c>
      <c r="C12" s="82" t="s">
        <v>2740</v>
      </c>
      <c r="D12" s="86">
        <v>46640.458333333336</v>
      </c>
      <c r="E12" s="82" t="s">
        <v>963</v>
      </c>
      <c r="F12" s="82" t="s">
        <v>2741</v>
      </c>
      <c r="G12" s="82" t="s">
        <v>1532</v>
      </c>
      <c r="H12" s="86">
        <v>46640.541666666664</v>
      </c>
    </row>
    <row r="13" spans="1:8" ht="48" customHeight="1">
      <c r="A13" s="83" t="s">
        <v>2282</v>
      </c>
      <c r="B13" s="83" t="s">
        <v>2742</v>
      </c>
      <c r="C13" s="83" t="s">
        <v>2743</v>
      </c>
      <c r="D13" s="87">
        <v>46664.416666666664</v>
      </c>
      <c r="E13" s="83" t="s">
        <v>963</v>
      </c>
      <c r="F13" s="83" t="s">
        <v>2744</v>
      </c>
      <c r="G13" s="83" t="s">
        <v>1532</v>
      </c>
      <c r="H13" s="87">
        <v>46664.541666666664</v>
      </c>
    </row>
    <row r="14" spans="1:8" ht="31.95" customHeight="1">
      <c r="A14" s="82" t="s">
        <v>2210</v>
      </c>
      <c r="B14" s="82" t="s">
        <v>2745</v>
      </c>
      <c r="C14" s="82" t="s">
        <v>2746</v>
      </c>
      <c r="D14" s="86">
        <v>46660.729166666664</v>
      </c>
      <c r="E14" s="82" t="s">
        <v>963</v>
      </c>
      <c r="F14" s="82" t="s">
        <v>2747</v>
      </c>
      <c r="G14" s="82" t="s">
        <v>1532</v>
      </c>
      <c r="H14" s="86">
        <v>46660.75</v>
      </c>
    </row>
    <row r="15" spans="1:8" ht="31.95" customHeight="1">
      <c r="A15" s="83" t="s">
        <v>2748</v>
      </c>
      <c r="B15" s="83" t="s">
        <v>2749</v>
      </c>
      <c r="C15" s="83" t="s">
        <v>2750</v>
      </c>
      <c r="D15" s="87">
        <v>46636.416666666664</v>
      </c>
      <c r="E15" s="83" t="s">
        <v>955</v>
      </c>
      <c r="F15" s="83" t="s">
        <v>2751</v>
      </c>
      <c r="G15" s="83" t="s">
        <v>979</v>
      </c>
      <c r="H15" s="87">
        <v>46636.416666666664</v>
      </c>
    </row>
    <row r="16" spans="1:8" ht="48" customHeight="1">
      <c r="A16" s="82" t="s">
        <v>2752</v>
      </c>
      <c r="B16" s="82" t="s">
        <v>2753</v>
      </c>
      <c r="C16" s="82" t="s">
        <v>2754</v>
      </c>
      <c r="D16" s="86">
        <v>46666.416666666664</v>
      </c>
      <c r="E16" s="82" t="s">
        <v>955</v>
      </c>
      <c r="F16" s="82" t="s">
        <v>2755</v>
      </c>
      <c r="G16" s="82" t="s">
        <v>979</v>
      </c>
      <c r="H16" s="86">
        <v>46666.416666666664</v>
      </c>
    </row>
    <row r="17" spans="1:8" ht="48" customHeight="1">
      <c r="A17" s="83" t="s">
        <v>2756</v>
      </c>
      <c r="B17" s="83" t="s">
        <v>2757</v>
      </c>
      <c r="C17" s="83" t="s">
        <v>1762</v>
      </c>
      <c r="D17" s="87">
        <v>46608.416666666664</v>
      </c>
      <c r="E17" s="83" t="s">
        <v>955</v>
      </c>
      <c r="F17" s="83" t="s">
        <v>2758</v>
      </c>
      <c r="G17" s="83" t="s">
        <v>979</v>
      </c>
      <c r="H17" s="87">
        <v>46608.416666666664</v>
      </c>
    </row>
    <row r="18" spans="1:8" ht="31.95" customHeight="1">
      <c r="A18" s="82" t="s">
        <v>2196</v>
      </c>
      <c r="B18" s="82" t="s">
        <v>2759</v>
      </c>
      <c r="C18" s="82" t="s">
        <v>2760</v>
      </c>
      <c r="D18" s="86">
        <v>46618.666666666664</v>
      </c>
      <c r="E18" s="82" t="s">
        <v>963</v>
      </c>
      <c r="F18" s="82" t="s">
        <v>2761</v>
      </c>
      <c r="G18" s="82" t="s">
        <v>1532</v>
      </c>
      <c r="H18" s="86">
        <v>46618.708333333336</v>
      </c>
    </row>
    <row r="19" spans="1:8" ht="31.95" customHeight="1">
      <c r="A19" s="83" t="s">
        <v>2268</v>
      </c>
      <c r="B19" s="83" t="s">
        <v>2762</v>
      </c>
      <c r="C19" s="83" t="s">
        <v>2245</v>
      </c>
      <c r="D19" s="87">
        <v>46587.416666666664</v>
      </c>
      <c r="E19" s="83" t="s">
        <v>959</v>
      </c>
      <c r="F19" s="83" t="s">
        <v>2763</v>
      </c>
      <c r="G19" s="83" t="s">
        <v>1527</v>
      </c>
      <c r="H19" s="87">
        <v>46587.541666666664</v>
      </c>
    </row>
    <row r="20" spans="1:8" ht="31.95" customHeight="1">
      <c r="A20" s="82" t="s">
        <v>2271</v>
      </c>
      <c r="B20" s="82" t="s">
        <v>2764</v>
      </c>
      <c r="C20" s="82" t="s">
        <v>2269</v>
      </c>
      <c r="D20" s="86">
        <v>46598.666666666664</v>
      </c>
      <c r="E20" s="82" t="s">
        <v>959</v>
      </c>
      <c r="F20" s="82" t="s">
        <v>2765</v>
      </c>
      <c r="G20" s="82" t="s">
        <v>1527</v>
      </c>
      <c r="H20" s="86">
        <v>46598.708333333336</v>
      </c>
    </row>
    <row r="21" spans="1:8" ht="31.95" customHeight="1">
      <c r="A21" s="83" t="s">
        <v>2766</v>
      </c>
      <c r="B21" s="83" t="s">
        <v>2767</v>
      </c>
      <c r="C21" s="83" t="s">
        <v>1738</v>
      </c>
      <c r="D21" s="87">
        <v>46630.666666666664</v>
      </c>
      <c r="E21" s="83" t="s">
        <v>959</v>
      </c>
      <c r="F21" s="83" t="s">
        <v>2768</v>
      </c>
      <c r="G21" s="83" t="s">
        <v>1527</v>
      </c>
      <c r="H21" s="87">
        <v>46630.75</v>
      </c>
    </row>
    <row r="22" spans="1:8" ht="31.95" customHeight="1">
      <c r="A22" s="82" t="s">
        <v>2276</v>
      </c>
      <c r="B22" s="82" t="s">
        <v>2769</v>
      </c>
      <c r="C22" s="82" t="s">
        <v>2249</v>
      </c>
      <c r="D22" s="86">
        <v>46645.416666666664</v>
      </c>
      <c r="E22" s="82" t="s">
        <v>963</v>
      </c>
      <c r="F22" s="82" t="s">
        <v>2770</v>
      </c>
      <c r="G22" s="82" t="s">
        <v>1532</v>
      </c>
      <c r="H22" s="86">
        <v>46645.541666666664</v>
      </c>
    </row>
    <row r="23" spans="1:8" ht="31.95" customHeight="1">
      <c r="A23" s="83" t="s">
        <v>2316</v>
      </c>
      <c r="B23" s="83" t="s">
        <v>2771</v>
      </c>
      <c r="C23" s="83" t="s">
        <v>2772</v>
      </c>
      <c r="D23" s="87">
        <v>46640.375</v>
      </c>
      <c r="E23" s="83" t="s">
        <v>959</v>
      </c>
      <c r="F23" s="83" t="s">
        <v>2773</v>
      </c>
      <c r="G23" s="83" t="s">
        <v>963</v>
      </c>
      <c r="H23" s="87">
        <v>46640.416666666664</v>
      </c>
    </row>
  </sheetData>
  <phoneticPr fontId="30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9BB2C2"/>
  </sheetPr>
  <dimension ref="A1:K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25" customWidth="1"/>
    <col min="3" max="3" width="24" customWidth="1"/>
    <col min="4" max="4" width="44" customWidth="1"/>
    <col min="5" max="5" width="70" customWidth="1"/>
    <col min="6" max="6" width="83" customWidth="1"/>
    <col min="7" max="7" width="91" customWidth="1"/>
    <col min="8" max="8" width="22" customWidth="1"/>
    <col min="9" max="9" width="24" customWidth="1"/>
    <col min="10" max="10" width="28" customWidth="1"/>
    <col min="11" max="11" width="29" customWidth="1"/>
  </cols>
  <sheetData>
    <row r="1" spans="1:11" ht="28.95" customHeight="1">
      <c r="A1" s="80" t="s">
        <v>2774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25.95" customHeight="1">
      <c r="A3" s="79" t="s">
        <v>2775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</row>
    <row r="5" spans="1:11" ht="36" customHeight="1">
      <c r="A5" s="81" t="s">
        <v>2776</v>
      </c>
      <c r="B5" s="81" t="s">
        <v>2777</v>
      </c>
      <c r="C5" s="81" t="s">
        <v>2778</v>
      </c>
      <c r="D5" s="81" t="s">
        <v>2779</v>
      </c>
      <c r="E5" s="81" t="s">
        <v>2780</v>
      </c>
      <c r="F5" s="81" t="s">
        <v>2781</v>
      </c>
      <c r="G5" s="81" t="s">
        <v>2782</v>
      </c>
      <c r="H5" s="81" t="s">
        <v>2783</v>
      </c>
      <c r="I5" s="81" t="s">
        <v>2155</v>
      </c>
      <c r="J5" s="81" t="s">
        <v>2784</v>
      </c>
      <c r="K5" s="81" t="s">
        <v>350</v>
      </c>
    </row>
    <row r="6" spans="1:11" ht="31.95" customHeight="1">
      <c r="A6" s="82" t="s">
        <v>2785</v>
      </c>
      <c r="B6" s="82" t="s">
        <v>2786</v>
      </c>
      <c r="C6" s="86">
        <v>46582.395833333336</v>
      </c>
      <c r="D6" s="82" t="s">
        <v>2787</v>
      </c>
      <c r="E6" s="82" t="s">
        <v>2788</v>
      </c>
      <c r="F6" s="82" t="s">
        <v>2789</v>
      </c>
      <c r="G6" s="82" t="s">
        <v>2790</v>
      </c>
      <c r="H6" s="82" t="s">
        <v>963</v>
      </c>
      <c r="I6" s="86">
        <v>46582.416666666664</v>
      </c>
      <c r="J6" s="82" t="s">
        <v>2161</v>
      </c>
      <c r="K6" s="82" t="s">
        <v>2791</v>
      </c>
    </row>
    <row r="7" spans="1:11" ht="31.95" customHeight="1">
      <c r="A7" s="83" t="s">
        <v>2792</v>
      </c>
      <c r="B7" s="83" t="s">
        <v>2793</v>
      </c>
      <c r="C7" s="87">
        <v>46609.395833333336</v>
      </c>
      <c r="D7" s="83" t="s">
        <v>2794</v>
      </c>
      <c r="E7" s="83" t="s">
        <v>2795</v>
      </c>
      <c r="F7" s="83" t="s">
        <v>2796</v>
      </c>
      <c r="G7" s="83" t="s">
        <v>2797</v>
      </c>
      <c r="H7" s="83" t="s">
        <v>963</v>
      </c>
      <c r="I7" s="87">
        <v>46609.416666666664</v>
      </c>
      <c r="J7" s="83" t="s">
        <v>2164</v>
      </c>
      <c r="K7" s="83" t="s">
        <v>2791</v>
      </c>
    </row>
    <row r="8" spans="1:11" ht="31.95" customHeight="1">
      <c r="A8" s="82" t="s">
        <v>2798</v>
      </c>
      <c r="B8" s="82" t="s">
        <v>2799</v>
      </c>
      <c r="C8" s="86">
        <v>46619.4375</v>
      </c>
      <c r="D8" s="82" t="s">
        <v>2800</v>
      </c>
      <c r="E8" s="82" t="s">
        <v>2801</v>
      </c>
      <c r="F8" s="82" t="s">
        <v>2802</v>
      </c>
      <c r="G8" s="82" t="s">
        <v>2803</v>
      </c>
      <c r="H8" s="82" t="s">
        <v>1532</v>
      </c>
      <c r="I8" s="86">
        <v>46619.458333333336</v>
      </c>
      <c r="J8" s="82" t="s">
        <v>1785</v>
      </c>
      <c r="K8" s="82" t="s">
        <v>2675</v>
      </c>
    </row>
    <row r="9" spans="1:11" ht="31.95" customHeight="1">
      <c r="A9" s="83" t="s">
        <v>2804</v>
      </c>
      <c r="B9" s="83" t="s">
        <v>2805</v>
      </c>
      <c r="C9" s="87">
        <v>46632.385416666664</v>
      </c>
      <c r="D9" s="83" t="s">
        <v>2306</v>
      </c>
      <c r="E9" s="83" t="s">
        <v>2806</v>
      </c>
      <c r="F9" s="83" t="s">
        <v>2807</v>
      </c>
      <c r="G9" s="83" t="s">
        <v>2808</v>
      </c>
      <c r="H9" s="83" t="s">
        <v>959</v>
      </c>
      <c r="I9" s="87">
        <v>46632.392361111109</v>
      </c>
      <c r="J9" s="83" t="s">
        <v>2336</v>
      </c>
      <c r="K9" s="83" t="s">
        <v>2809</v>
      </c>
    </row>
    <row r="10" spans="1:11" ht="31.95" customHeight="1">
      <c r="A10" s="82" t="s">
        <v>2810</v>
      </c>
      <c r="B10" s="82" t="s">
        <v>2811</v>
      </c>
      <c r="C10" s="86">
        <v>46664.375</v>
      </c>
      <c r="D10" s="82" t="s">
        <v>2812</v>
      </c>
      <c r="E10" s="82" t="s">
        <v>2813</v>
      </c>
      <c r="F10" s="82" t="s">
        <v>2814</v>
      </c>
      <c r="G10" s="82" t="s">
        <v>2815</v>
      </c>
      <c r="H10" s="82" t="s">
        <v>1532</v>
      </c>
      <c r="I10" s="86">
        <v>46664.541666666664</v>
      </c>
      <c r="J10" s="82" t="s">
        <v>2282</v>
      </c>
      <c r="K10" s="82" t="s">
        <v>2675</v>
      </c>
    </row>
    <row r="11" spans="1:11" ht="31.95" customHeight="1">
      <c r="A11" s="83" t="s">
        <v>2816</v>
      </c>
      <c r="B11" s="83" t="s">
        <v>2817</v>
      </c>
      <c r="C11" s="87">
        <v>46664.548611111109</v>
      </c>
      <c r="D11" s="83" t="s">
        <v>2818</v>
      </c>
      <c r="E11" s="83" t="s">
        <v>2819</v>
      </c>
      <c r="F11" s="83" t="s">
        <v>2820</v>
      </c>
      <c r="G11" s="83" t="s">
        <v>2821</v>
      </c>
      <c r="H11" s="83" t="s">
        <v>1532</v>
      </c>
      <c r="I11" s="87">
        <v>46664.583333333336</v>
      </c>
      <c r="J11" s="83" t="s">
        <v>2705</v>
      </c>
      <c r="K11" s="83" t="s">
        <v>2791</v>
      </c>
    </row>
    <row r="12" spans="1:11" ht="31.95" customHeight="1">
      <c r="A12" s="82" t="s">
        <v>2822</v>
      </c>
      <c r="B12" s="82" t="s">
        <v>2823</v>
      </c>
      <c r="C12" s="86">
        <v>46665.395833333336</v>
      </c>
      <c r="D12" s="82" t="s">
        <v>2824</v>
      </c>
      <c r="E12" s="82" t="s">
        <v>2825</v>
      </c>
      <c r="F12" s="82" t="s">
        <v>2826</v>
      </c>
      <c r="G12" s="82" t="s">
        <v>2827</v>
      </c>
      <c r="H12" s="82" t="s">
        <v>951</v>
      </c>
      <c r="I12" s="86">
        <v>46665.416666666664</v>
      </c>
      <c r="J12" s="82" t="s">
        <v>2828</v>
      </c>
      <c r="K12" s="82" t="s">
        <v>2675</v>
      </c>
    </row>
    <row r="13" spans="1:11" ht="31.95" customHeight="1">
      <c r="A13" s="83" t="s">
        <v>2829</v>
      </c>
      <c r="B13" s="83" t="s">
        <v>2830</v>
      </c>
      <c r="C13" s="87">
        <v>46666.604166666664</v>
      </c>
      <c r="D13" s="83" t="s">
        <v>2831</v>
      </c>
      <c r="E13" s="83" t="s">
        <v>2832</v>
      </c>
      <c r="F13" s="83" t="s">
        <v>2833</v>
      </c>
      <c r="G13" s="83" t="s">
        <v>2834</v>
      </c>
      <c r="H13" s="83" t="s">
        <v>955</v>
      </c>
      <c r="I13" s="87">
        <v>46666.645833333336</v>
      </c>
      <c r="J13" s="83" t="s">
        <v>2835</v>
      </c>
      <c r="K13" s="83" t="s">
        <v>2675</v>
      </c>
    </row>
  </sheetData>
  <phoneticPr fontId="30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9BB2C2"/>
  </sheetPr>
  <dimension ref="A1:J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25" customWidth="1"/>
    <col min="3" max="3" width="22" customWidth="1"/>
    <col min="4" max="4" width="18" customWidth="1"/>
    <col min="5" max="5" width="36" customWidth="1"/>
    <col min="6" max="6" width="47" customWidth="1"/>
    <col min="7" max="7" width="34" customWidth="1"/>
    <col min="8" max="8" width="22" customWidth="1"/>
    <col min="9" max="9" width="68" customWidth="1"/>
    <col min="10" max="10" width="18" customWidth="1"/>
  </cols>
  <sheetData>
    <row r="1" spans="1:10" ht="28.95" customHeight="1">
      <c r="A1" s="80" t="s">
        <v>2836</v>
      </c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9"/>
      <c r="B2" s="79"/>
      <c r="C2" s="79"/>
      <c r="D2" s="79"/>
      <c r="E2" s="79"/>
      <c r="F2" s="79"/>
      <c r="G2" s="79"/>
      <c r="H2" s="79"/>
      <c r="I2" s="79"/>
      <c r="J2" s="79"/>
    </row>
    <row r="3" spans="1:10" ht="25.95" customHeight="1">
      <c r="A3" s="79" t="s">
        <v>2837</v>
      </c>
      <c r="B3" s="79"/>
      <c r="C3" s="79"/>
      <c r="D3" s="79"/>
      <c r="E3" s="79"/>
      <c r="F3" s="79"/>
      <c r="G3" s="79"/>
      <c r="H3" s="79"/>
      <c r="I3" s="79"/>
      <c r="J3" s="79"/>
    </row>
    <row r="4" spans="1:10">
      <c r="A4" s="79"/>
      <c r="B4" s="79"/>
      <c r="C4" s="79"/>
      <c r="D4" s="79"/>
      <c r="E4" s="79"/>
      <c r="F4" s="79"/>
      <c r="G4" s="79"/>
      <c r="H4" s="79"/>
      <c r="I4" s="79"/>
      <c r="J4" s="79"/>
    </row>
    <row r="5" spans="1:10" ht="36" customHeight="1">
      <c r="A5" s="81" t="s">
        <v>1176</v>
      </c>
      <c r="B5" s="81" t="s">
        <v>2261</v>
      </c>
      <c r="C5" s="81" t="s">
        <v>526</v>
      </c>
      <c r="D5" s="81" t="s">
        <v>1814</v>
      </c>
      <c r="E5" s="81" t="s">
        <v>374</v>
      </c>
      <c r="F5" s="81" t="s">
        <v>1179</v>
      </c>
      <c r="G5" s="81" t="s">
        <v>375</v>
      </c>
      <c r="H5" s="81" t="s">
        <v>369</v>
      </c>
      <c r="I5" s="81" t="s">
        <v>987</v>
      </c>
      <c r="J5" s="81" t="s">
        <v>1813</v>
      </c>
    </row>
    <row r="6" spans="1:10" ht="31.95" customHeight="1">
      <c r="A6" s="82" t="s">
        <v>2838</v>
      </c>
      <c r="B6" s="86">
        <v>46581.420138888891</v>
      </c>
      <c r="C6" s="82" t="s">
        <v>951</v>
      </c>
      <c r="D6" s="82" t="s">
        <v>2839</v>
      </c>
      <c r="E6" s="82" t="s">
        <v>2840</v>
      </c>
      <c r="F6" s="82" t="s">
        <v>42</v>
      </c>
      <c r="G6" s="82" t="s">
        <v>2841</v>
      </c>
      <c r="H6" s="82" t="s">
        <v>2842</v>
      </c>
      <c r="I6" s="82"/>
      <c r="J6" s="82" t="s">
        <v>1181</v>
      </c>
    </row>
    <row r="7" spans="1:10" ht="31.95" customHeight="1">
      <c r="A7" s="83" t="s">
        <v>2843</v>
      </c>
      <c r="B7" s="87">
        <v>46582.395833333336</v>
      </c>
      <c r="C7" s="83" t="s">
        <v>2844</v>
      </c>
      <c r="D7" s="83" t="s">
        <v>2845</v>
      </c>
      <c r="E7" s="83" t="s">
        <v>2846</v>
      </c>
      <c r="F7" s="83" t="s">
        <v>2785</v>
      </c>
      <c r="G7" s="83" t="s">
        <v>2847</v>
      </c>
      <c r="H7" s="83" t="s">
        <v>2848</v>
      </c>
      <c r="I7" s="83"/>
      <c r="J7" s="83" t="s">
        <v>1181</v>
      </c>
    </row>
    <row r="8" spans="1:10" ht="31.95" customHeight="1">
      <c r="A8" s="82" t="s">
        <v>2849</v>
      </c>
      <c r="B8" s="86">
        <v>46582.416666666664</v>
      </c>
      <c r="C8" s="82" t="s">
        <v>963</v>
      </c>
      <c r="D8" s="82" t="s">
        <v>2845</v>
      </c>
      <c r="E8" s="82" t="s">
        <v>2850</v>
      </c>
      <c r="F8" s="82" t="s">
        <v>2161</v>
      </c>
      <c r="G8" s="82" t="s">
        <v>941</v>
      </c>
      <c r="H8" s="82" t="s">
        <v>2848</v>
      </c>
      <c r="I8" s="82" t="s">
        <v>2785</v>
      </c>
      <c r="J8" s="82" t="s">
        <v>1181</v>
      </c>
    </row>
    <row r="9" spans="1:10" ht="31.95" customHeight="1">
      <c r="A9" s="83" t="s">
        <v>2851</v>
      </c>
      <c r="B9" s="87">
        <v>46583.583333333336</v>
      </c>
      <c r="C9" s="83" t="s">
        <v>1527</v>
      </c>
      <c r="D9" s="83" t="s">
        <v>2845</v>
      </c>
      <c r="E9" s="83" t="s">
        <v>2852</v>
      </c>
      <c r="F9" s="83" t="s">
        <v>2161</v>
      </c>
      <c r="G9" s="83" t="s">
        <v>2853</v>
      </c>
      <c r="H9" s="83" t="s">
        <v>2854</v>
      </c>
      <c r="I9" s="83"/>
      <c r="J9" s="83" t="s">
        <v>1181</v>
      </c>
    </row>
    <row r="10" spans="1:10" ht="31.95" customHeight="1">
      <c r="A10" s="82" t="s">
        <v>2855</v>
      </c>
      <c r="B10" s="86">
        <v>46584.583333333336</v>
      </c>
      <c r="C10" s="82" t="s">
        <v>1532</v>
      </c>
      <c r="D10" s="82" t="s">
        <v>2845</v>
      </c>
      <c r="E10" s="82" t="s">
        <v>2856</v>
      </c>
      <c r="F10" s="82" t="s">
        <v>2161</v>
      </c>
      <c r="G10" s="82" t="s">
        <v>948</v>
      </c>
      <c r="H10" s="82" t="s">
        <v>2857</v>
      </c>
      <c r="I10" s="82"/>
      <c r="J10" s="82" t="s">
        <v>1181</v>
      </c>
    </row>
    <row r="11" spans="1:10" ht="31.95" customHeight="1">
      <c r="A11" s="83" t="s">
        <v>2858</v>
      </c>
      <c r="B11" s="87">
        <v>46584.666666666664</v>
      </c>
      <c r="C11" s="83" t="s">
        <v>955</v>
      </c>
      <c r="D11" s="83" t="s">
        <v>2845</v>
      </c>
      <c r="E11" s="83" t="s">
        <v>2859</v>
      </c>
      <c r="F11" s="83" t="s">
        <v>2161</v>
      </c>
      <c r="G11" s="83" t="s">
        <v>2860</v>
      </c>
      <c r="H11" s="83" t="s">
        <v>2857</v>
      </c>
      <c r="I11" s="83"/>
      <c r="J11" s="83" t="s">
        <v>1181</v>
      </c>
    </row>
    <row r="12" spans="1:10" ht="31.95" customHeight="1">
      <c r="A12" s="82" t="s">
        <v>2861</v>
      </c>
      <c r="B12" s="86">
        <v>46587.625</v>
      </c>
      <c r="C12" s="82" t="s">
        <v>955</v>
      </c>
      <c r="D12" s="82" t="s">
        <v>2862</v>
      </c>
      <c r="E12" s="82" t="s">
        <v>2863</v>
      </c>
      <c r="F12" s="82" t="s">
        <v>2245</v>
      </c>
      <c r="G12" s="82" t="s">
        <v>478</v>
      </c>
      <c r="H12" s="82" t="s">
        <v>2864</v>
      </c>
      <c r="I12" s="82" t="s">
        <v>2268</v>
      </c>
      <c r="J12" s="82" t="s">
        <v>1181</v>
      </c>
    </row>
    <row r="13" spans="1:10" ht="31.95" customHeight="1">
      <c r="A13" s="83" t="s">
        <v>2865</v>
      </c>
      <c r="B13" s="87">
        <v>46600.375</v>
      </c>
      <c r="C13" s="83" t="s">
        <v>1527</v>
      </c>
      <c r="D13" s="83" t="s">
        <v>2839</v>
      </c>
      <c r="E13" s="83" t="s">
        <v>2866</v>
      </c>
      <c r="F13" s="83" t="s">
        <v>1738</v>
      </c>
      <c r="G13" s="83" t="s">
        <v>2280</v>
      </c>
      <c r="H13" s="83" t="s">
        <v>2864</v>
      </c>
      <c r="I13" s="83" t="s">
        <v>2268</v>
      </c>
      <c r="J13" s="83" t="s">
        <v>1181</v>
      </c>
    </row>
    <row r="14" spans="1:10" ht="31.95" customHeight="1">
      <c r="A14" s="82" t="s">
        <v>2867</v>
      </c>
      <c r="B14" s="86">
        <v>46608.416666666664</v>
      </c>
      <c r="C14" s="82" t="s">
        <v>979</v>
      </c>
      <c r="D14" s="82" t="s">
        <v>2868</v>
      </c>
      <c r="E14" s="82" t="s">
        <v>2869</v>
      </c>
      <c r="F14" s="82" t="s">
        <v>1762</v>
      </c>
      <c r="G14" s="82" t="s">
        <v>1017</v>
      </c>
      <c r="H14" s="82" t="s">
        <v>2864</v>
      </c>
      <c r="I14" s="82" t="s">
        <v>2756</v>
      </c>
      <c r="J14" s="82" t="s">
        <v>1181</v>
      </c>
    </row>
    <row r="15" spans="1:10" ht="31.95" customHeight="1">
      <c r="A15" s="83" t="s">
        <v>2870</v>
      </c>
      <c r="B15" s="87">
        <v>46609.416666666664</v>
      </c>
      <c r="C15" s="83" t="s">
        <v>963</v>
      </c>
      <c r="D15" s="83" t="s">
        <v>2845</v>
      </c>
      <c r="E15" s="83" t="s">
        <v>2871</v>
      </c>
      <c r="F15" s="83" t="s">
        <v>2164</v>
      </c>
      <c r="G15" s="83" t="s">
        <v>2872</v>
      </c>
      <c r="H15" s="83" t="s">
        <v>2873</v>
      </c>
      <c r="I15" s="83" t="s">
        <v>2792</v>
      </c>
      <c r="J15" s="83" t="s">
        <v>1181</v>
      </c>
    </row>
    <row r="16" spans="1:10" ht="31.95" customHeight="1">
      <c r="A16" s="82" t="s">
        <v>2874</v>
      </c>
      <c r="B16" s="86">
        <v>46610.458333333336</v>
      </c>
      <c r="C16" s="82" t="s">
        <v>1527</v>
      </c>
      <c r="D16" s="82" t="s">
        <v>2845</v>
      </c>
      <c r="E16" s="82" t="s">
        <v>2875</v>
      </c>
      <c r="F16" s="82" t="s">
        <v>2164</v>
      </c>
      <c r="G16" s="82" t="s">
        <v>2853</v>
      </c>
      <c r="H16" s="82" t="s">
        <v>2876</v>
      </c>
      <c r="I16" s="82"/>
      <c r="J16" s="82" t="s">
        <v>1181</v>
      </c>
    </row>
    <row r="17" spans="1:10" ht="31.95" customHeight="1">
      <c r="A17" s="83" t="s">
        <v>2877</v>
      </c>
      <c r="B17" s="87">
        <v>46610.583333333336</v>
      </c>
      <c r="C17" s="83" t="s">
        <v>1532</v>
      </c>
      <c r="D17" s="83" t="s">
        <v>2845</v>
      </c>
      <c r="E17" s="83" t="s">
        <v>2878</v>
      </c>
      <c r="F17" s="83" t="s">
        <v>2164</v>
      </c>
      <c r="G17" s="83" t="s">
        <v>948</v>
      </c>
      <c r="H17" s="83" t="s">
        <v>2876</v>
      </c>
      <c r="I17" s="83"/>
      <c r="J17" s="83" t="s">
        <v>1181</v>
      </c>
    </row>
    <row r="18" spans="1:10" ht="31.95" customHeight="1">
      <c r="A18" s="82" t="s">
        <v>2879</v>
      </c>
      <c r="B18" s="86">
        <v>46610.666666666664</v>
      </c>
      <c r="C18" s="82" t="s">
        <v>955</v>
      </c>
      <c r="D18" s="82" t="s">
        <v>2845</v>
      </c>
      <c r="E18" s="82" t="s">
        <v>2880</v>
      </c>
      <c r="F18" s="82" t="s">
        <v>2164</v>
      </c>
      <c r="G18" s="82" t="s">
        <v>2860</v>
      </c>
      <c r="H18" s="82" t="s">
        <v>2876</v>
      </c>
      <c r="I18" s="82"/>
      <c r="J18" s="82" t="s">
        <v>1181</v>
      </c>
    </row>
    <row r="19" spans="1:10" ht="31.95" customHeight="1">
      <c r="A19" s="83" t="s">
        <v>2881</v>
      </c>
      <c r="B19" s="87">
        <v>46619.375</v>
      </c>
      <c r="C19" s="83" t="s">
        <v>963</v>
      </c>
      <c r="D19" s="83" t="s">
        <v>2862</v>
      </c>
      <c r="E19" s="83" t="s">
        <v>2882</v>
      </c>
      <c r="F19" s="83" t="s">
        <v>38</v>
      </c>
      <c r="G19" s="83" t="s">
        <v>2883</v>
      </c>
      <c r="H19" s="83" t="s">
        <v>2884</v>
      </c>
      <c r="I19" s="83" t="s">
        <v>2186</v>
      </c>
      <c r="J19" s="83" t="s">
        <v>1181</v>
      </c>
    </row>
    <row r="20" spans="1:10" ht="31.95" customHeight="1">
      <c r="A20" s="82" t="s">
        <v>2885</v>
      </c>
      <c r="B20" s="86">
        <v>46619.416666666664</v>
      </c>
      <c r="C20" s="82" t="s">
        <v>1527</v>
      </c>
      <c r="D20" s="82" t="s">
        <v>2862</v>
      </c>
      <c r="E20" s="82" t="s">
        <v>2886</v>
      </c>
      <c r="F20" s="82" t="s">
        <v>38</v>
      </c>
      <c r="G20" s="82" t="s">
        <v>2853</v>
      </c>
      <c r="H20" s="82" t="s">
        <v>2884</v>
      </c>
      <c r="I20" s="82" t="s">
        <v>2191</v>
      </c>
      <c r="J20" s="82" t="s">
        <v>1181</v>
      </c>
    </row>
    <row r="21" spans="1:10" ht="31.95" customHeight="1">
      <c r="A21" s="83" t="s">
        <v>2887</v>
      </c>
      <c r="B21" s="87">
        <v>46619.458333333336</v>
      </c>
      <c r="C21" s="83" t="s">
        <v>1532</v>
      </c>
      <c r="D21" s="83" t="s">
        <v>2862</v>
      </c>
      <c r="E21" s="83" t="s">
        <v>2888</v>
      </c>
      <c r="F21" s="83" t="s">
        <v>38</v>
      </c>
      <c r="G21" s="83" t="s">
        <v>2236</v>
      </c>
      <c r="H21" s="83" t="s">
        <v>2884</v>
      </c>
      <c r="I21" s="83" t="s">
        <v>2186</v>
      </c>
      <c r="J21" s="83" t="s">
        <v>1181</v>
      </c>
    </row>
    <row r="22" spans="1:10" ht="31.95" customHeight="1">
      <c r="A22" s="82" t="s">
        <v>2889</v>
      </c>
      <c r="B22" s="86">
        <v>46619.479166666664</v>
      </c>
      <c r="C22" s="82" t="s">
        <v>955</v>
      </c>
      <c r="D22" s="82" t="s">
        <v>2862</v>
      </c>
      <c r="E22" s="82" t="s">
        <v>2890</v>
      </c>
      <c r="F22" s="82" t="s">
        <v>1757</v>
      </c>
      <c r="G22" s="82" t="s">
        <v>1831</v>
      </c>
      <c r="H22" s="82" t="s">
        <v>2884</v>
      </c>
      <c r="I22" s="82" t="s">
        <v>2191</v>
      </c>
      <c r="J22" s="82" t="s">
        <v>1181</v>
      </c>
    </row>
    <row r="23" spans="1:10" ht="31.95" customHeight="1">
      <c r="A23" s="83" t="s">
        <v>2891</v>
      </c>
      <c r="B23" s="87">
        <v>46619.541666666664</v>
      </c>
      <c r="C23" s="83" t="s">
        <v>963</v>
      </c>
      <c r="D23" s="83" t="s">
        <v>2862</v>
      </c>
      <c r="E23" s="83" t="s">
        <v>2892</v>
      </c>
      <c r="F23" s="83" t="s">
        <v>2241</v>
      </c>
      <c r="G23" s="83" t="s">
        <v>1822</v>
      </c>
      <c r="H23" s="83" t="s">
        <v>2893</v>
      </c>
      <c r="I23" s="83" t="s">
        <v>2196</v>
      </c>
      <c r="J23" s="83" t="s">
        <v>1181</v>
      </c>
    </row>
    <row r="24" spans="1:10" ht="31.95" customHeight="1">
      <c r="A24" s="82" t="s">
        <v>2894</v>
      </c>
      <c r="B24" s="86">
        <v>46619.583333333336</v>
      </c>
      <c r="C24" s="82" t="s">
        <v>1532</v>
      </c>
      <c r="D24" s="82" t="s">
        <v>2862</v>
      </c>
      <c r="E24" s="82" t="s">
        <v>2895</v>
      </c>
      <c r="F24" s="82" t="s">
        <v>2241</v>
      </c>
      <c r="G24" s="82" t="s">
        <v>2896</v>
      </c>
      <c r="H24" s="82" t="s">
        <v>2893</v>
      </c>
      <c r="I24" s="82"/>
      <c r="J24" s="82" t="s">
        <v>1181</v>
      </c>
    </row>
    <row r="25" spans="1:10" ht="31.95" customHeight="1">
      <c r="A25" s="83" t="s">
        <v>2897</v>
      </c>
      <c r="B25" s="87">
        <v>46619.625</v>
      </c>
      <c r="C25" s="83" t="s">
        <v>955</v>
      </c>
      <c r="D25" s="83" t="s">
        <v>2862</v>
      </c>
      <c r="E25" s="83" t="s">
        <v>2898</v>
      </c>
      <c r="F25" s="83" t="s">
        <v>2241</v>
      </c>
      <c r="G25" s="83" t="s">
        <v>478</v>
      </c>
      <c r="H25" s="83" t="s">
        <v>2893</v>
      </c>
      <c r="I25" s="83"/>
      <c r="J25" s="83" t="s">
        <v>1181</v>
      </c>
    </row>
    <row r="26" spans="1:10" ht="31.95" customHeight="1">
      <c r="A26" s="82" t="s">
        <v>2899</v>
      </c>
      <c r="B26" s="86">
        <v>46619.631944444445</v>
      </c>
      <c r="C26" s="82" t="s">
        <v>955</v>
      </c>
      <c r="D26" s="82" t="s">
        <v>2862</v>
      </c>
      <c r="E26" s="82" t="s">
        <v>2900</v>
      </c>
      <c r="F26" s="82" t="s">
        <v>2252</v>
      </c>
      <c r="G26" s="82" t="s">
        <v>478</v>
      </c>
      <c r="H26" s="82" t="s">
        <v>2893</v>
      </c>
      <c r="I26" s="82"/>
      <c r="J26" s="82" t="s">
        <v>1181</v>
      </c>
    </row>
    <row r="27" spans="1:10" ht="31.95" customHeight="1">
      <c r="A27" s="83" t="s">
        <v>2901</v>
      </c>
      <c r="B27" s="87">
        <v>46631.375</v>
      </c>
      <c r="C27" s="83" t="s">
        <v>1532</v>
      </c>
      <c r="D27" s="83" t="s">
        <v>2862</v>
      </c>
      <c r="E27" s="83" t="s">
        <v>2902</v>
      </c>
      <c r="F27" s="83" t="s">
        <v>2205</v>
      </c>
      <c r="G27" s="83" t="s">
        <v>2280</v>
      </c>
      <c r="H27" s="83" t="s">
        <v>2903</v>
      </c>
      <c r="I27" s="83" t="s">
        <v>2904</v>
      </c>
      <c r="J27" s="83" t="s">
        <v>1181</v>
      </c>
    </row>
    <row r="28" spans="1:10" ht="31.95" customHeight="1">
      <c r="A28" s="82" t="s">
        <v>2905</v>
      </c>
      <c r="B28" s="86">
        <v>46632.375</v>
      </c>
      <c r="C28" s="82" t="s">
        <v>959</v>
      </c>
      <c r="D28" s="82" t="s">
        <v>2906</v>
      </c>
      <c r="E28" s="82" t="s">
        <v>2907</v>
      </c>
      <c r="F28" s="82" t="s">
        <v>2336</v>
      </c>
      <c r="G28" s="82" t="s">
        <v>398</v>
      </c>
      <c r="H28" s="82" t="s">
        <v>2908</v>
      </c>
      <c r="I28" s="82" t="s">
        <v>2306</v>
      </c>
      <c r="J28" s="82" t="s">
        <v>1181</v>
      </c>
    </row>
    <row r="29" spans="1:10" ht="31.95" customHeight="1">
      <c r="A29" s="83" t="s">
        <v>2909</v>
      </c>
      <c r="B29" s="87">
        <v>46632.392361111109</v>
      </c>
      <c r="C29" s="83" t="s">
        <v>959</v>
      </c>
      <c r="D29" s="83" t="s">
        <v>2906</v>
      </c>
      <c r="E29" s="83" t="s">
        <v>2910</v>
      </c>
      <c r="F29" s="83" t="s">
        <v>2336</v>
      </c>
      <c r="G29" s="83" t="s">
        <v>2911</v>
      </c>
      <c r="H29" s="83" t="s">
        <v>2908</v>
      </c>
      <c r="I29" s="83" t="s">
        <v>2804</v>
      </c>
      <c r="J29" s="83" t="s">
        <v>1181</v>
      </c>
    </row>
    <row r="30" spans="1:10" ht="31.95" customHeight="1">
      <c r="A30" s="82" t="s">
        <v>2912</v>
      </c>
      <c r="B30" s="86">
        <v>46632.423611111109</v>
      </c>
      <c r="C30" s="82" t="s">
        <v>963</v>
      </c>
      <c r="D30" s="82" t="s">
        <v>2906</v>
      </c>
      <c r="E30" s="82" t="s">
        <v>2913</v>
      </c>
      <c r="F30" s="82" t="s">
        <v>2336</v>
      </c>
      <c r="G30" s="82" t="s">
        <v>2914</v>
      </c>
      <c r="H30" s="82" t="s">
        <v>2908</v>
      </c>
      <c r="I30" s="82"/>
      <c r="J30" s="82" t="s">
        <v>1181</v>
      </c>
    </row>
    <row r="31" spans="1:10" ht="31.95" customHeight="1">
      <c r="A31" s="83" t="s">
        <v>2915</v>
      </c>
      <c r="B31" s="87">
        <v>46632.458333333336</v>
      </c>
      <c r="C31" s="83" t="s">
        <v>963</v>
      </c>
      <c r="D31" s="83" t="s">
        <v>2906</v>
      </c>
      <c r="E31" s="83" t="s">
        <v>2916</v>
      </c>
      <c r="F31" s="83" t="s">
        <v>2336</v>
      </c>
      <c r="G31" s="83" t="s">
        <v>2917</v>
      </c>
      <c r="H31" s="83" t="s">
        <v>2918</v>
      </c>
      <c r="I31" s="83" t="s">
        <v>2308</v>
      </c>
      <c r="J31" s="83" t="s">
        <v>1181</v>
      </c>
    </row>
    <row r="32" spans="1:10" ht="31.95" customHeight="1">
      <c r="A32" s="82" t="s">
        <v>2919</v>
      </c>
      <c r="B32" s="86">
        <v>46632.625</v>
      </c>
      <c r="C32" s="82" t="s">
        <v>963</v>
      </c>
      <c r="D32" s="82" t="s">
        <v>2906</v>
      </c>
      <c r="E32" s="82" t="s">
        <v>2920</v>
      </c>
      <c r="F32" s="82" t="s">
        <v>2338</v>
      </c>
      <c r="G32" s="82" t="s">
        <v>2921</v>
      </c>
      <c r="H32" s="82" t="s">
        <v>2918</v>
      </c>
      <c r="I32" s="82"/>
      <c r="J32" s="82" t="s">
        <v>1181</v>
      </c>
    </row>
    <row r="33" spans="1:10" ht="31.95" customHeight="1">
      <c r="A33" s="83" t="s">
        <v>2922</v>
      </c>
      <c r="B33" s="87">
        <v>46636.416666666664</v>
      </c>
      <c r="C33" s="83" t="s">
        <v>979</v>
      </c>
      <c r="D33" s="83" t="s">
        <v>2923</v>
      </c>
      <c r="E33" s="83" t="s">
        <v>2924</v>
      </c>
      <c r="F33" s="83" t="s">
        <v>2131</v>
      </c>
      <c r="G33" s="83" t="s">
        <v>478</v>
      </c>
      <c r="H33" s="83" t="s">
        <v>2864</v>
      </c>
      <c r="I33" s="83" t="s">
        <v>2748</v>
      </c>
      <c r="J33" s="83" t="s">
        <v>1181</v>
      </c>
    </row>
    <row r="34" spans="1:10" ht="31.95" customHeight="1">
      <c r="A34" s="82" t="s">
        <v>2925</v>
      </c>
      <c r="B34" s="86">
        <v>46640.375</v>
      </c>
      <c r="C34" s="82" t="s">
        <v>959</v>
      </c>
      <c r="D34" s="82" t="s">
        <v>2906</v>
      </c>
      <c r="E34" s="82" t="s">
        <v>2926</v>
      </c>
      <c r="F34" s="82" t="s">
        <v>2340</v>
      </c>
      <c r="G34" s="82" t="s">
        <v>398</v>
      </c>
      <c r="H34" s="82" t="s">
        <v>2927</v>
      </c>
      <c r="I34" s="82" t="s">
        <v>2315</v>
      </c>
      <c r="J34" s="82" t="s">
        <v>1181</v>
      </c>
    </row>
    <row r="35" spans="1:10" ht="31.95" customHeight="1">
      <c r="A35" s="83" t="s">
        <v>2928</v>
      </c>
      <c r="B35" s="87">
        <v>46640.388888888891</v>
      </c>
      <c r="C35" s="83" t="s">
        <v>959</v>
      </c>
      <c r="D35" s="83" t="s">
        <v>2906</v>
      </c>
      <c r="E35" s="83" t="s">
        <v>2910</v>
      </c>
      <c r="F35" s="83" t="s">
        <v>2340</v>
      </c>
      <c r="G35" s="83" t="s">
        <v>2911</v>
      </c>
      <c r="H35" s="83" t="s">
        <v>2927</v>
      </c>
      <c r="I35" s="83"/>
      <c r="J35" s="83" t="s">
        <v>1181</v>
      </c>
    </row>
    <row r="36" spans="1:10" ht="31.95" customHeight="1">
      <c r="A36" s="82" t="s">
        <v>2929</v>
      </c>
      <c r="B36" s="86">
        <v>46640.416666666664</v>
      </c>
      <c r="C36" s="82" t="s">
        <v>963</v>
      </c>
      <c r="D36" s="82" t="s">
        <v>2906</v>
      </c>
      <c r="E36" s="82" t="s">
        <v>2913</v>
      </c>
      <c r="F36" s="82" t="s">
        <v>2340</v>
      </c>
      <c r="G36" s="82" t="s">
        <v>2914</v>
      </c>
      <c r="H36" s="82" t="s">
        <v>2927</v>
      </c>
      <c r="I36" s="82"/>
      <c r="J36" s="82" t="s">
        <v>1181</v>
      </c>
    </row>
    <row r="37" spans="1:10" ht="31.95" customHeight="1">
      <c r="A37" s="83" t="s">
        <v>2930</v>
      </c>
      <c r="B37" s="87">
        <v>46640.458333333336</v>
      </c>
      <c r="C37" s="83" t="s">
        <v>963</v>
      </c>
      <c r="D37" s="83" t="s">
        <v>2906</v>
      </c>
      <c r="E37" s="83" t="s">
        <v>2931</v>
      </c>
      <c r="F37" s="83" t="s">
        <v>2342</v>
      </c>
      <c r="G37" s="83" t="s">
        <v>1822</v>
      </c>
      <c r="H37" s="83" t="s">
        <v>2927</v>
      </c>
      <c r="I37" s="83" t="s">
        <v>2351</v>
      </c>
      <c r="J37" s="83" t="s">
        <v>1181</v>
      </c>
    </row>
    <row r="38" spans="1:10" ht="31.95" customHeight="1">
      <c r="A38" s="82" t="s">
        <v>2932</v>
      </c>
      <c r="B38" s="86">
        <v>46640.541666666664</v>
      </c>
      <c r="C38" s="82" t="s">
        <v>1532</v>
      </c>
      <c r="D38" s="82" t="s">
        <v>2906</v>
      </c>
      <c r="E38" s="82" t="s">
        <v>2933</v>
      </c>
      <c r="F38" s="82" t="s">
        <v>2342</v>
      </c>
      <c r="G38" s="82" t="s">
        <v>478</v>
      </c>
      <c r="H38" s="82" t="s">
        <v>2927</v>
      </c>
      <c r="I38" s="82"/>
      <c r="J38" s="82" t="s">
        <v>1181</v>
      </c>
    </row>
    <row r="39" spans="1:10" ht="31.95" customHeight="1">
      <c r="A39" s="83" t="s">
        <v>2934</v>
      </c>
      <c r="B39" s="87">
        <v>46640.625</v>
      </c>
      <c r="C39" s="83" t="s">
        <v>963</v>
      </c>
      <c r="D39" s="83" t="s">
        <v>2906</v>
      </c>
      <c r="E39" s="83" t="s">
        <v>2935</v>
      </c>
      <c r="F39" s="83" t="s">
        <v>2342</v>
      </c>
      <c r="G39" s="83" t="s">
        <v>2921</v>
      </c>
      <c r="H39" s="83" t="s">
        <v>2927</v>
      </c>
      <c r="I39" s="83"/>
      <c r="J39" s="83" t="s">
        <v>1181</v>
      </c>
    </row>
    <row r="40" spans="1:10" ht="31.95" customHeight="1">
      <c r="A40" s="82" t="s">
        <v>2936</v>
      </c>
      <c r="B40" s="86">
        <v>46647.479861111111</v>
      </c>
      <c r="C40" s="82" t="s">
        <v>2937</v>
      </c>
      <c r="D40" s="82" t="s">
        <v>2906</v>
      </c>
      <c r="E40" s="82" t="s">
        <v>2938</v>
      </c>
      <c r="F40" s="82" t="s">
        <v>2348</v>
      </c>
      <c r="G40" s="82" t="s">
        <v>2939</v>
      </c>
      <c r="H40" s="82" t="s">
        <v>2864</v>
      </c>
      <c r="I40" s="82"/>
      <c r="J40" s="82" t="s">
        <v>1181</v>
      </c>
    </row>
    <row r="41" spans="1:10" ht="31.95" customHeight="1">
      <c r="A41" s="83" t="s">
        <v>2940</v>
      </c>
      <c r="B41" s="87">
        <v>46660.75</v>
      </c>
      <c r="C41" s="83" t="s">
        <v>1532</v>
      </c>
      <c r="D41" s="83" t="s">
        <v>2839</v>
      </c>
      <c r="E41" s="83" t="s">
        <v>2941</v>
      </c>
      <c r="F41" s="83" t="s">
        <v>1740</v>
      </c>
      <c r="G41" s="83" t="s">
        <v>2942</v>
      </c>
      <c r="H41" s="83" t="s">
        <v>2864</v>
      </c>
      <c r="I41" s="83" t="s">
        <v>2210</v>
      </c>
      <c r="J41" s="83" t="s">
        <v>1181</v>
      </c>
    </row>
    <row r="42" spans="1:10" ht="31.95" customHeight="1">
      <c r="A42" s="82" t="s">
        <v>2943</v>
      </c>
      <c r="B42" s="86">
        <v>46664.541666666664</v>
      </c>
      <c r="C42" s="82" t="s">
        <v>1532</v>
      </c>
      <c r="D42" s="82" t="s">
        <v>2944</v>
      </c>
      <c r="E42" s="82" t="s">
        <v>2945</v>
      </c>
      <c r="F42" s="82" t="s">
        <v>2282</v>
      </c>
      <c r="G42" s="82" t="s">
        <v>948</v>
      </c>
      <c r="H42" s="82" t="s">
        <v>2946</v>
      </c>
      <c r="I42" s="82" t="s">
        <v>2810</v>
      </c>
      <c r="J42" s="82" t="s">
        <v>1181</v>
      </c>
    </row>
    <row r="43" spans="1:10" ht="31.95" customHeight="1">
      <c r="A43" s="83" t="s">
        <v>2947</v>
      </c>
      <c r="B43" s="87">
        <v>46664.583333333336</v>
      </c>
      <c r="C43" s="83" t="s">
        <v>1532</v>
      </c>
      <c r="D43" s="83" t="s">
        <v>2948</v>
      </c>
      <c r="E43" s="83" t="s">
        <v>2949</v>
      </c>
      <c r="F43" s="83" t="s">
        <v>2705</v>
      </c>
      <c r="G43" s="83" t="s">
        <v>948</v>
      </c>
      <c r="H43" s="83" t="s">
        <v>2950</v>
      </c>
      <c r="I43" s="83" t="s">
        <v>2816</v>
      </c>
      <c r="J43" s="83" t="s">
        <v>1181</v>
      </c>
    </row>
    <row r="44" spans="1:10" ht="31.95" customHeight="1">
      <c r="A44" s="82" t="s">
        <v>2951</v>
      </c>
      <c r="B44" s="86">
        <v>46664.590277777781</v>
      </c>
      <c r="C44" s="82" t="s">
        <v>1527</v>
      </c>
      <c r="D44" s="82" t="s">
        <v>2948</v>
      </c>
      <c r="E44" s="82" t="s">
        <v>2952</v>
      </c>
      <c r="F44" s="82" t="s">
        <v>2710</v>
      </c>
      <c r="G44" s="82" t="s">
        <v>948</v>
      </c>
      <c r="H44" s="82" t="s">
        <v>2950</v>
      </c>
      <c r="I44" s="82" t="s">
        <v>2489</v>
      </c>
      <c r="J44" s="82" t="s">
        <v>1181</v>
      </c>
    </row>
    <row r="45" spans="1:10" ht="31.95" customHeight="1">
      <c r="A45" s="83" t="s">
        <v>2953</v>
      </c>
      <c r="B45" s="87">
        <v>46664.597222222219</v>
      </c>
      <c r="C45" s="83" t="s">
        <v>1532</v>
      </c>
      <c r="D45" s="83" t="s">
        <v>2948</v>
      </c>
      <c r="E45" s="83" t="s">
        <v>2954</v>
      </c>
      <c r="F45" s="83" t="s">
        <v>2714</v>
      </c>
      <c r="G45" s="83" t="s">
        <v>948</v>
      </c>
      <c r="H45" s="83" t="s">
        <v>2950</v>
      </c>
      <c r="I45" s="83" t="s">
        <v>2278</v>
      </c>
      <c r="J45" s="83" t="s">
        <v>1181</v>
      </c>
    </row>
    <row r="46" spans="1:10" ht="31.95" customHeight="1">
      <c r="A46" s="82" t="s">
        <v>2955</v>
      </c>
      <c r="B46" s="86">
        <v>46664.680555555555</v>
      </c>
      <c r="C46" s="82" t="s">
        <v>955</v>
      </c>
      <c r="D46" s="82" t="s">
        <v>2948</v>
      </c>
      <c r="E46" s="82" t="s">
        <v>2956</v>
      </c>
      <c r="F46" s="82" t="s">
        <v>2957</v>
      </c>
      <c r="G46" s="82" t="s">
        <v>1831</v>
      </c>
      <c r="H46" s="82" t="s">
        <v>2950</v>
      </c>
      <c r="I46" s="82"/>
      <c r="J46" s="82" t="s">
        <v>1181</v>
      </c>
    </row>
    <row r="47" spans="1:10" ht="31.95" customHeight="1">
      <c r="A47" s="83" t="s">
        <v>2958</v>
      </c>
      <c r="B47" s="87">
        <v>46665.416666666664</v>
      </c>
      <c r="C47" s="83" t="s">
        <v>951</v>
      </c>
      <c r="D47" s="83" t="s">
        <v>2923</v>
      </c>
      <c r="E47" s="83" t="s">
        <v>2959</v>
      </c>
      <c r="F47" s="83" t="s">
        <v>2673</v>
      </c>
      <c r="G47" s="83" t="s">
        <v>941</v>
      </c>
      <c r="H47" s="83" t="s">
        <v>2960</v>
      </c>
      <c r="I47" s="83" t="s">
        <v>2961</v>
      </c>
      <c r="J47" s="83" t="s">
        <v>1181</v>
      </c>
    </row>
    <row r="48" spans="1:10" ht="31.95" customHeight="1">
      <c r="A48" s="82" t="s">
        <v>2962</v>
      </c>
      <c r="B48" s="86">
        <v>46665.625</v>
      </c>
      <c r="C48" s="82" t="s">
        <v>1532</v>
      </c>
      <c r="D48" s="82" t="s">
        <v>2923</v>
      </c>
      <c r="E48" s="82" t="s">
        <v>2963</v>
      </c>
      <c r="F48" s="82" t="s">
        <v>2673</v>
      </c>
      <c r="G48" s="82" t="s">
        <v>2964</v>
      </c>
      <c r="H48" s="82" t="s">
        <v>2965</v>
      </c>
      <c r="I48" s="82"/>
      <c r="J48" s="82" t="s">
        <v>1181</v>
      </c>
    </row>
    <row r="49" spans="1:10" ht="31.95" customHeight="1">
      <c r="A49" s="83" t="s">
        <v>2966</v>
      </c>
      <c r="B49" s="87">
        <v>46665.645833333336</v>
      </c>
      <c r="C49" s="83" t="s">
        <v>1527</v>
      </c>
      <c r="D49" s="83" t="s">
        <v>2923</v>
      </c>
      <c r="E49" s="83" t="s">
        <v>2967</v>
      </c>
      <c r="F49" s="83" t="s">
        <v>2673</v>
      </c>
      <c r="G49" s="83" t="s">
        <v>2968</v>
      </c>
      <c r="H49" s="83" t="s">
        <v>2965</v>
      </c>
      <c r="I49" s="83"/>
      <c r="J49" s="83" t="s">
        <v>1181</v>
      </c>
    </row>
    <row r="50" spans="1:10" ht="31.95" customHeight="1">
      <c r="A50" s="82" t="s">
        <v>2969</v>
      </c>
      <c r="B50" s="86">
        <v>46665.666666666664</v>
      </c>
      <c r="C50" s="82" t="s">
        <v>1544</v>
      </c>
      <c r="D50" s="82" t="s">
        <v>2923</v>
      </c>
      <c r="E50" s="82" t="s">
        <v>2970</v>
      </c>
      <c r="F50" s="82" t="s">
        <v>2673</v>
      </c>
      <c r="G50" s="82" t="s">
        <v>2971</v>
      </c>
      <c r="H50" s="82" t="s">
        <v>2965</v>
      </c>
      <c r="I50" s="82"/>
      <c r="J50" s="82" t="s">
        <v>1181</v>
      </c>
    </row>
    <row r="51" spans="1:10" ht="31.95" customHeight="1">
      <c r="A51" s="83" t="s">
        <v>2972</v>
      </c>
      <c r="B51" s="87">
        <v>46665.708333333336</v>
      </c>
      <c r="C51" s="83" t="s">
        <v>955</v>
      </c>
      <c r="D51" s="83" t="s">
        <v>2923</v>
      </c>
      <c r="E51" s="83" t="s">
        <v>2973</v>
      </c>
      <c r="F51" s="83" t="s">
        <v>2673</v>
      </c>
      <c r="G51" s="83" t="s">
        <v>1822</v>
      </c>
      <c r="H51" s="83" t="s">
        <v>2965</v>
      </c>
      <c r="I51" s="83"/>
      <c r="J51" s="83" t="s">
        <v>1181</v>
      </c>
    </row>
    <row r="52" spans="1:10" ht="31.95" customHeight="1">
      <c r="A52" s="82" t="s">
        <v>2974</v>
      </c>
      <c r="B52" s="86">
        <v>46666.416666666664</v>
      </c>
      <c r="C52" s="82" t="s">
        <v>979</v>
      </c>
      <c r="D52" s="82" t="s">
        <v>2923</v>
      </c>
      <c r="E52" s="82" t="s">
        <v>2975</v>
      </c>
      <c r="F52" s="82" t="s">
        <v>2677</v>
      </c>
      <c r="G52" s="82" t="s">
        <v>478</v>
      </c>
      <c r="H52" s="82" t="s">
        <v>2976</v>
      </c>
      <c r="I52" s="82" t="s">
        <v>2752</v>
      </c>
      <c r="J52" s="82" t="s">
        <v>1181</v>
      </c>
    </row>
    <row r="53" spans="1:10" ht="31.95" customHeight="1">
      <c r="A53" s="83" t="s">
        <v>2977</v>
      </c>
      <c r="B53" s="87">
        <v>46666.420138888891</v>
      </c>
      <c r="C53" s="83" t="s">
        <v>951</v>
      </c>
      <c r="D53" s="83" t="s">
        <v>2923</v>
      </c>
      <c r="E53" s="83" t="s">
        <v>2978</v>
      </c>
      <c r="F53" s="83" t="s">
        <v>2677</v>
      </c>
      <c r="G53" s="83" t="s">
        <v>2979</v>
      </c>
      <c r="H53" s="83" t="s">
        <v>2976</v>
      </c>
      <c r="I53" s="83"/>
      <c r="J53" s="83" t="s">
        <v>1181</v>
      </c>
    </row>
    <row r="54" spans="1:10" ht="31.95" customHeight="1">
      <c r="A54" s="82" t="s">
        <v>2980</v>
      </c>
      <c r="B54" s="86">
        <v>46666.645833333336</v>
      </c>
      <c r="C54" s="82" t="s">
        <v>955</v>
      </c>
      <c r="D54" s="82" t="s">
        <v>2868</v>
      </c>
      <c r="E54" s="82" t="s">
        <v>2981</v>
      </c>
      <c r="F54" s="82" t="s">
        <v>2835</v>
      </c>
      <c r="G54" s="82" t="s">
        <v>2982</v>
      </c>
      <c r="H54" s="82" t="s">
        <v>2983</v>
      </c>
      <c r="I54" s="82" t="s">
        <v>2829</v>
      </c>
      <c r="J54" s="82" t="s">
        <v>1181</v>
      </c>
    </row>
  </sheetData>
  <phoneticPr fontId="30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9BB2C2"/>
  </sheetPr>
  <dimension ref="A1:H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26" customWidth="1"/>
    <col min="3" max="3" width="100" customWidth="1"/>
    <col min="4" max="4" width="22" customWidth="1"/>
    <col min="5" max="6" width="25" customWidth="1"/>
    <col min="7" max="7" width="29" customWidth="1"/>
    <col min="8" max="8" width="24" customWidth="1"/>
  </cols>
  <sheetData>
    <row r="1" spans="1:8" ht="28.95" customHeight="1">
      <c r="A1" s="80" t="s">
        <v>2984</v>
      </c>
      <c r="B1" s="79"/>
      <c r="C1" s="79"/>
      <c r="D1" s="79"/>
      <c r="E1" s="79"/>
      <c r="F1" s="79"/>
      <c r="G1" s="79"/>
      <c r="H1" s="79"/>
    </row>
    <row r="2" spans="1:8">
      <c r="A2" s="79"/>
      <c r="B2" s="79"/>
      <c r="C2" s="79"/>
      <c r="D2" s="79"/>
      <c r="E2" s="79"/>
      <c r="F2" s="79"/>
      <c r="G2" s="79"/>
      <c r="H2" s="79"/>
    </row>
    <row r="3" spans="1:8" ht="25.95" customHeight="1">
      <c r="A3" s="79" t="s">
        <v>2985</v>
      </c>
      <c r="B3" s="79"/>
      <c r="C3" s="79"/>
      <c r="D3" s="79"/>
      <c r="E3" s="79"/>
      <c r="F3" s="79"/>
      <c r="G3" s="79"/>
      <c r="H3" s="79"/>
    </row>
    <row r="4" spans="1:8">
      <c r="A4" s="79"/>
      <c r="B4" s="79"/>
      <c r="C4" s="79"/>
      <c r="D4" s="79"/>
      <c r="E4" s="79"/>
      <c r="F4" s="79"/>
      <c r="G4" s="79"/>
      <c r="H4" s="79"/>
    </row>
    <row r="5" spans="1:8" ht="36" customHeight="1">
      <c r="A5" s="81" t="s">
        <v>2986</v>
      </c>
      <c r="B5" s="81" t="s">
        <v>877</v>
      </c>
      <c r="C5" s="81" t="s">
        <v>2987</v>
      </c>
      <c r="D5" s="81" t="s">
        <v>2178</v>
      </c>
      <c r="E5" s="81" t="s">
        <v>2155</v>
      </c>
      <c r="F5" s="81" t="s">
        <v>2988</v>
      </c>
      <c r="G5" s="81" t="s">
        <v>350</v>
      </c>
      <c r="H5" s="81" t="s">
        <v>2989</v>
      </c>
    </row>
    <row r="6" spans="1:8" ht="31.95" customHeight="1">
      <c r="A6" s="82" t="s">
        <v>2835</v>
      </c>
      <c r="B6" s="82" t="s">
        <v>2990</v>
      </c>
      <c r="C6" s="82" t="s">
        <v>2991</v>
      </c>
      <c r="D6" s="82" t="s">
        <v>955</v>
      </c>
      <c r="E6" s="86">
        <v>46666.645833333336</v>
      </c>
      <c r="F6" s="101"/>
      <c r="G6" s="82" t="s">
        <v>2992</v>
      </c>
      <c r="H6" s="94"/>
    </row>
    <row r="7" spans="1:8" ht="31.95" customHeight="1">
      <c r="A7" s="83" t="s">
        <v>2993</v>
      </c>
      <c r="B7" s="83" t="s">
        <v>1740</v>
      </c>
      <c r="C7" s="83" t="s">
        <v>2994</v>
      </c>
      <c r="D7" s="83" t="s">
        <v>1532</v>
      </c>
      <c r="E7" s="87">
        <v>46666.625</v>
      </c>
      <c r="F7" s="87">
        <v>46689.666666666664</v>
      </c>
      <c r="G7" s="83" t="s">
        <v>39</v>
      </c>
      <c r="H7" s="95"/>
    </row>
    <row r="8" spans="1:8" ht="31.95" customHeight="1">
      <c r="A8" s="82" t="s">
        <v>2995</v>
      </c>
      <c r="B8" s="82" t="s">
        <v>1738</v>
      </c>
      <c r="C8" s="82" t="s">
        <v>2996</v>
      </c>
      <c r="D8" s="82" t="s">
        <v>1527</v>
      </c>
      <c r="E8" s="86">
        <v>46666.625</v>
      </c>
      <c r="F8" s="86">
        <v>46689.666666666664</v>
      </c>
      <c r="G8" s="82" t="s">
        <v>39</v>
      </c>
      <c r="H8" s="94"/>
    </row>
    <row r="9" spans="1:8" ht="31.95" customHeight="1">
      <c r="A9" s="83" t="s">
        <v>2997</v>
      </c>
      <c r="B9" s="83" t="s">
        <v>1741</v>
      </c>
      <c r="C9" s="83" t="s">
        <v>2998</v>
      </c>
      <c r="D9" s="83" t="s">
        <v>1532</v>
      </c>
      <c r="E9" s="87">
        <v>46666.625</v>
      </c>
      <c r="F9" s="87">
        <v>46689.75</v>
      </c>
      <c r="G9" s="83" t="s">
        <v>39</v>
      </c>
      <c r="H9" s="95"/>
    </row>
    <row r="10" spans="1:8" ht="31.95" customHeight="1">
      <c r="A10" s="82" t="s">
        <v>1762</v>
      </c>
      <c r="B10" s="82" t="s">
        <v>2999</v>
      </c>
      <c r="C10" s="82" t="s">
        <v>3000</v>
      </c>
      <c r="D10" s="82" t="s">
        <v>955</v>
      </c>
      <c r="E10" s="86">
        <v>46666.625</v>
      </c>
      <c r="F10" s="86">
        <v>46689.416666666664</v>
      </c>
      <c r="G10" s="82" t="s">
        <v>1017</v>
      </c>
      <c r="H10" s="94"/>
    </row>
    <row r="11" spans="1:8" ht="31.95" customHeight="1">
      <c r="A11" s="83" t="s">
        <v>3001</v>
      </c>
      <c r="B11" s="83" t="s">
        <v>3002</v>
      </c>
      <c r="C11" s="83" t="s">
        <v>3003</v>
      </c>
      <c r="D11" s="83" t="s">
        <v>955</v>
      </c>
      <c r="E11" s="87">
        <v>46666.645833333336</v>
      </c>
      <c r="F11" s="87">
        <v>46689.416666666664</v>
      </c>
      <c r="G11" s="83" t="s">
        <v>39</v>
      </c>
      <c r="H11" s="95"/>
    </row>
  </sheetData>
  <phoneticPr fontId="30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BB2C2"/>
  </sheetPr>
  <dimension ref="A1:K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2" customWidth="1"/>
    <col min="2" max="2" width="25" customWidth="1"/>
    <col min="3" max="4" width="19" customWidth="1"/>
    <col min="5" max="8" width="18" customWidth="1"/>
    <col min="9" max="9" width="66" customWidth="1"/>
    <col min="10" max="10" width="23" customWidth="1"/>
    <col min="11" max="11" width="26" customWidth="1"/>
  </cols>
  <sheetData>
    <row r="1" spans="1:11" ht="28.95" customHeight="1">
      <c r="A1" s="80" t="s">
        <v>3004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25.95" customHeight="1">
      <c r="A3" s="79" t="s">
        <v>3005</v>
      </c>
      <c r="B3" s="79"/>
      <c r="C3" s="79"/>
      <c r="D3" s="79"/>
      <c r="E3" s="79"/>
      <c r="F3" s="79"/>
      <c r="G3" s="79"/>
      <c r="H3" s="79"/>
      <c r="I3" s="79"/>
      <c r="J3" s="79"/>
      <c r="K3" s="79"/>
    </row>
    <row r="4" spans="1:11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</row>
    <row r="5" spans="1:11" ht="36" customHeight="1">
      <c r="A5" s="81" t="s">
        <v>1296</v>
      </c>
      <c r="B5" s="81" t="s">
        <v>3006</v>
      </c>
      <c r="C5" s="81" t="s">
        <v>3007</v>
      </c>
      <c r="D5" s="81" t="s">
        <v>3008</v>
      </c>
      <c r="E5" s="81" t="s">
        <v>38</v>
      </c>
      <c r="F5" s="81" t="s">
        <v>1757</v>
      </c>
      <c r="G5" s="81" t="s">
        <v>2241</v>
      </c>
      <c r="H5" s="81" t="s">
        <v>2252</v>
      </c>
      <c r="I5" s="81" t="s">
        <v>924</v>
      </c>
      <c r="J5" s="81" t="s">
        <v>3009</v>
      </c>
      <c r="K5" s="81" t="s">
        <v>3010</v>
      </c>
    </row>
    <row r="6" spans="1:11" ht="31.95" customHeight="1">
      <c r="A6" s="82" t="s">
        <v>3011</v>
      </c>
      <c r="B6" s="86">
        <v>46584.666666666664</v>
      </c>
      <c r="C6" s="84">
        <v>1</v>
      </c>
      <c r="D6" s="84">
        <v>1</v>
      </c>
      <c r="E6" s="84">
        <v>0</v>
      </c>
      <c r="F6" s="84">
        <v>0</v>
      </c>
      <c r="G6" s="84">
        <v>0</v>
      </c>
      <c r="H6" s="84">
        <v>0</v>
      </c>
      <c r="I6" s="82" t="s">
        <v>3012</v>
      </c>
      <c r="J6" s="82" t="str">
        <f>IF(SUM(C6:H6)=6,"READY","WAIT")</f>
        <v>WAIT</v>
      </c>
      <c r="K6" s="82" t="str">
        <f>IF(AND(J6="READY",B6&gt;=DATE(2027,9,1)),"START_ALLOWED","NOT_YET")</f>
        <v>NOT_YET</v>
      </c>
    </row>
    <row r="7" spans="1:11" ht="31.95" customHeight="1">
      <c r="A7" s="83" t="s">
        <v>3013</v>
      </c>
      <c r="B7" s="87">
        <v>46619.479166666664</v>
      </c>
      <c r="C7" s="85">
        <v>1</v>
      </c>
      <c r="D7" s="85">
        <v>1</v>
      </c>
      <c r="E7" s="85">
        <v>1</v>
      </c>
      <c r="F7" s="85">
        <v>1</v>
      </c>
      <c r="G7" s="85">
        <v>0</v>
      </c>
      <c r="H7" s="85">
        <v>0</v>
      </c>
      <c r="I7" s="83" t="s">
        <v>3014</v>
      </c>
      <c r="J7" s="83" t="str">
        <f>IF(SUM(C7:H7)=6,"READY","WAIT")</f>
        <v>WAIT</v>
      </c>
      <c r="K7" s="83" t="str">
        <f>IF(AND(J7="READY",B7&gt;=DATE(2027,9,1)),"START_ALLOWED","NOT_YET")</f>
        <v>NOT_YET</v>
      </c>
    </row>
    <row r="8" spans="1:11" ht="31.95" customHeight="1">
      <c r="A8" s="82" t="s">
        <v>3015</v>
      </c>
      <c r="B8" s="86">
        <v>46619.625</v>
      </c>
      <c r="C8" s="84">
        <v>1</v>
      </c>
      <c r="D8" s="84">
        <v>1</v>
      </c>
      <c r="E8" s="84">
        <v>1</v>
      </c>
      <c r="F8" s="84">
        <v>1</v>
      </c>
      <c r="G8" s="84">
        <v>1</v>
      </c>
      <c r="H8" s="84">
        <v>0</v>
      </c>
      <c r="I8" s="82" t="s">
        <v>3016</v>
      </c>
      <c r="J8" s="82" t="str">
        <f>IF(SUM(C8:H8)=6,"READY","WAIT")</f>
        <v>WAIT</v>
      </c>
      <c r="K8" s="82" t="str">
        <f>IF(AND(J8="READY",B8&gt;=DATE(2027,9,1)),"START_ALLOWED","NOT_YET")</f>
        <v>NOT_YET</v>
      </c>
    </row>
    <row r="9" spans="1:11" ht="31.95" customHeight="1">
      <c r="A9" s="83" t="s">
        <v>3017</v>
      </c>
      <c r="B9" s="87">
        <v>46619.631944444445</v>
      </c>
      <c r="C9" s="85">
        <v>1</v>
      </c>
      <c r="D9" s="85">
        <v>1</v>
      </c>
      <c r="E9" s="85">
        <v>1</v>
      </c>
      <c r="F9" s="85">
        <v>1</v>
      </c>
      <c r="G9" s="85">
        <v>1</v>
      </c>
      <c r="H9" s="85">
        <v>1</v>
      </c>
      <c r="I9" s="83" t="s">
        <v>3018</v>
      </c>
      <c r="J9" s="83" t="str">
        <f>IF(SUM(C9:H9)=6,"READY","WAIT")</f>
        <v>READY</v>
      </c>
      <c r="K9" s="83" t="str">
        <f>IF(AND(J9="READY",B9&gt;=DATE(2027,9,1)),"START_ALLOWED","NOT_YET")</f>
        <v>NOT_YET</v>
      </c>
    </row>
    <row r="10" spans="1:11" ht="31.95" customHeight="1">
      <c r="A10" s="82" t="s">
        <v>3019</v>
      </c>
      <c r="B10" s="86">
        <v>46631.375</v>
      </c>
      <c r="C10" s="84">
        <v>1</v>
      </c>
      <c r="D10" s="84">
        <v>1</v>
      </c>
      <c r="E10" s="84">
        <v>1</v>
      </c>
      <c r="F10" s="84">
        <v>1</v>
      </c>
      <c r="G10" s="84">
        <v>1</v>
      </c>
      <c r="H10" s="84">
        <v>1</v>
      </c>
      <c r="I10" s="82" t="s">
        <v>3020</v>
      </c>
      <c r="J10" s="82" t="str">
        <f>IF(SUM(C10:H10)=6,"READY","WAIT")</f>
        <v>READY</v>
      </c>
      <c r="K10" s="82" t="str">
        <f>IF(AND(J10="READY",B10&gt;=DATE(2027,9,1)),"START_ALLOWED","NOT_YET")</f>
        <v>START_ALLOWED</v>
      </c>
    </row>
  </sheetData>
  <phoneticPr fontId="30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BB2C2"/>
  </sheetPr>
  <dimension ref="A1:E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9" customWidth="1"/>
    <col min="2" max="2" width="30" customWidth="1"/>
    <col min="3" max="3" width="70" customWidth="1"/>
    <col min="4" max="4" width="93" customWidth="1"/>
    <col min="5" max="5" width="64" customWidth="1"/>
  </cols>
  <sheetData>
    <row r="1" spans="1:5" ht="28.95" customHeight="1">
      <c r="A1" s="80" t="s">
        <v>3021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3022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626</v>
      </c>
      <c r="B5" s="81" t="s">
        <v>3023</v>
      </c>
      <c r="C5" s="81" t="s">
        <v>628</v>
      </c>
      <c r="D5" s="81" t="s">
        <v>630</v>
      </c>
      <c r="E5" s="81" t="s">
        <v>3024</v>
      </c>
    </row>
    <row r="6" spans="1:5" ht="31.95" customHeight="1">
      <c r="A6" s="82" t="s">
        <v>3025</v>
      </c>
      <c r="B6" s="82" t="s">
        <v>3013</v>
      </c>
      <c r="C6" s="82" t="s">
        <v>3026</v>
      </c>
      <c r="D6" s="82" t="s">
        <v>3027</v>
      </c>
      <c r="E6" s="82" t="s">
        <v>3028</v>
      </c>
    </row>
    <row r="7" spans="1:5" ht="31.95" customHeight="1">
      <c r="A7" s="83" t="s">
        <v>3029</v>
      </c>
      <c r="B7" s="83" t="s">
        <v>3030</v>
      </c>
      <c r="C7" s="83" t="s">
        <v>3031</v>
      </c>
      <c r="D7" s="83" t="s">
        <v>3032</v>
      </c>
      <c r="E7" s="83" t="s">
        <v>3033</v>
      </c>
    </row>
    <row r="8" spans="1:5" ht="31.95" customHeight="1">
      <c r="A8" s="82" t="s">
        <v>3034</v>
      </c>
      <c r="B8" s="82" t="s">
        <v>3035</v>
      </c>
      <c r="C8" s="82" t="s">
        <v>3036</v>
      </c>
      <c r="D8" s="82" t="s">
        <v>3037</v>
      </c>
      <c r="E8" s="82" t="s">
        <v>3038</v>
      </c>
    </row>
    <row r="9" spans="1:5" ht="31.95" customHeight="1">
      <c r="A9" s="83" t="s">
        <v>3039</v>
      </c>
      <c r="B9" s="83" t="s">
        <v>3040</v>
      </c>
      <c r="C9" s="83" t="s">
        <v>3041</v>
      </c>
      <c r="D9" s="83" t="s">
        <v>3042</v>
      </c>
      <c r="E9" s="83" t="s">
        <v>3043</v>
      </c>
    </row>
    <row r="10" spans="1:5" ht="31.95" customHeight="1">
      <c r="A10" s="82" t="s">
        <v>3044</v>
      </c>
      <c r="B10" s="82" t="s">
        <v>2673</v>
      </c>
      <c r="C10" s="82" t="s">
        <v>3045</v>
      </c>
      <c r="D10" s="82" t="s">
        <v>3046</v>
      </c>
      <c r="E10" s="82" t="s">
        <v>3047</v>
      </c>
    </row>
    <row r="11" spans="1:5" ht="31.95" customHeight="1">
      <c r="A11" s="83" t="s">
        <v>3048</v>
      </c>
      <c r="B11" s="83" t="s">
        <v>2673</v>
      </c>
      <c r="C11" s="83" t="s">
        <v>3049</v>
      </c>
      <c r="D11" s="83" t="s">
        <v>3050</v>
      </c>
      <c r="E11" s="83" t="s">
        <v>3051</v>
      </c>
    </row>
    <row r="12" spans="1:5" ht="31.95" customHeight="1">
      <c r="A12" s="82" t="s">
        <v>3052</v>
      </c>
      <c r="B12" s="82" t="s">
        <v>3053</v>
      </c>
      <c r="C12" s="82" t="s">
        <v>3054</v>
      </c>
      <c r="D12" s="82" t="s">
        <v>3055</v>
      </c>
      <c r="E12" s="82" t="s">
        <v>3056</v>
      </c>
    </row>
    <row r="13" spans="1:5" ht="31.95" customHeight="1">
      <c r="A13" s="83" t="s">
        <v>3057</v>
      </c>
      <c r="B13" s="83" t="s">
        <v>2135</v>
      </c>
      <c r="C13" s="83" t="s">
        <v>3058</v>
      </c>
      <c r="D13" s="83" t="s">
        <v>3059</v>
      </c>
      <c r="E13" s="83" t="s">
        <v>3060</v>
      </c>
    </row>
    <row r="14" spans="1:5" ht="31.95" customHeight="1">
      <c r="A14" s="82" t="s">
        <v>3061</v>
      </c>
      <c r="B14" s="82" t="s">
        <v>3062</v>
      </c>
      <c r="C14" s="82" t="s">
        <v>3063</v>
      </c>
      <c r="D14" s="82" t="s">
        <v>3064</v>
      </c>
      <c r="E14" s="82" t="s">
        <v>3065</v>
      </c>
    </row>
  </sheetData>
  <phoneticPr fontId="30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9BB2C2"/>
  </sheetPr>
  <dimension ref="A1:D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7" customWidth="1"/>
    <col min="2" max="2" width="42" customWidth="1"/>
    <col min="3" max="3" width="125" customWidth="1"/>
    <col min="4" max="4" width="45" customWidth="1"/>
  </cols>
  <sheetData>
    <row r="1" spans="1:4" ht="28.95" customHeight="1">
      <c r="A1" s="80" t="s">
        <v>3066</v>
      </c>
      <c r="B1" s="79"/>
      <c r="C1" s="79"/>
      <c r="D1" s="79"/>
    </row>
    <row r="2" spans="1:4">
      <c r="A2" s="79"/>
      <c r="B2" s="79"/>
      <c r="C2" s="79"/>
      <c r="D2" s="79"/>
    </row>
    <row r="3" spans="1:4" ht="25.95" customHeight="1">
      <c r="A3" s="79" t="s">
        <v>3067</v>
      </c>
      <c r="B3" s="79"/>
      <c r="C3" s="79"/>
      <c r="D3" s="79"/>
    </row>
    <row r="4" spans="1:4">
      <c r="A4" s="79"/>
      <c r="B4" s="79"/>
      <c r="C4" s="79"/>
      <c r="D4" s="79"/>
    </row>
    <row r="5" spans="1:4" ht="36" customHeight="1">
      <c r="A5" s="81" t="s">
        <v>2</v>
      </c>
      <c r="B5" s="81" t="s">
        <v>3068</v>
      </c>
      <c r="C5" s="81" t="s">
        <v>3069</v>
      </c>
      <c r="D5" s="81" t="s">
        <v>3070</v>
      </c>
    </row>
    <row r="6" spans="1:4" ht="31.95" customHeight="1">
      <c r="A6" s="82" t="s">
        <v>3071</v>
      </c>
      <c r="B6" s="82" t="s">
        <v>2046</v>
      </c>
      <c r="C6" s="82" t="s">
        <v>3072</v>
      </c>
      <c r="D6" s="82" t="s">
        <v>1416</v>
      </c>
    </row>
    <row r="7" spans="1:4" ht="31.95" customHeight="1">
      <c r="A7" s="83" t="s">
        <v>3073</v>
      </c>
      <c r="B7" s="83" t="s">
        <v>3074</v>
      </c>
      <c r="C7" s="83" t="s">
        <v>3075</v>
      </c>
      <c r="D7" s="83" t="s">
        <v>3076</v>
      </c>
    </row>
    <row r="8" spans="1:4" ht="31.95" customHeight="1">
      <c r="A8" s="82" t="s">
        <v>3077</v>
      </c>
      <c r="B8" s="82" t="s">
        <v>3078</v>
      </c>
      <c r="C8" s="82" t="s">
        <v>3079</v>
      </c>
      <c r="D8" s="82" t="s">
        <v>2845</v>
      </c>
    </row>
    <row r="9" spans="1:4" ht="31.95" customHeight="1">
      <c r="A9" s="83" t="s">
        <v>3080</v>
      </c>
      <c r="B9" s="83" t="s">
        <v>3081</v>
      </c>
      <c r="C9" s="83" t="s">
        <v>3082</v>
      </c>
      <c r="D9" s="83" t="s">
        <v>3083</v>
      </c>
    </row>
    <row r="10" spans="1:4" ht="48" customHeight="1">
      <c r="A10" s="82" t="s">
        <v>1996</v>
      </c>
      <c r="B10" s="82" t="s">
        <v>3084</v>
      </c>
      <c r="C10" s="82" t="s">
        <v>3085</v>
      </c>
      <c r="D10" s="82" t="s">
        <v>3086</v>
      </c>
    </row>
    <row r="11" spans="1:4" ht="31.95" customHeight="1">
      <c r="A11" s="83" t="s">
        <v>3087</v>
      </c>
      <c r="B11" s="83" t="s">
        <v>3088</v>
      </c>
      <c r="C11" s="83" t="s">
        <v>3089</v>
      </c>
      <c r="D11" s="83" t="s">
        <v>3090</v>
      </c>
    </row>
    <row r="12" spans="1:4" ht="31.95" customHeight="1">
      <c r="A12" s="82" t="s">
        <v>3091</v>
      </c>
      <c r="B12" s="82" t="s">
        <v>3092</v>
      </c>
      <c r="C12" s="82" t="s">
        <v>3093</v>
      </c>
      <c r="D12" s="82" t="s">
        <v>3094</v>
      </c>
    </row>
    <row r="13" spans="1:4" ht="48" customHeight="1">
      <c r="A13" s="83" t="s">
        <v>3095</v>
      </c>
      <c r="B13" s="83" t="s">
        <v>3096</v>
      </c>
      <c r="C13" s="83" t="s">
        <v>3097</v>
      </c>
      <c r="D13" s="83" t="s">
        <v>3098</v>
      </c>
    </row>
    <row r="14" spans="1:4" ht="31.95" customHeight="1">
      <c r="A14" s="82" t="s">
        <v>1984</v>
      </c>
      <c r="B14" s="82" t="s">
        <v>3096</v>
      </c>
      <c r="C14" s="82" t="s">
        <v>3099</v>
      </c>
      <c r="D14" s="82" t="s">
        <v>2923</v>
      </c>
    </row>
    <row r="15" spans="1:4" ht="31.95" customHeight="1">
      <c r="A15" s="83" t="s">
        <v>3100</v>
      </c>
      <c r="B15" s="83" t="s">
        <v>3101</v>
      </c>
      <c r="C15" s="83" t="s">
        <v>3102</v>
      </c>
      <c r="D15" s="83" t="s">
        <v>3103</v>
      </c>
    </row>
    <row r="16" spans="1:4" ht="31.95" customHeight="1">
      <c r="A16" s="82" t="s">
        <v>3104</v>
      </c>
      <c r="B16" s="82" t="s">
        <v>3105</v>
      </c>
      <c r="C16" s="82" t="s">
        <v>3106</v>
      </c>
      <c r="D16" s="82" t="s">
        <v>3107</v>
      </c>
    </row>
    <row r="17" spans="1:4" ht="31.95" customHeight="1">
      <c r="A17" s="83" t="s">
        <v>3108</v>
      </c>
      <c r="B17" s="83" t="s">
        <v>3109</v>
      </c>
      <c r="C17" s="83" t="s">
        <v>3110</v>
      </c>
      <c r="D17" s="83" t="s">
        <v>3111</v>
      </c>
    </row>
    <row r="18" spans="1:4" ht="31.95" customHeight="1">
      <c r="A18" s="82" t="s">
        <v>3112</v>
      </c>
      <c r="B18" s="82" t="s">
        <v>3113</v>
      </c>
      <c r="C18" s="82" t="s">
        <v>3114</v>
      </c>
      <c r="D18" s="82" t="s">
        <v>3115</v>
      </c>
    </row>
    <row r="19" spans="1:4" ht="31.95" customHeight="1">
      <c r="A19" s="83" t="s">
        <v>3116</v>
      </c>
      <c r="B19" s="83" t="s">
        <v>3117</v>
      </c>
      <c r="C19" s="83" t="s">
        <v>3118</v>
      </c>
      <c r="D19" s="83" t="s">
        <v>3119</v>
      </c>
    </row>
  </sheetData>
  <phoneticPr fontId="30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9BB2C2"/>
  </sheetPr>
  <dimension ref="A1:E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46" customWidth="1"/>
    <col min="3" max="4" width="28" customWidth="1"/>
    <col min="5" max="5" width="25" customWidth="1"/>
  </cols>
  <sheetData>
    <row r="1" spans="1:5" ht="28.95" customHeight="1">
      <c r="A1" s="80" t="s">
        <v>3120</v>
      </c>
      <c r="B1" s="79"/>
      <c r="C1" s="79"/>
      <c r="D1" s="79"/>
      <c r="E1" s="79"/>
    </row>
    <row r="2" spans="1:5">
      <c r="A2" s="79"/>
      <c r="B2" s="79"/>
      <c r="C2" s="79"/>
      <c r="D2" s="79"/>
      <c r="E2" s="79"/>
    </row>
    <row r="3" spans="1:5" ht="25.95" customHeight="1">
      <c r="A3" s="79" t="s">
        <v>3121</v>
      </c>
      <c r="B3" s="79"/>
      <c r="C3" s="79"/>
      <c r="D3" s="79"/>
      <c r="E3" s="79"/>
    </row>
    <row r="4" spans="1:5">
      <c r="A4" s="79"/>
      <c r="B4" s="79"/>
      <c r="C4" s="79"/>
      <c r="D4" s="79"/>
      <c r="E4" s="79"/>
    </row>
    <row r="5" spans="1:5" ht="36" customHeight="1">
      <c r="A5" s="81" t="s">
        <v>1432</v>
      </c>
      <c r="B5" s="81" t="s">
        <v>832</v>
      </c>
      <c r="C5" s="81" t="s">
        <v>3122</v>
      </c>
      <c r="D5" s="81" t="s">
        <v>834</v>
      </c>
      <c r="E5" s="81" t="s">
        <v>836</v>
      </c>
    </row>
    <row r="6" spans="1:5" ht="31.95" customHeight="1">
      <c r="A6" s="82" t="s">
        <v>3123</v>
      </c>
      <c r="B6" s="82" t="s">
        <v>3124</v>
      </c>
      <c r="C6" s="104">
        <v>3299986680</v>
      </c>
      <c r="D6" s="104">
        <f>SC04월손익!C18</f>
        <v>3299986680</v>
      </c>
      <c r="E6" s="82" t="str">
        <f t="shared" ref="E6:E29" si="0">IF(C6=D6,"PASS","검토 필요")</f>
        <v>PASS</v>
      </c>
    </row>
    <row r="7" spans="1:5" ht="31.95" customHeight="1">
      <c r="A7" s="83" t="s">
        <v>3125</v>
      </c>
      <c r="B7" s="83" t="s">
        <v>3126</v>
      </c>
      <c r="C7" s="105">
        <v>127800000</v>
      </c>
      <c r="D7" s="105">
        <f>SC04월손익!E18</f>
        <v>127800000</v>
      </c>
      <c r="E7" s="83" t="str">
        <f t="shared" si="0"/>
        <v>PASS</v>
      </c>
    </row>
    <row r="8" spans="1:5" ht="31.95" customHeight="1">
      <c r="A8" s="82" t="s">
        <v>3127</v>
      </c>
      <c r="B8" s="82" t="s">
        <v>2440</v>
      </c>
      <c r="C8" s="104">
        <v>5</v>
      </c>
      <c r="D8" s="104">
        <f>SC05초기지표!C7</f>
        <v>5</v>
      </c>
      <c r="E8" s="82" t="str">
        <f t="shared" si="0"/>
        <v>PASS</v>
      </c>
    </row>
    <row r="9" spans="1:5" ht="31.95" customHeight="1">
      <c r="A9" s="83" t="s">
        <v>3128</v>
      </c>
      <c r="B9" s="83" t="s">
        <v>3129</v>
      </c>
      <c r="C9" s="105">
        <v>6000000</v>
      </c>
      <c r="D9" s="105">
        <f>SC05초기지표!C9</f>
        <v>6000000</v>
      </c>
      <c r="E9" s="83" t="str">
        <f t="shared" si="0"/>
        <v>PASS</v>
      </c>
    </row>
    <row r="10" spans="1:5" ht="31.95" customHeight="1">
      <c r="A10" s="82" t="s">
        <v>3130</v>
      </c>
      <c r="B10" s="82" t="s">
        <v>2056</v>
      </c>
      <c r="C10" s="104">
        <v>8200000</v>
      </c>
      <c r="D10" s="104">
        <f>SC05초기지표!C12</f>
        <v>8200000</v>
      </c>
      <c r="E10" s="82" t="str">
        <f t="shared" si="0"/>
        <v>PASS</v>
      </c>
    </row>
    <row r="11" spans="1:5" ht="31.95" customHeight="1">
      <c r="A11" s="83" t="s">
        <v>3131</v>
      </c>
      <c r="B11" s="83" t="s">
        <v>3132</v>
      </c>
      <c r="C11" s="105">
        <v>9785</v>
      </c>
      <c r="D11" s="105">
        <f>SC05초기지표!C18</f>
        <v>9785</v>
      </c>
      <c r="E11" s="83" t="str">
        <f t="shared" si="0"/>
        <v>PASS</v>
      </c>
    </row>
    <row r="12" spans="1:5" ht="31.95" customHeight="1">
      <c r="A12" s="82" t="s">
        <v>3133</v>
      </c>
      <c r="B12" s="82" t="s">
        <v>3134</v>
      </c>
      <c r="C12" s="104">
        <v>129000000</v>
      </c>
      <c r="D12" s="104">
        <f>SC05월손익!G18</f>
        <v>129000000</v>
      </c>
      <c r="E12" s="82" t="str">
        <f t="shared" si="0"/>
        <v>PASS</v>
      </c>
    </row>
    <row r="13" spans="1:5" ht="31.95" customHeight="1">
      <c r="A13" s="83" t="s">
        <v>3135</v>
      </c>
      <c r="B13" s="83" t="s">
        <v>3136</v>
      </c>
      <c r="C13" s="105">
        <v>3428986680</v>
      </c>
      <c r="D13" s="105">
        <f>SC05월손익!H18</f>
        <v>3428986680</v>
      </c>
      <c r="E13" s="83" t="str">
        <f t="shared" si="0"/>
        <v>PASS</v>
      </c>
    </row>
    <row r="14" spans="1:5" ht="31.95" customHeight="1">
      <c r="A14" s="82" t="s">
        <v>3137</v>
      </c>
      <c r="B14" s="82" t="s">
        <v>3138</v>
      </c>
      <c r="C14" s="104">
        <v>48303320</v>
      </c>
      <c r="D14" s="104">
        <f>SC05월손익!K18</f>
        <v>48303320</v>
      </c>
      <c r="E14" s="82" t="str">
        <f t="shared" si="0"/>
        <v>PASS</v>
      </c>
    </row>
    <row r="15" spans="1:5" ht="31.95" customHeight="1">
      <c r="A15" s="83" t="s">
        <v>3139</v>
      </c>
      <c r="B15" s="83" t="s">
        <v>3056</v>
      </c>
      <c r="C15" s="105">
        <v>3477290000</v>
      </c>
      <c r="D15" s="105">
        <f>SC05월손익!C18</f>
        <v>3477290000</v>
      </c>
      <c r="E15" s="83" t="str">
        <f t="shared" si="0"/>
        <v>PASS</v>
      </c>
    </row>
    <row r="16" spans="1:5" ht="31.95" customHeight="1">
      <c r="A16" s="82" t="s">
        <v>3140</v>
      </c>
      <c r="B16" s="82" t="s">
        <v>3141</v>
      </c>
      <c r="C16" s="104">
        <v>0</v>
      </c>
      <c r="D16" s="104">
        <f>SC05변경대사!B12</f>
        <v>0</v>
      </c>
      <c r="E16" s="82" t="str">
        <f t="shared" si="0"/>
        <v>PASS</v>
      </c>
    </row>
    <row r="17" spans="1:5" ht="31.95" customHeight="1">
      <c r="A17" s="83" t="s">
        <v>3142</v>
      </c>
      <c r="B17" s="83" t="s">
        <v>3143</v>
      </c>
      <c r="C17" s="105">
        <v>0</v>
      </c>
      <c r="D17" s="105">
        <f>SC05월손익!H18-SUM(SC05월손익!H19:H20)</f>
        <v>0</v>
      </c>
      <c r="E17" s="83" t="str">
        <f t="shared" si="0"/>
        <v>PASS</v>
      </c>
    </row>
    <row r="18" spans="1:5" ht="31.95" customHeight="1">
      <c r="A18" s="82" t="s">
        <v>3144</v>
      </c>
      <c r="B18" s="82" t="s">
        <v>3145</v>
      </c>
      <c r="C18" s="104">
        <v>4440000000</v>
      </c>
      <c r="D18" s="104">
        <f>SUM(SC05월손익!E6:E17)</f>
        <v>4440000000</v>
      </c>
      <c r="E18" s="82" t="str">
        <f t="shared" si="0"/>
        <v>PASS</v>
      </c>
    </row>
    <row r="19" spans="1:5" ht="31.95" customHeight="1">
      <c r="A19" s="83" t="s">
        <v>3146</v>
      </c>
      <c r="B19" s="83" t="s">
        <v>3147</v>
      </c>
      <c r="C19" s="105">
        <v>0</v>
      </c>
      <c r="D19" s="105">
        <f>SUM(SC05월효과!O6:O23)</f>
        <v>0</v>
      </c>
      <c r="E19" s="83" t="str">
        <f t="shared" si="0"/>
        <v>PASS</v>
      </c>
    </row>
    <row r="20" spans="1:5" ht="31.95" customHeight="1">
      <c r="A20" s="82" t="s">
        <v>3148</v>
      </c>
      <c r="B20" s="82" t="s">
        <v>3149</v>
      </c>
      <c r="C20" s="104">
        <v>7000000</v>
      </c>
      <c r="D20" s="104">
        <f>SC05예산!D9</f>
        <v>7000000</v>
      </c>
      <c r="E20" s="82" t="str">
        <f t="shared" si="0"/>
        <v>PASS</v>
      </c>
    </row>
    <row r="21" spans="1:5" ht="31.95" customHeight="1">
      <c r="A21" s="83" t="s">
        <v>3150</v>
      </c>
      <c r="B21" s="83" t="s">
        <v>3151</v>
      </c>
      <c r="C21" s="105">
        <v>0</v>
      </c>
      <c r="D21" s="105">
        <f>SC05예산!C9</f>
        <v>0</v>
      </c>
      <c r="E21" s="83" t="str">
        <f t="shared" si="0"/>
        <v>PASS</v>
      </c>
    </row>
    <row r="22" spans="1:5" ht="31.95" customHeight="1">
      <c r="A22" s="82" t="s">
        <v>3152</v>
      </c>
      <c r="B22" s="82" t="s">
        <v>3153</v>
      </c>
      <c r="C22" s="104">
        <v>11000000</v>
      </c>
      <c r="D22" s="104">
        <f>SC05예산!E9</f>
        <v>11000000</v>
      </c>
      <c r="E22" s="82" t="str">
        <f t="shared" si="0"/>
        <v>PASS</v>
      </c>
    </row>
    <row r="23" spans="1:5" ht="31.95" customHeight="1">
      <c r="A23" s="83" t="s">
        <v>3154</v>
      </c>
      <c r="B23" s="83" t="s">
        <v>3155</v>
      </c>
      <c r="C23" s="105">
        <v>0</v>
      </c>
      <c r="D23" s="105">
        <f>SUM(SC05고객계획!N6:N15)</f>
        <v>0</v>
      </c>
      <c r="E23" s="83" t="str">
        <f t="shared" si="0"/>
        <v>PASS</v>
      </c>
    </row>
    <row r="24" spans="1:5" ht="31.95" customHeight="1">
      <c r="A24" s="82" t="s">
        <v>3156</v>
      </c>
      <c r="B24" s="82" t="s">
        <v>3157</v>
      </c>
      <c r="C24" s="104" t="s">
        <v>3158</v>
      </c>
      <c r="D24" s="104" t="str">
        <f>SC05착수조건!J7</f>
        <v>WAIT</v>
      </c>
      <c r="E24" s="82" t="str">
        <f t="shared" si="0"/>
        <v>PASS</v>
      </c>
    </row>
    <row r="25" spans="1:5" ht="31.95" customHeight="1">
      <c r="A25" s="83" t="s">
        <v>3159</v>
      </c>
      <c r="B25" s="83" t="s">
        <v>3160</v>
      </c>
      <c r="C25" s="105" t="s">
        <v>3161</v>
      </c>
      <c r="D25" s="105" t="str">
        <f>SC05착수조건!K10</f>
        <v>START_ALLOWED</v>
      </c>
      <c r="E25" s="83" t="str">
        <f t="shared" si="0"/>
        <v>PASS</v>
      </c>
    </row>
    <row r="26" spans="1:5" ht="31.95" customHeight="1">
      <c r="A26" s="82" t="s">
        <v>3162</v>
      </c>
      <c r="B26" s="82" t="s">
        <v>3163</v>
      </c>
      <c r="C26" s="104">
        <v>1</v>
      </c>
      <c r="D26" s="104">
        <f>SC05초기지표!C17</f>
        <v>1</v>
      </c>
      <c r="E26" s="82" t="str">
        <f t="shared" si="0"/>
        <v>PASS</v>
      </c>
    </row>
    <row r="27" spans="1:5" ht="31.95" customHeight="1">
      <c r="A27" s="83" t="s">
        <v>3164</v>
      </c>
      <c r="B27" s="83" t="s">
        <v>3165</v>
      </c>
      <c r="C27" s="105">
        <v>0</v>
      </c>
      <c r="D27" s="105">
        <f>SC05전망버전!J9-SC05월손익!H18</f>
        <v>0</v>
      </c>
      <c r="E27" s="83" t="str">
        <f t="shared" si="0"/>
        <v>PASS</v>
      </c>
    </row>
    <row r="28" spans="1:5" ht="31.95" customHeight="1">
      <c r="A28" s="82" t="s">
        <v>3166</v>
      </c>
      <c r="B28" s="82" t="s">
        <v>3167</v>
      </c>
      <c r="C28" s="104">
        <v>0</v>
      </c>
      <c r="D28" s="104">
        <f>SC05초기지표!C18-월별계산!E47</f>
        <v>0</v>
      </c>
      <c r="E28" s="82" t="str">
        <f t="shared" si="0"/>
        <v>PASS</v>
      </c>
    </row>
    <row r="29" spans="1:5" ht="31.95" customHeight="1">
      <c r="A29" s="83" t="s">
        <v>3168</v>
      </c>
      <c r="B29" s="83" t="s">
        <v>3169</v>
      </c>
      <c r="C29" s="105">
        <v>0</v>
      </c>
      <c r="D29" s="105">
        <f>SUM(SC05모델손익!I6:I65)-SUM(SC05월효과!N6:N23)</f>
        <v>0</v>
      </c>
      <c r="E29" s="83" t="str">
        <f t="shared" si="0"/>
        <v>PASS</v>
      </c>
    </row>
  </sheetData>
  <phoneticPr fontId="30" type="noConversion"/>
  <conditionalFormatting sqref="E6:E29">
    <cfRule type="containsText" dxfId="0" priority="1" operator="containsText" text="검토 필요"/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4.3984375" customWidth="1"/>
    <col min="2" max="2" width="37.796875" customWidth="1"/>
    <col min="3" max="3" width="22.19921875" customWidth="1"/>
    <col min="4" max="4" width="77.796875" customWidth="1"/>
  </cols>
  <sheetData>
    <row r="1" spans="1:4" ht="19.2">
      <c r="A1" s="113" t="s">
        <v>3170</v>
      </c>
      <c r="B1" s="112"/>
      <c r="C1" s="112"/>
      <c r="D1" s="112"/>
    </row>
    <row r="2" spans="1:4">
      <c r="A2" s="112"/>
      <c r="B2" s="112"/>
      <c r="C2" s="112"/>
      <c r="D2" s="112"/>
    </row>
    <row r="3" spans="1:4">
      <c r="A3" s="114" t="s">
        <v>3171</v>
      </c>
      <c r="B3" s="112"/>
      <c r="C3" s="112"/>
      <c r="D3" s="112"/>
    </row>
    <row r="4" spans="1:4">
      <c r="A4" s="112"/>
      <c r="B4" s="112"/>
      <c r="C4" s="112"/>
      <c r="D4" s="112"/>
    </row>
    <row r="5" spans="1:4" ht="31.95" customHeight="1">
      <c r="A5" s="116" t="s">
        <v>2</v>
      </c>
      <c r="B5" s="116" t="s">
        <v>3</v>
      </c>
      <c r="C5" s="116" t="s">
        <v>4</v>
      </c>
      <c r="D5" s="116" t="s">
        <v>924</v>
      </c>
    </row>
    <row r="6" spans="1:4" ht="30" customHeight="1">
      <c r="A6" s="115" t="s">
        <v>3172</v>
      </c>
      <c r="B6" s="115" t="s">
        <v>3173</v>
      </c>
      <c r="C6" s="115" t="s">
        <v>3174</v>
      </c>
      <c r="D6" s="115" t="s">
        <v>3175</v>
      </c>
    </row>
    <row r="7" spans="1:4" ht="30" customHeight="1">
      <c r="A7" s="117" t="s">
        <v>3176</v>
      </c>
      <c r="B7" s="118">
        <v>46752.999305555553</v>
      </c>
      <c r="C7" s="117" t="s">
        <v>3177</v>
      </c>
      <c r="D7" s="117" t="s">
        <v>3178</v>
      </c>
    </row>
    <row r="8" spans="1:4" ht="30" customHeight="1">
      <c r="A8" s="115" t="s">
        <v>3179</v>
      </c>
      <c r="B8" s="119">
        <v>46759.75</v>
      </c>
      <c r="C8" s="115" t="s">
        <v>3177</v>
      </c>
      <c r="D8" s="115" t="s">
        <v>3180</v>
      </c>
    </row>
    <row r="9" spans="1:4" ht="30" customHeight="1">
      <c r="A9" s="117" t="s">
        <v>3181</v>
      </c>
      <c r="B9" s="120">
        <f>SC06과제성과!E9</f>
        <v>91800000</v>
      </c>
      <c r="C9" s="117" t="s">
        <v>3182</v>
      </c>
      <c r="D9" s="117" t="s">
        <v>3183</v>
      </c>
    </row>
    <row r="10" spans="1:4" ht="30" customHeight="1">
      <c r="A10" s="115" t="s">
        <v>3184</v>
      </c>
      <c r="B10" s="121">
        <f>SC06과제성과!F9</f>
        <v>87000000</v>
      </c>
      <c r="C10" s="115" t="s">
        <v>3182</v>
      </c>
      <c r="D10" s="115" t="s">
        <v>3185</v>
      </c>
    </row>
    <row r="11" spans="1:4" ht="30" customHeight="1">
      <c r="A11" s="117" t="s">
        <v>3186</v>
      </c>
      <c r="B11" s="120">
        <f>SC06과제성과!G9</f>
        <v>-4800000</v>
      </c>
      <c r="C11" s="117" t="s">
        <v>3182</v>
      </c>
      <c r="D11" s="117" t="s">
        <v>3187</v>
      </c>
    </row>
    <row r="12" spans="1:4" ht="30" customHeight="1">
      <c r="A12" s="115" t="s">
        <v>3188</v>
      </c>
      <c r="B12" s="121">
        <f>SC06과제성과!E7</f>
        <v>30600000</v>
      </c>
      <c r="C12" s="115" t="s">
        <v>3182</v>
      </c>
      <c r="D12" s="115" t="s">
        <v>3189</v>
      </c>
    </row>
    <row r="13" spans="1:4" ht="30" customHeight="1">
      <c r="A13" s="117" t="s">
        <v>3190</v>
      </c>
      <c r="B13" s="120">
        <f>SC06과제성과!F7</f>
        <v>25800000</v>
      </c>
      <c r="C13" s="117" t="s">
        <v>3182</v>
      </c>
      <c r="D13" s="117" t="s">
        <v>3191</v>
      </c>
    </row>
    <row r="14" spans="1:4" ht="30" customHeight="1">
      <c r="A14" s="115" t="s">
        <v>3192</v>
      </c>
      <c r="B14" s="121">
        <f>SC06원인집계!C9</f>
        <v>14</v>
      </c>
      <c r="C14" s="115" t="s">
        <v>3193</v>
      </c>
      <c r="D14" s="115" t="s">
        <v>3194</v>
      </c>
    </row>
    <row r="15" spans="1:4" ht="30" customHeight="1">
      <c r="A15" s="117" t="s">
        <v>3195</v>
      </c>
      <c r="B15" s="117" t="s">
        <v>3196</v>
      </c>
      <c r="C15" s="117" t="s">
        <v>3197</v>
      </c>
      <c r="D15" s="117" t="s">
        <v>3198</v>
      </c>
    </row>
    <row r="16" spans="1:4" ht="30" customHeight="1">
      <c r="A16" s="115" t="s">
        <v>1494</v>
      </c>
      <c r="B16" s="115" t="s">
        <v>3199</v>
      </c>
      <c r="C16" s="115" t="s">
        <v>3200</v>
      </c>
      <c r="D16" s="115" t="s">
        <v>3201</v>
      </c>
    </row>
    <row r="17" spans="1:4" ht="30" customHeight="1">
      <c r="A17" s="117" t="s">
        <v>3202</v>
      </c>
      <c r="B17" s="117" t="s">
        <v>3203</v>
      </c>
      <c r="C17" s="117" t="s">
        <v>3204</v>
      </c>
      <c r="D17" s="117" t="s">
        <v>3205</v>
      </c>
    </row>
    <row r="18" spans="1:4" ht="30" customHeight="1">
      <c r="A18" s="115" t="s">
        <v>3206</v>
      </c>
      <c r="B18" s="115" t="s">
        <v>3207</v>
      </c>
      <c r="C18" s="115" t="s">
        <v>3208</v>
      </c>
      <c r="D18" s="115" t="s">
        <v>3209</v>
      </c>
    </row>
    <row r="19" spans="1:4" ht="30" customHeight="1">
      <c r="A19" s="117" t="s">
        <v>2128</v>
      </c>
      <c r="B19" s="117" t="s">
        <v>3210</v>
      </c>
      <c r="C19" s="117" t="s">
        <v>3211</v>
      </c>
      <c r="D19" s="117" t="s">
        <v>3212</v>
      </c>
    </row>
  </sheetData>
  <phoneticPr fontId="30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2.19921875" customWidth="1"/>
    <col min="2" max="2" width="27.796875" customWidth="1"/>
    <col min="3" max="3" width="14.3984375" customWidth="1"/>
    <col min="4" max="4" width="18.8984375" customWidth="1"/>
    <col min="5" max="7" width="16.69921875" customWidth="1"/>
    <col min="8" max="8" width="18.8984375" customWidth="1"/>
    <col min="9" max="9" width="33.296875" customWidth="1"/>
    <col min="10" max="10" width="31.09765625" customWidth="1"/>
  </cols>
  <sheetData>
    <row r="1" spans="1:10" ht="19.2">
      <c r="A1" s="113" t="s">
        <v>3213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>
      <c r="A2" s="112"/>
      <c r="B2" s="112"/>
      <c r="C2" s="112"/>
      <c r="D2" s="112"/>
      <c r="E2" s="112"/>
      <c r="F2" s="112"/>
      <c r="G2" s="112"/>
      <c r="H2" s="112"/>
      <c r="I2" s="112"/>
      <c r="J2" s="112"/>
    </row>
    <row r="3" spans="1:10">
      <c r="A3" s="114" t="s">
        <v>3214</v>
      </c>
      <c r="B3" s="112"/>
      <c r="C3" s="112"/>
      <c r="D3" s="112"/>
      <c r="E3" s="112"/>
      <c r="F3" s="112"/>
      <c r="G3" s="112"/>
      <c r="H3" s="112"/>
      <c r="I3" s="112"/>
      <c r="J3" s="112"/>
    </row>
    <row r="4" spans="1:10">
      <c r="A4" s="112"/>
      <c r="B4" s="112"/>
      <c r="C4" s="112"/>
      <c r="D4" s="112"/>
      <c r="E4" s="112"/>
      <c r="F4" s="112"/>
      <c r="G4" s="112"/>
      <c r="H4" s="112"/>
      <c r="I4" s="112"/>
      <c r="J4" s="112"/>
    </row>
    <row r="5" spans="1:10" ht="31.95" customHeight="1">
      <c r="A5" s="116" t="s">
        <v>1103</v>
      </c>
      <c r="B5" s="116" t="s">
        <v>3215</v>
      </c>
      <c r="C5" s="116" t="s">
        <v>3216</v>
      </c>
      <c r="D5" s="116" t="s">
        <v>3217</v>
      </c>
      <c r="E5" s="116" t="s">
        <v>3218</v>
      </c>
      <c r="F5" s="116" t="s">
        <v>3219</v>
      </c>
      <c r="G5" s="116" t="s">
        <v>835</v>
      </c>
      <c r="H5" s="116" t="s">
        <v>3220</v>
      </c>
      <c r="I5" s="116" t="s">
        <v>1698</v>
      </c>
      <c r="J5" s="116" t="s">
        <v>917</v>
      </c>
    </row>
    <row r="6" spans="1:10" ht="30" customHeight="1">
      <c r="A6" s="115" t="s">
        <v>1738</v>
      </c>
      <c r="B6" s="115" t="s">
        <v>1526</v>
      </c>
      <c r="C6" s="115" t="s">
        <v>3221</v>
      </c>
      <c r="D6" s="119">
        <v>46630.75</v>
      </c>
      <c r="E6" s="123">
        <f>SUMIFS(SC06월효과!$D$6:$D$14,SC06월효과!$B$6:$B$14,A6)</f>
        <v>54000000</v>
      </c>
      <c r="F6" s="123">
        <f>SUMIFS(SC06월효과!$J$6:$J$14,SC06월효과!$B$6:$B$14,A6)</f>
        <v>54000000</v>
      </c>
      <c r="G6" s="123">
        <f>F6-E6</f>
        <v>0</v>
      </c>
      <c r="H6" s="115" t="str">
        <f>IF(G6&lt;0,"일부 기대 미달","기대 달성")</f>
        <v>기대 달성</v>
      </c>
      <c r="I6" s="115" t="s">
        <v>3222</v>
      </c>
      <c r="J6" s="115" t="s">
        <v>3223</v>
      </c>
    </row>
    <row r="7" spans="1:10" ht="30" customHeight="1">
      <c r="A7" s="117" t="s">
        <v>1740</v>
      </c>
      <c r="B7" s="117" t="s">
        <v>3224</v>
      </c>
      <c r="C7" s="117" t="s">
        <v>3221</v>
      </c>
      <c r="D7" s="118">
        <v>46660.75</v>
      </c>
      <c r="E7" s="124">
        <f>SUMIFS(SC06월효과!$D$6:$D$14,SC06월효과!$B$6:$B$14,A7)</f>
        <v>30600000</v>
      </c>
      <c r="F7" s="124">
        <f>SUMIFS(SC06월효과!$J$6:$J$14,SC06월효과!$B$6:$B$14,A7)</f>
        <v>25800000</v>
      </c>
      <c r="G7" s="124">
        <f>F7-E7</f>
        <v>-4800000</v>
      </c>
      <c r="H7" s="117" t="str">
        <f>IF(G7&lt;0,"일부 기대 미달","기대 달성")</f>
        <v>일부 기대 미달</v>
      </c>
      <c r="I7" s="117" t="s">
        <v>3225</v>
      </c>
      <c r="J7" s="117" t="s">
        <v>3226</v>
      </c>
    </row>
    <row r="8" spans="1:10" ht="30" customHeight="1">
      <c r="A8" s="115" t="s">
        <v>1741</v>
      </c>
      <c r="B8" s="115" t="s">
        <v>1535</v>
      </c>
      <c r="C8" s="115" t="s">
        <v>3221</v>
      </c>
      <c r="D8" s="119">
        <v>46689.75</v>
      </c>
      <c r="E8" s="123">
        <f>SUMIFS(SC06월효과!$D$6:$D$14,SC06월효과!$B$6:$B$14,A8)</f>
        <v>7200000</v>
      </c>
      <c r="F8" s="123">
        <f>SUMIFS(SC06월효과!$J$6:$J$14,SC06월효과!$B$6:$B$14,A8)</f>
        <v>7200000</v>
      </c>
      <c r="G8" s="123">
        <f>F8-E8</f>
        <v>0</v>
      </c>
      <c r="H8" s="115" t="str">
        <f>IF(G8&lt;0,"일부 기대 미달","기대 달성")</f>
        <v>기대 달성</v>
      </c>
      <c r="I8" s="115" t="s">
        <v>3227</v>
      </c>
      <c r="J8" s="115" t="s">
        <v>3228</v>
      </c>
    </row>
    <row r="9" spans="1:10" ht="30" customHeight="1">
      <c r="A9" s="117" t="s">
        <v>1537</v>
      </c>
      <c r="B9" s="117" t="s">
        <v>3229</v>
      </c>
      <c r="C9" s="117" t="s">
        <v>3230</v>
      </c>
      <c r="D9" s="118"/>
      <c r="E9" s="124">
        <f>SUM(E6:E8)</f>
        <v>91800000</v>
      </c>
      <c r="F9" s="124">
        <f>SUM(F6:F8)</f>
        <v>87000000</v>
      </c>
      <c r="G9" s="124">
        <f>SUM(G6:G8)</f>
        <v>-4800000</v>
      </c>
      <c r="H9" s="117" t="str">
        <f>IF(G9&lt;0,"일부 기대 미달","기대 달성")</f>
        <v>일부 기대 미달</v>
      </c>
      <c r="I9" s="117" t="s">
        <v>3231</v>
      </c>
      <c r="J9" s="117" t="s">
        <v>3232</v>
      </c>
    </row>
  </sheetData>
  <phoneticPr fontId="30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4.3984375" customWidth="1"/>
    <col min="2" max="2" width="31.09765625" customWidth="1"/>
    <col min="3" max="3" width="11.09765625" customWidth="1"/>
    <col min="4" max="4" width="17.796875" customWidth="1"/>
    <col min="5" max="5" width="41.09765625" customWidth="1"/>
    <col min="6" max="6" width="55.59765625" customWidth="1"/>
  </cols>
  <sheetData>
    <row r="1" spans="1:6" ht="19.2">
      <c r="A1" s="113" t="s">
        <v>3233</v>
      </c>
      <c r="B1" s="112"/>
      <c r="C1" s="112"/>
      <c r="D1" s="112"/>
      <c r="E1" s="112"/>
      <c r="F1" s="112"/>
    </row>
    <row r="2" spans="1:6">
      <c r="A2" s="112"/>
      <c r="B2" s="112"/>
      <c r="C2" s="112"/>
      <c r="D2" s="112"/>
      <c r="E2" s="112"/>
      <c r="F2" s="112"/>
    </row>
    <row r="3" spans="1:6">
      <c r="A3" s="114" t="s">
        <v>3234</v>
      </c>
      <c r="B3" s="112"/>
      <c r="C3" s="112"/>
      <c r="D3" s="112"/>
      <c r="E3" s="112"/>
      <c r="F3" s="112"/>
    </row>
    <row r="4" spans="1:6">
      <c r="A4" s="112"/>
      <c r="B4" s="112"/>
      <c r="C4" s="112"/>
      <c r="D4" s="112"/>
      <c r="E4" s="112"/>
      <c r="F4" s="112"/>
    </row>
    <row r="5" spans="1:6" ht="31.95" customHeight="1">
      <c r="A5" s="116" t="s">
        <v>3235</v>
      </c>
      <c r="B5" s="116" t="s">
        <v>2682</v>
      </c>
      <c r="C5" s="116" t="s">
        <v>3236</v>
      </c>
      <c r="D5" s="116" t="s">
        <v>3237</v>
      </c>
      <c r="E5" s="116" t="s">
        <v>3202</v>
      </c>
      <c r="F5" s="116" t="s">
        <v>1698</v>
      </c>
    </row>
    <row r="6" spans="1:6" ht="30" customHeight="1">
      <c r="A6" s="115" t="s">
        <v>3238</v>
      </c>
      <c r="B6" s="115" t="s">
        <v>3239</v>
      </c>
      <c r="C6" s="115">
        <f>COUNTIFS(SC06구매거래!$K$6:$K$185,A6,SC06구매거래!$G$6:$G$185,1)</f>
        <v>4</v>
      </c>
      <c r="D6" s="123">
        <f>SUMIFS(SC06구매거래!$J$6:$J$185,SC06구매거래!$K$6:$K$185,A6)</f>
        <v>4800000</v>
      </c>
      <c r="E6" s="115" t="s">
        <v>3240</v>
      </c>
      <c r="F6" s="115" t="s">
        <v>3241</v>
      </c>
    </row>
    <row r="7" spans="1:6" ht="30" customHeight="1">
      <c r="A7" s="117" t="s">
        <v>3242</v>
      </c>
      <c r="B7" s="117" t="s">
        <v>3243</v>
      </c>
      <c r="C7" s="117">
        <f>COUNTIFS(SC06구매거래!$K$6:$K$185,A7,SC06구매거래!$G$6:$G$185,1)</f>
        <v>9</v>
      </c>
      <c r="D7" s="124">
        <f>SUMIFS(SC06구매거래!$J$6:$J$185,SC06구매거래!$K$6:$K$185,A7)</f>
        <v>10800000</v>
      </c>
      <c r="E7" s="117" t="s">
        <v>3244</v>
      </c>
      <c r="F7" s="117" t="s">
        <v>3245</v>
      </c>
    </row>
    <row r="8" spans="1:6" ht="30" customHeight="1">
      <c r="A8" s="115" t="s">
        <v>3246</v>
      </c>
      <c r="B8" s="115" t="s">
        <v>3247</v>
      </c>
      <c r="C8" s="115">
        <f>COUNTIFS(SC06구매거래!$K$6:$K$185,A8,SC06구매거래!$G$6:$G$185,1)</f>
        <v>1</v>
      </c>
      <c r="D8" s="123">
        <f>SUMIFS(SC06구매거래!$J$6:$J$185,SC06구매거래!$K$6:$K$185,A8)</f>
        <v>1200000</v>
      </c>
      <c r="E8" s="115" t="s">
        <v>3248</v>
      </c>
      <c r="F8" s="115" t="s">
        <v>3249</v>
      </c>
    </row>
    <row r="9" spans="1:6" ht="30" customHeight="1">
      <c r="A9" s="117" t="s">
        <v>1537</v>
      </c>
      <c r="B9" s="117" t="s">
        <v>3250</v>
      </c>
      <c r="C9" s="117">
        <f>SUM(C6:C8)</f>
        <v>14</v>
      </c>
      <c r="D9" s="124">
        <f>SUM(D6:D8)</f>
        <v>16800000</v>
      </c>
      <c r="E9" s="117" t="s">
        <v>3251</v>
      </c>
      <c r="F9" s="117" t="s">
        <v>3252</v>
      </c>
    </row>
  </sheetData>
  <phoneticPr fontId="30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6.69921875" customWidth="1"/>
    <col min="2" max="2" width="18.8984375" customWidth="1"/>
    <col min="3" max="3" width="20" customWidth="1"/>
    <col min="4" max="6" width="18.8984375" customWidth="1"/>
    <col min="7" max="7" width="20" customWidth="1"/>
    <col min="8" max="8" width="21.09765625" customWidth="1"/>
    <col min="9" max="9" width="62.19921875" customWidth="1"/>
  </cols>
  <sheetData>
    <row r="1" spans="1:9" ht="19.2">
      <c r="A1" s="113" t="s">
        <v>3253</v>
      </c>
      <c r="B1" s="112"/>
      <c r="C1" s="112"/>
      <c r="D1" s="112"/>
      <c r="E1" s="112"/>
      <c r="F1" s="112"/>
      <c r="G1" s="112"/>
      <c r="H1" s="112"/>
      <c r="I1" s="112"/>
    </row>
    <row r="2" spans="1:9">
      <c r="A2" s="112"/>
      <c r="B2" s="112"/>
      <c r="C2" s="112"/>
      <c r="D2" s="112"/>
      <c r="E2" s="112"/>
      <c r="F2" s="112"/>
      <c r="G2" s="112"/>
      <c r="H2" s="112"/>
      <c r="I2" s="112"/>
    </row>
    <row r="3" spans="1:9">
      <c r="A3" s="114" t="s">
        <v>3254</v>
      </c>
      <c r="B3" s="112"/>
      <c r="C3" s="112"/>
      <c r="D3" s="112"/>
      <c r="E3" s="112"/>
      <c r="F3" s="112"/>
      <c r="G3" s="112"/>
      <c r="H3" s="112"/>
      <c r="I3" s="112"/>
    </row>
    <row r="4" spans="1:9">
      <c r="A4" s="112"/>
      <c r="B4" s="112"/>
      <c r="C4" s="112"/>
      <c r="D4" s="112"/>
      <c r="E4" s="112"/>
      <c r="F4" s="112"/>
      <c r="G4" s="112"/>
      <c r="H4" s="112"/>
      <c r="I4" s="112"/>
    </row>
    <row r="5" spans="1:9" ht="31.95" customHeight="1">
      <c r="A5" s="116" t="s">
        <v>165</v>
      </c>
      <c r="B5" s="116" t="s">
        <v>1548</v>
      </c>
      <c r="C5" s="116" t="s">
        <v>3255</v>
      </c>
      <c r="D5" s="116" t="s">
        <v>3256</v>
      </c>
      <c r="E5" s="116" t="s">
        <v>3257</v>
      </c>
      <c r="F5" s="116" t="s">
        <v>3258</v>
      </c>
      <c r="G5" s="116" t="s">
        <v>3259</v>
      </c>
      <c r="H5" s="116" t="s">
        <v>3260</v>
      </c>
      <c r="I5" s="116" t="s">
        <v>3261</v>
      </c>
    </row>
    <row r="6" spans="1:9" ht="30" customHeight="1">
      <c r="A6" s="119">
        <v>46661</v>
      </c>
      <c r="B6" s="123">
        <f>SC05월손익!C15</f>
        <v>310340000</v>
      </c>
      <c r="C6" s="123">
        <f>SC05월손익!H15</f>
        <v>321201080</v>
      </c>
      <c r="D6" s="123">
        <f>SUMIFS(SC06월효과!$D$6:$D$14,SC06월효과!$C$6:$C$14,A6)</f>
        <v>29800000</v>
      </c>
      <c r="E6" s="123">
        <f>SUMIFS(SC06월효과!$J$6:$J$14,SC06월효과!$C$6:$C$14,A6)</f>
        <v>28600000</v>
      </c>
      <c r="F6" s="123">
        <f>E6-D6</f>
        <v>-1200000</v>
      </c>
      <c r="G6" s="123">
        <f>C6+F6</f>
        <v>320001080</v>
      </c>
      <c r="H6" s="123">
        <f>G6-B6</f>
        <v>9661080</v>
      </c>
      <c r="I6" s="115" t="s">
        <v>3262</v>
      </c>
    </row>
    <row r="7" spans="1:9" ht="30" customHeight="1">
      <c r="A7" s="118">
        <v>46692</v>
      </c>
      <c r="B7" s="124">
        <f>SC05월손익!C16</f>
        <v>297000000</v>
      </c>
      <c r="C7" s="124">
        <f>SC05월손익!H16</f>
        <v>309434000</v>
      </c>
      <c r="D7" s="124">
        <f>SUMIFS(SC06월효과!$D$6:$D$14,SC06월효과!$C$6:$C$14,A7)</f>
        <v>31000000</v>
      </c>
      <c r="E7" s="124">
        <f>SUMIFS(SC06월효과!$J$6:$J$14,SC06월효과!$C$6:$C$14,A7)</f>
        <v>28600000</v>
      </c>
      <c r="F7" s="124">
        <f>E7-D7</f>
        <v>-2400000</v>
      </c>
      <c r="G7" s="124">
        <f>C7+F7</f>
        <v>307034000</v>
      </c>
      <c r="H7" s="124">
        <f>G7-B7</f>
        <v>10034000</v>
      </c>
      <c r="I7" s="117" t="s">
        <v>3262</v>
      </c>
    </row>
    <row r="8" spans="1:9" ht="30" customHeight="1">
      <c r="A8" s="119">
        <v>46722</v>
      </c>
      <c r="B8" s="123">
        <f>SC05월손익!C17</f>
        <v>263650000</v>
      </c>
      <c r="C8" s="123">
        <f>SC05월손익!H17</f>
        <v>277033800</v>
      </c>
      <c r="D8" s="123">
        <f>SUMIFS(SC06월효과!$D$6:$D$14,SC06월효과!$C$6:$C$14,A8)</f>
        <v>31000000</v>
      </c>
      <c r="E8" s="123">
        <f>SUMIFS(SC06월효과!$J$6:$J$14,SC06월효과!$C$6:$C$14,A8)</f>
        <v>29800000</v>
      </c>
      <c r="F8" s="123">
        <f>E8-D8</f>
        <v>-1200000</v>
      </c>
      <c r="G8" s="123">
        <f>C8+F8</f>
        <v>275833800</v>
      </c>
      <c r="H8" s="123">
        <f>G8-B8</f>
        <v>12183800</v>
      </c>
      <c r="I8" s="115" t="s">
        <v>3262</v>
      </c>
    </row>
    <row r="9" spans="1:9" ht="30" customHeight="1">
      <c r="A9" s="118" t="s">
        <v>3263</v>
      </c>
      <c r="B9" s="124">
        <f t="shared" ref="B9:H9" si="0">SUM(B6:B8)</f>
        <v>870990000</v>
      </c>
      <c r="C9" s="124">
        <f t="shared" si="0"/>
        <v>907668880</v>
      </c>
      <c r="D9" s="124">
        <f t="shared" si="0"/>
        <v>91800000</v>
      </c>
      <c r="E9" s="124">
        <f t="shared" si="0"/>
        <v>87000000</v>
      </c>
      <c r="F9" s="124">
        <f t="shared" si="0"/>
        <v>-4800000</v>
      </c>
      <c r="G9" s="124">
        <f t="shared" si="0"/>
        <v>902868880</v>
      </c>
      <c r="H9" s="124">
        <f t="shared" si="0"/>
        <v>31878880</v>
      </c>
      <c r="I9" s="117" t="s">
        <v>3264</v>
      </c>
    </row>
  </sheetData>
  <phoneticPr fontId="30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6.69921875" customWidth="1"/>
    <col min="2" max="2" width="12.19921875" customWidth="1"/>
    <col min="3" max="3" width="16.69921875" customWidth="1"/>
    <col min="4" max="9" width="14.3984375" customWidth="1"/>
    <col min="10" max="11" width="16.69921875" customWidth="1"/>
    <col min="12" max="12" width="15.59765625" customWidth="1"/>
    <col min="13" max="13" width="18.8984375" customWidth="1"/>
    <col min="14" max="14" width="46.69921875" customWidth="1"/>
  </cols>
  <sheetData>
    <row r="1" spans="1:14" ht="19.2">
      <c r="A1" s="113" t="s">
        <v>3265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4">
      <c r="A3" s="114" t="s">
        <v>3266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</row>
    <row r="4" spans="1:14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</row>
    <row r="5" spans="1:14" ht="31.95" customHeight="1">
      <c r="A5" s="116" t="s">
        <v>3267</v>
      </c>
      <c r="B5" s="116" t="s">
        <v>1103</v>
      </c>
      <c r="C5" s="116" t="s">
        <v>165</v>
      </c>
      <c r="D5" s="116" t="s">
        <v>3268</v>
      </c>
      <c r="E5" s="116" t="s">
        <v>1567</v>
      </c>
      <c r="F5" s="116" t="s">
        <v>1568</v>
      </c>
      <c r="G5" s="116" t="s">
        <v>1569</v>
      </c>
      <c r="H5" s="116" t="s">
        <v>2482</v>
      </c>
      <c r="I5" s="116" t="s">
        <v>3269</v>
      </c>
      <c r="J5" s="116" t="s">
        <v>1572</v>
      </c>
      <c r="K5" s="116" t="s">
        <v>3270</v>
      </c>
      <c r="L5" s="116" t="s">
        <v>1574</v>
      </c>
      <c r="M5" s="116" t="s">
        <v>3271</v>
      </c>
      <c r="N5" s="116" t="s">
        <v>2520</v>
      </c>
    </row>
    <row r="6" spans="1:14" ht="30" customHeight="1">
      <c r="A6" s="115" t="s">
        <v>3272</v>
      </c>
      <c r="B6" s="115" t="s">
        <v>1738</v>
      </c>
      <c r="C6" s="119">
        <v>46661</v>
      </c>
      <c r="D6" s="123">
        <v>3000</v>
      </c>
      <c r="E6" s="123">
        <v>15000</v>
      </c>
      <c r="F6" s="123">
        <v>8000</v>
      </c>
      <c r="G6" s="123">
        <v>1000</v>
      </c>
      <c r="H6" s="123">
        <v>0</v>
      </c>
      <c r="I6" s="123">
        <v>0</v>
      </c>
      <c r="J6" s="123">
        <v>0</v>
      </c>
      <c r="K6" s="123">
        <v>0</v>
      </c>
      <c r="L6" s="123">
        <v>0</v>
      </c>
      <c r="M6" s="123">
        <v>18000000</v>
      </c>
      <c r="N6" s="115" t="s">
        <v>3273</v>
      </c>
    </row>
    <row r="7" spans="1:14" ht="30" customHeight="1">
      <c r="A7" s="117" t="s">
        <v>3274</v>
      </c>
      <c r="B7" s="117" t="s">
        <v>1740</v>
      </c>
      <c r="C7" s="118">
        <v>46661</v>
      </c>
      <c r="D7" s="124">
        <v>0</v>
      </c>
      <c r="E7" s="124">
        <v>0</v>
      </c>
      <c r="F7" s="124">
        <v>0</v>
      </c>
      <c r="G7" s="124">
        <v>0</v>
      </c>
      <c r="H7" s="124">
        <v>12</v>
      </c>
      <c r="I7" s="124">
        <v>4</v>
      </c>
      <c r="J7" s="124">
        <v>1200000</v>
      </c>
      <c r="K7" s="124">
        <v>200000</v>
      </c>
      <c r="L7" s="124">
        <v>0</v>
      </c>
      <c r="M7" s="124">
        <v>9400000</v>
      </c>
      <c r="N7" s="117" t="s">
        <v>3275</v>
      </c>
    </row>
    <row r="8" spans="1:14" ht="30" customHeight="1">
      <c r="A8" s="115" t="s">
        <v>3276</v>
      </c>
      <c r="B8" s="115" t="s">
        <v>1741</v>
      </c>
      <c r="C8" s="119">
        <v>46661</v>
      </c>
      <c r="D8" s="123">
        <v>6000</v>
      </c>
      <c r="E8" s="123">
        <v>5000</v>
      </c>
      <c r="F8" s="123">
        <v>4500</v>
      </c>
      <c r="G8" s="123">
        <v>100</v>
      </c>
      <c r="H8" s="123">
        <v>0</v>
      </c>
      <c r="I8" s="123">
        <v>0</v>
      </c>
      <c r="J8" s="123">
        <v>0</v>
      </c>
      <c r="K8" s="123">
        <v>0</v>
      </c>
      <c r="L8" s="123">
        <v>0</v>
      </c>
      <c r="M8" s="123">
        <v>2400000</v>
      </c>
      <c r="N8" s="115" t="s">
        <v>3277</v>
      </c>
    </row>
    <row r="9" spans="1:14" ht="30" customHeight="1">
      <c r="A9" s="117" t="s">
        <v>3278</v>
      </c>
      <c r="B9" s="117" t="s">
        <v>1738</v>
      </c>
      <c r="C9" s="118">
        <v>46692</v>
      </c>
      <c r="D9" s="124">
        <v>3000</v>
      </c>
      <c r="E9" s="124">
        <v>15000</v>
      </c>
      <c r="F9" s="124">
        <v>8000</v>
      </c>
      <c r="G9" s="124">
        <v>1000</v>
      </c>
      <c r="H9" s="124">
        <v>0</v>
      </c>
      <c r="I9" s="124">
        <v>0</v>
      </c>
      <c r="J9" s="124">
        <v>0</v>
      </c>
      <c r="K9" s="124">
        <v>0</v>
      </c>
      <c r="L9" s="124">
        <v>0</v>
      </c>
      <c r="M9" s="124">
        <v>18000000</v>
      </c>
      <c r="N9" s="117" t="s">
        <v>3279</v>
      </c>
    </row>
    <row r="10" spans="1:14" ht="30" customHeight="1">
      <c r="A10" s="115" t="s">
        <v>3280</v>
      </c>
      <c r="B10" s="115" t="s">
        <v>1740</v>
      </c>
      <c r="C10" s="119">
        <v>46692</v>
      </c>
      <c r="D10" s="123">
        <v>0</v>
      </c>
      <c r="E10" s="123">
        <v>0</v>
      </c>
      <c r="F10" s="123">
        <v>0</v>
      </c>
      <c r="G10" s="123">
        <v>0</v>
      </c>
      <c r="H10" s="123">
        <v>12</v>
      </c>
      <c r="I10" s="123">
        <v>3</v>
      </c>
      <c r="J10" s="123">
        <v>1200000</v>
      </c>
      <c r="K10" s="123">
        <v>200000</v>
      </c>
      <c r="L10" s="123">
        <v>0</v>
      </c>
      <c r="M10" s="123">
        <v>10600000</v>
      </c>
      <c r="N10" s="115" t="s">
        <v>3281</v>
      </c>
    </row>
    <row r="11" spans="1:14" ht="30" customHeight="1">
      <c r="A11" s="117" t="s">
        <v>3282</v>
      </c>
      <c r="B11" s="117" t="s">
        <v>1741</v>
      </c>
      <c r="C11" s="118">
        <v>46692</v>
      </c>
      <c r="D11" s="124">
        <v>6000</v>
      </c>
      <c r="E11" s="124">
        <v>5000</v>
      </c>
      <c r="F11" s="124">
        <v>4500</v>
      </c>
      <c r="G11" s="124">
        <v>100</v>
      </c>
      <c r="H11" s="124">
        <v>0</v>
      </c>
      <c r="I11" s="124">
        <v>0</v>
      </c>
      <c r="J11" s="124">
        <v>0</v>
      </c>
      <c r="K11" s="124">
        <v>0</v>
      </c>
      <c r="L11" s="124">
        <v>0</v>
      </c>
      <c r="M11" s="124">
        <v>2400000</v>
      </c>
      <c r="N11" s="117" t="s">
        <v>3283</v>
      </c>
    </row>
    <row r="12" spans="1:14" ht="30" customHeight="1">
      <c r="A12" s="115" t="s">
        <v>3284</v>
      </c>
      <c r="B12" s="115" t="s">
        <v>1738</v>
      </c>
      <c r="C12" s="119">
        <v>46722</v>
      </c>
      <c r="D12" s="123">
        <v>3000</v>
      </c>
      <c r="E12" s="123">
        <v>15000</v>
      </c>
      <c r="F12" s="123">
        <v>8000</v>
      </c>
      <c r="G12" s="123">
        <v>1000</v>
      </c>
      <c r="H12" s="123">
        <v>0</v>
      </c>
      <c r="I12" s="123">
        <v>0</v>
      </c>
      <c r="J12" s="123">
        <v>0</v>
      </c>
      <c r="K12" s="123">
        <v>0</v>
      </c>
      <c r="L12" s="123">
        <v>0</v>
      </c>
      <c r="M12" s="123">
        <v>18000000</v>
      </c>
      <c r="N12" s="115" t="s">
        <v>3285</v>
      </c>
    </row>
    <row r="13" spans="1:14" ht="30" customHeight="1">
      <c r="A13" s="117" t="s">
        <v>3286</v>
      </c>
      <c r="B13" s="117" t="s">
        <v>1740</v>
      </c>
      <c r="C13" s="118">
        <v>46722</v>
      </c>
      <c r="D13" s="124">
        <v>0</v>
      </c>
      <c r="E13" s="124">
        <v>0</v>
      </c>
      <c r="F13" s="124">
        <v>0</v>
      </c>
      <c r="G13" s="124">
        <v>0</v>
      </c>
      <c r="H13" s="124">
        <v>12</v>
      </c>
      <c r="I13" s="124">
        <v>3</v>
      </c>
      <c r="J13" s="124">
        <v>1200000</v>
      </c>
      <c r="K13" s="124">
        <v>200000</v>
      </c>
      <c r="L13" s="124">
        <v>0</v>
      </c>
      <c r="M13" s="124">
        <v>10600000</v>
      </c>
      <c r="N13" s="117" t="s">
        <v>3287</v>
      </c>
    </row>
    <row r="14" spans="1:14" ht="30" customHeight="1">
      <c r="A14" s="115" t="s">
        <v>3288</v>
      </c>
      <c r="B14" s="115" t="s">
        <v>1741</v>
      </c>
      <c r="C14" s="119">
        <v>46722</v>
      </c>
      <c r="D14" s="123">
        <v>6000</v>
      </c>
      <c r="E14" s="123">
        <v>5000</v>
      </c>
      <c r="F14" s="123">
        <v>4500</v>
      </c>
      <c r="G14" s="123">
        <v>100</v>
      </c>
      <c r="H14" s="123">
        <v>0</v>
      </c>
      <c r="I14" s="123">
        <v>0</v>
      </c>
      <c r="J14" s="123">
        <v>0</v>
      </c>
      <c r="K14" s="123">
        <v>0</v>
      </c>
      <c r="L14" s="123">
        <v>0</v>
      </c>
      <c r="M14" s="123">
        <v>2400000</v>
      </c>
      <c r="N14" s="115" t="s">
        <v>3289</v>
      </c>
    </row>
  </sheetData>
  <phoneticPr fontId="30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3.296875" customWidth="1"/>
    <col min="2" max="2" width="34.3984375" customWidth="1"/>
    <col min="3" max="3" width="22.19921875" customWidth="1"/>
    <col min="4" max="4" width="72.19921875" customWidth="1"/>
  </cols>
  <sheetData>
    <row r="1" spans="1:4" ht="19.2">
      <c r="A1" s="113" t="s">
        <v>3290</v>
      </c>
      <c r="B1" s="112"/>
      <c r="C1" s="112"/>
      <c r="D1" s="112"/>
    </row>
    <row r="2" spans="1:4">
      <c r="A2" s="112"/>
      <c r="B2" s="112"/>
      <c r="C2" s="112"/>
      <c r="D2" s="112"/>
    </row>
    <row r="3" spans="1:4">
      <c r="A3" s="114" t="s">
        <v>3291</v>
      </c>
      <c r="B3" s="112"/>
      <c r="C3" s="112"/>
      <c r="D3" s="112"/>
    </row>
    <row r="4" spans="1:4">
      <c r="A4" s="112"/>
      <c r="B4" s="112"/>
      <c r="C4" s="112"/>
      <c r="D4" s="112"/>
    </row>
    <row r="5" spans="1:4" ht="31.95" customHeight="1">
      <c r="A5" s="116" t="s">
        <v>55</v>
      </c>
      <c r="B5" s="116" t="s">
        <v>56</v>
      </c>
      <c r="C5" s="116" t="s">
        <v>3292</v>
      </c>
      <c r="D5" s="116" t="s">
        <v>3293</v>
      </c>
    </row>
    <row r="6" spans="1:4" ht="30" customHeight="1">
      <c r="A6" s="115" t="s">
        <v>576</v>
      </c>
      <c r="B6" s="115" t="s">
        <v>3231</v>
      </c>
      <c r="C6" s="115" t="s">
        <v>3294</v>
      </c>
      <c r="D6" s="115" t="s">
        <v>3295</v>
      </c>
    </row>
    <row r="7" spans="1:4" ht="30" customHeight="1">
      <c r="A7" s="117" t="s">
        <v>3296</v>
      </c>
      <c r="B7" s="118">
        <v>46661</v>
      </c>
      <c r="C7" s="117" t="s">
        <v>2050</v>
      </c>
      <c r="D7" s="117" t="s">
        <v>3297</v>
      </c>
    </row>
    <row r="8" spans="1:4" ht="30" customHeight="1">
      <c r="A8" s="115" t="s">
        <v>3298</v>
      </c>
      <c r="B8" s="119">
        <v>46752.999305555553</v>
      </c>
      <c r="C8" s="115" t="s">
        <v>3299</v>
      </c>
      <c r="D8" s="115" t="s">
        <v>3297</v>
      </c>
    </row>
    <row r="9" spans="1:4" ht="30" customHeight="1">
      <c r="A9" s="117" t="s">
        <v>3300</v>
      </c>
      <c r="B9" s="118">
        <v>46759.75</v>
      </c>
      <c r="C9" s="117" t="s">
        <v>3299</v>
      </c>
      <c r="D9" s="117" t="s">
        <v>3301</v>
      </c>
    </row>
    <row r="10" spans="1:4" ht="30" customHeight="1">
      <c r="A10" s="115" t="s">
        <v>1293</v>
      </c>
      <c r="B10" s="119">
        <v>46766.458333333336</v>
      </c>
      <c r="C10" s="115" t="s">
        <v>3299</v>
      </c>
      <c r="D10" s="115" t="s">
        <v>3302</v>
      </c>
    </row>
    <row r="11" spans="1:4" ht="30" customHeight="1">
      <c r="A11" s="117" t="s">
        <v>3303</v>
      </c>
      <c r="B11" s="117" t="s">
        <v>2677</v>
      </c>
      <c r="C11" s="117" t="s">
        <v>3294</v>
      </c>
      <c r="D11" s="117" t="s">
        <v>3304</v>
      </c>
    </row>
    <row r="12" spans="1:4" ht="30" customHeight="1">
      <c r="A12" s="115" t="s">
        <v>2098</v>
      </c>
      <c r="B12" s="115">
        <v>60</v>
      </c>
      <c r="C12" s="115" t="s">
        <v>3305</v>
      </c>
      <c r="D12" s="115" t="s">
        <v>3306</v>
      </c>
    </row>
    <row r="13" spans="1:4" ht="30" customHeight="1">
      <c r="A13" s="117" t="s">
        <v>2101</v>
      </c>
      <c r="B13" s="117">
        <v>120</v>
      </c>
      <c r="C13" s="117" t="s">
        <v>3305</v>
      </c>
      <c r="D13" s="117" t="s">
        <v>3307</v>
      </c>
    </row>
    <row r="14" spans="1:4" ht="30" customHeight="1">
      <c r="A14" s="115" t="s">
        <v>3308</v>
      </c>
      <c r="B14" s="115" t="s">
        <v>2104</v>
      </c>
      <c r="C14" s="115" t="s">
        <v>3294</v>
      </c>
      <c r="D14" s="115" t="s">
        <v>3309</v>
      </c>
    </row>
    <row r="15" spans="1:4" ht="30" customHeight="1">
      <c r="A15" s="117" t="s">
        <v>3310</v>
      </c>
      <c r="B15" s="117">
        <v>12</v>
      </c>
      <c r="C15" s="117" t="s">
        <v>3311</v>
      </c>
      <c r="D15" s="117" t="s">
        <v>3312</v>
      </c>
    </row>
    <row r="16" spans="1:4" ht="30" customHeight="1">
      <c r="A16" s="115" t="s">
        <v>3313</v>
      </c>
      <c r="B16" s="115">
        <v>1200000</v>
      </c>
      <c r="C16" s="115" t="s">
        <v>3314</v>
      </c>
      <c r="D16" s="115" t="s">
        <v>3315</v>
      </c>
    </row>
    <row r="17" spans="1:4" ht="30" customHeight="1">
      <c r="A17" s="117" t="s">
        <v>2113</v>
      </c>
      <c r="B17" s="117">
        <v>200000</v>
      </c>
      <c r="C17" s="117" t="s">
        <v>3314</v>
      </c>
      <c r="D17" s="117" t="s">
        <v>3316</v>
      </c>
    </row>
    <row r="18" spans="1:4" ht="30" customHeight="1">
      <c r="A18" s="115" t="s">
        <v>940</v>
      </c>
      <c r="B18" s="115" t="s">
        <v>3317</v>
      </c>
      <c r="C18" s="115" t="s">
        <v>3294</v>
      </c>
      <c r="D18" s="115" t="s">
        <v>3318</v>
      </c>
    </row>
    <row r="19" spans="1:4" ht="30" customHeight="1">
      <c r="A19" s="117" t="s">
        <v>3319</v>
      </c>
      <c r="B19" s="118">
        <v>46766.416666666664</v>
      </c>
      <c r="C19" s="117" t="s">
        <v>3299</v>
      </c>
      <c r="D19" s="117" t="s">
        <v>3320</v>
      </c>
    </row>
    <row r="20" spans="1:4" ht="30" customHeight="1">
      <c r="A20" s="115" t="s">
        <v>3321</v>
      </c>
      <c r="B20" s="119">
        <v>46794.416666666664</v>
      </c>
      <c r="C20" s="115" t="s">
        <v>3299</v>
      </c>
      <c r="D20" s="115" t="s">
        <v>3322</v>
      </c>
    </row>
    <row r="21" spans="1:4" ht="30" customHeight="1">
      <c r="A21" s="117" t="s">
        <v>3323</v>
      </c>
      <c r="B21" s="118">
        <v>46770.75</v>
      </c>
      <c r="C21" s="117" t="s">
        <v>3299</v>
      </c>
      <c r="D21" s="117" t="s">
        <v>3324</v>
      </c>
    </row>
    <row r="22" spans="1:4" ht="30" customHeight="1">
      <c r="A22" s="115" t="s">
        <v>3325</v>
      </c>
      <c r="B22" s="115" t="s">
        <v>3326</v>
      </c>
      <c r="C22" s="115" t="s">
        <v>3294</v>
      </c>
      <c r="D22" s="115" t="s">
        <v>3327</v>
      </c>
    </row>
  </sheetData>
  <phoneticPr fontId="30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0" customWidth="1"/>
    <col min="2" max="2" width="12.19921875" customWidth="1"/>
    <col min="3" max="3" width="16.69921875" customWidth="1"/>
    <col min="4" max="9" width="15.59765625" customWidth="1"/>
    <col min="10" max="10" width="38.8984375" customWidth="1"/>
  </cols>
  <sheetData>
    <row r="1" spans="1:10" ht="19.2">
      <c r="A1" s="113" t="s">
        <v>3328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>
      <c r="A2" s="112"/>
      <c r="B2" s="112"/>
      <c r="C2" s="112"/>
      <c r="D2" s="112"/>
      <c r="E2" s="112"/>
      <c r="F2" s="112"/>
      <c r="G2" s="112"/>
      <c r="H2" s="112"/>
      <c r="I2" s="112"/>
      <c r="J2" s="112"/>
    </row>
    <row r="3" spans="1:10">
      <c r="A3" s="114" t="s">
        <v>3329</v>
      </c>
      <c r="B3" s="112"/>
      <c r="C3" s="112"/>
      <c r="D3" s="112"/>
      <c r="E3" s="112"/>
      <c r="F3" s="112"/>
      <c r="G3" s="112"/>
      <c r="H3" s="112"/>
      <c r="I3" s="112"/>
      <c r="J3" s="112"/>
    </row>
    <row r="4" spans="1:10">
      <c r="A4" s="112"/>
      <c r="B4" s="112"/>
      <c r="C4" s="112"/>
      <c r="D4" s="112"/>
      <c r="E4" s="112"/>
      <c r="F4" s="112"/>
      <c r="G4" s="112"/>
      <c r="H4" s="112"/>
      <c r="I4" s="112"/>
      <c r="J4" s="112"/>
    </row>
    <row r="5" spans="1:10" ht="31.95" customHeight="1">
      <c r="A5" s="116" t="s">
        <v>3330</v>
      </c>
      <c r="B5" s="116" t="s">
        <v>1103</v>
      </c>
      <c r="C5" s="116" t="s">
        <v>165</v>
      </c>
      <c r="D5" s="116" t="s">
        <v>2481</v>
      </c>
      <c r="E5" s="116" t="s">
        <v>1567</v>
      </c>
      <c r="F5" s="116" t="s">
        <v>1568</v>
      </c>
      <c r="G5" s="116" t="s">
        <v>1569</v>
      </c>
      <c r="H5" s="116" t="s">
        <v>3331</v>
      </c>
      <c r="I5" s="116" t="s">
        <v>1596</v>
      </c>
      <c r="J5" s="116" t="s">
        <v>1698</v>
      </c>
    </row>
    <row r="6" spans="1:10" ht="30" customHeight="1">
      <c r="A6" s="115" t="s">
        <v>3332</v>
      </c>
      <c r="B6" s="115" t="s">
        <v>1738</v>
      </c>
      <c r="C6" s="119">
        <v>46661</v>
      </c>
      <c r="D6" s="115">
        <v>3000</v>
      </c>
      <c r="E6" s="115">
        <v>15000</v>
      </c>
      <c r="F6" s="115">
        <v>8000</v>
      </c>
      <c r="G6" s="115">
        <v>1000</v>
      </c>
      <c r="H6" s="115">
        <v>0</v>
      </c>
      <c r="I6" s="115">
        <v>0</v>
      </c>
      <c r="J6" s="115" t="s">
        <v>3333</v>
      </c>
    </row>
    <row r="7" spans="1:10" ht="30" customHeight="1">
      <c r="A7" s="117" t="s">
        <v>3334</v>
      </c>
      <c r="B7" s="117" t="s">
        <v>1741</v>
      </c>
      <c r="C7" s="118">
        <v>46661</v>
      </c>
      <c r="D7" s="117">
        <v>6000</v>
      </c>
      <c r="E7" s="117">
        <v>5000</v>
      </c>
      <c r="F7" s="117">
        <v>4500</v>
      </c>
      <c r="G7" s="117">
        <v>100</v>
      </c>
      <c r="H7" s="117">
        <v>0</v>
      </c>
      <c r="I7" s="117">
        <v>0</v>
      </c>
      <c r="J7" s="117" t="s">
        <v>3335</v>
      </c>
    </row>
    <row r="8" spans="1:10" ht="30" customHeight="1">
      <c r="A8" s="115" t="s">
        <v>3336</v>
      </c>
      <c r="B8" s="115" t="s">
        <v>1738</v>
      </c>
      <c r="C8" s="119">
        <v>46692</v>
      </c>
      <c r="D8" s="115">
        <v>3000</v>
      </c>
      <c r="E8" s="115">
        <v>15000</v>
      </c>
      <c r="F8" s="115">
        <v>8000</v>
      </c>
      <c r="G8" s="115">
        <v>1000</v>
      </c>
      <c r="H8" s="115">
        <v>0</v>
      </c>
      <c r="I8" s="115">
        <v>0</v>
      </c>
      <c r="J8" s="115" t="s">
        <v>3333</v>
      </c>
    </row>
    <row r="9" spans="1:10" ht="30" customHeight="1">
      <c r="A9" s="117" t="s">
        <v>3337</v>
      </c>
      <c r="B9" s="117" t="s">
        <v>1741</v>
      </c>
      <c r="C9" s="118">
        <v>46692</v>
      </c>
      <c r="D9" s="117">
        <v>6000</v>
      </c>
      <c r="E9" s="117">
        <v>5000</v>
      </c>
      <c r="F9" s="117">
        <v>4500</v>
      </c>
      <c r="G9" s="117">
        <v>100</v>
      </c>
      <c r="H9" s="117">
        <v>0</v>
      </c>
      <c r="I9" s="117">
        <v>0</v>
      </c>
      <c r="J9" s="117" t="s">
        <v>3335</v>
      </c>
    </row>
    <row r="10" spans="1:10" ht="30" customHeight="1">
      <c r="A10" s="115" t="s">
        <v>3338</v>
      </c>
      <c r="B10" s="115" t="s">
        <v>1738</v>
      </c>
      <c r="C10" s="119">
        <v>46722</v>
      </c>
      <c r="D10" s="115">
        <v>3000</v>
      </c>
      <c r="E10" s="115">
        <v>15000</v>
      </c>
      <c r="F10" s="115">
        <v>8000</v>
      </c>
      <c r="G10" s="115">
        <v>1000</v>
      </c>
      <c r="H10" s="115">
        <v>0</v>
      </c>
      <c r="I10" s="115">
        <v>0</v>
      </c>
      <c r="J10" s="115" t="s">
        <v>3333</v>
      </c>
    </row>
    <row r="11" spans="1:10" ht="30" customHeight="1">
      <c r="A11" s="117" t="s">
        <v>3339</v>
      </c>
      <c r="B11" s="117" t="s">
        <v>1741</v>
      </c>
      <c r="C11" s="118">
        <v>46722</v>
      </c>
      <c r="D11" s="117">
        <v>6000</v>
      </c>
      <c r="E11" s="117">
        <v>5000</v>
      </c>
      <c r="F11" s="117">
        <v>4500</v>
      </c>
      <c r="G11" s="117">
        <v>100</v>
      </c>
      <c r="H11" s="117">
        <v>0</v>
      </c>
      <c r="I11" s="117">
        <v>0</v>
      </c>
      <c r="J11" s="117" t="s">
        <v>3335</v>
      </c>
    </row>
  </sheetData>
  <phoneticPr fontId="30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7.796875" customWidth="1"/>
    <col min="2" max="2" width="12.19921875" customWidth="1"/>
    <col min="3" max="3" width="16.69921875" customWidth="1"/>
    <col min="4" max="4" width="17.796875" customWidth="1"/>
    <col min="5" max="5" width="31.09765625" customWidth="1"/>
    <col min="6" max="6" width="33.296875" customWidth="1"/>
  </cols>
  <sheetData>
    <row r="1" spans="1:6" ht="19.2">
      <c r="A1" s="113" t="s">
        <v>3340</v>
      </c>
      <c r="B1" s="112"/>
      <c r="C1" s="112"/>
      <c r="D1" s="112"/>
      <c r="E1" s="112"/>
      <c r="F1" s="112"/>
    </row>
    <row r="2" spans="1:6">
      <c r="A2" s="112"/>
      <c r="B2" s="112"/>
      <c r="C2" s="112"/>
      <c r="D2" s="112"/>
      <c r="E2" s="112"/>
      <c r="F2" s="112"/>
    </row>
    <row r="3" spans="1:6">
      <c r="A3" s="114" t="s">
        <v>3341</v>
      </c>
      <c r="B3" s="112"/>
      <c r="C3" s="112"/>
      <c r="D3" s="112"/>
      <c r="E3" s="112"/>
      <c r="F3" s="112"/>
    </row>
    <row r="4" spans="1:6">
      <c r="A4" s="112"/>
      <c r="B4" s="112"/>
      <c r="C4" s="112"/>
      <c r="D4" s="112"/>
      <c r="E4" s="112"/>
      <c r="F4" s="112"/>
    </row>
    <row r="5" spans="1:6" ht="31.95" customHeight="1">
      <c r="A5" s="116" t="s">
        <v>3342</v>
      </c>
      <c r="B5" s="116" t="s">
        <v>1103</v>
      </c>
      <c r="C5" s="116" t="s">
        <v>3343</v>
      </c>
      <c r="D5" s="116" t="s">
        <v>2226</v>
      </c>
      <c r="E5" s="116" t="s">
        <v>2</v>
      </c>
      <c r="F5" s="116" t="s">
        <v>1698</v>
      </c>
    </row>
    <row r="6" spans="1:6" ht="30" customHeight="1">
      <c r="A6" s="115" t="s">
        <v>3344</v>
      </c>
      <c r="B6" s="115" t="s">
        <v>1740</v>
      </c>
      <c r="C6" s="119">
        <v>46661</v>
      </c>
      <c r="D6" s="115">
        <v>200000</v>
      </c>
      <c r="E6" s="115" t="s">
        <v>3345</v>
      </c>
      <c r="F6" s="115" t="s">
        <v>3346</v>
      </c>
    </row>
    <row r="7" spans="1:6" ht="30" customHeight="1">
      <c r="A7" s="117" t="s">
        <v>3347</v>
      </c>
      <c r="B7" s="117" t="s">
        <v>1740</v>
      </c>
      <c r="C7" s="118">
        <v>46692</v>
      </c>
      <c r="D7" s="117">
        <v>200000</v>
      </c>
      <c r="E7" s="117" t="s">
        <v>3345</v>
      </c>
      <c r="F7" s="117" t="s">
        <v>3346</v>
      </c>
    </row>
    <row r="8" spans="1:6" ht="30" customHeight="1">
      <c r="A8" s="115" t="s">
        <v>3348</v>
      </c>
      <c r="B8" s="115" t="s">
        <v>1740</v>
      </c>
      <c r="C8" s="119">
        <v>46722</v>
      </c>
      <c r="D8" s="115">
        <v>200000</v>
      </c>
      <c r="E8" s="115" t="s">
        <v>3345</v>
      </c>
      <c r="F8" s="115" t="s">
        <v>3346</v>
      </c>
    </row>
  </sheetData>
  <phoneticPr fontId="30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R18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8.8984375" customWidth="1"/>
    <col min="2" max="2" width="16.69921875" customWidth="1"/>
    <col min="3" max="3" width="12.19921875" customWidth="1"/>
    <col min="4" max="4" width="14.3984375" customWidth="1"/>
    <col min="5" max="5" width="18.8984375" customWidth="1"/>
    <col min="6" max="7" width="12.19921875" customWidth="1"/>
    <col min="8" max="9" width="15.59765625" customWidth="1"/>
    <col min="10" max="11" width="16.69921875" customWidth="1"/>
    <col min="12" max="12" width="20" customWidth="1"/>
    <col min="13" max="13" width="16.69921875" customWidth="1"/>
    <col min="14" max="14" width="20" customWidth="1"/>
    <col min="15" max="16" width="12.19921875" customWidth="1"/>
    <col min="17" max="17" width="16.69921875" customWidth="1"/>
    <col min="18" max="18" width="22.19921875" customWidth="1"/>
  </cols>
  <sheetData>
    <row r="1" spans="1:18" ht="19.2">
      <c r="A1" s="113" t="s">
        <v>3349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spans="1:18">
      <c r="A3" s="114" t="s">
        <v>3350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spans="1:18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</row>
    <row r="5" spans="1:18" ht="31.95" customHeight="1">
      <c r="A5" s="116" t="s">
        <v>2360</v>
      </c>
      <c r="B5" s="116" t="s">
        <v>165</v>
      </c>
      <c r="C5" s="116" t="s">
        <v>190</v>
      </c>
      <c r="D5" s="116" t="s">
        <v>335</v>
      </c>
      <c r="E5" s="116" t="s">
        <v>2361</v>
      </c>
      <c r="F5" s="116" t="s">
        <v>2362</v>
      </c>
      <c r="G5" s="116" t="s">
        <v>2363</v>
      </c>
      <c r="H5" s="116" t="s">
        <v>3351</v>
      </c>
      <c r="I5" s="116" t="s">
        <v>2365</v>
      </c>
      <c r="J5" s="116" t="s">
        <v>3237</v>
      </c>
      <c r="K5" s="116" t="s">
        <v>3352</v>
      </c>
      <c r="L5" s="116" t="s">
        <v>2367</v>
      </c>
      <c r="M5" s="116" t="s">
        <v>2369</v>
      </c>
      <c r="N5" s="116" t="s">
        <v>2370</v>
      </c>
      <c r="O5" s="116" t="s">
        <v>2371</v>
      </c>
      <c r="P5" s="116" t="s">
        <v>2372</v>
      </c>
      <c r="Q5" s="116" t="s">
        <v>3353</v>
      </c>
      <c r="R5" s="116" t="s">
        <v>1698</v>
      </c>
    </row>
    <row r="6" spans="1:18" ht="34.5" customHeight="1">
      <c r="A6" s="115" t="s">
        <v>3354</v>
      </c>
      <c r="B6" s="119">
        <v>46661</v>
      </c>
      <c r="C6" s="115" t="s">
        <v>224</v>
      </c>
      <c r="D6" s="115" t="s">
        <v>341</v>
      </c>
      <c r="E6" s="115" t="s">
        <v>3355</v>
      </c>
      <c r="F6" s="123">
        <v>162</v>
      </c>
      <c r="G6" s="123">
        <v>1</v>
      </c>
      <c r="H6" s="123">
        <v>900000</v>
      </c>
      <c r="I6" s="123">
        <v>300000</v>
      </c>
      <c r="J6" s="123">
        <f t="shared" ref="J6:J37" si="0">IF(AND(ISNUMBER(H6),ISNUMBER(I6)),H6+I6,NA())</f>
        <v>1200000</v>
      </c>
      <c r="K6" s="115" t="s">
        <v>3238</v>
      </c>
      <c r="L6" s="119">
        <v>46664.527777777781</v>
      </c>
      <c r="M6" s="115" t="s">
        <v>1532</v>
      </c>
      <c r="N6" s="119">
        <v>46664.520833333336</v>
      </c>
      <c r="O6" s="115">
        <v>0</v>
      </c>
      <c r="P6" s="115">
        <v>0</v>
      </c>
      <c r="Q6" s="115" t="s">
        <v>948</v>
      </c>
      <c r="R6" s="115" t="s">
        <v>3356</v>
      </c>
    </row>
    <row r="7" spans="1:18" ht="34.5" customHeight="1">
      <c r="A7" s="117" t="s">
        <v>3357</v>
      </c>
      <c r="B7" s="118">
        <v>46661</v>
      </c>
      <c r="C7" s="117" t="s">
        <v>224</v>
      </c>
      <c r="D7" s="117" t="s">
        <v>341</v>
      </c>
      <c r="E7" s="117" t="s">
        <v>3358</v>
      </c>
      <c r="F7" s="124">
        <v>162</v>
      </c>
      <c r="G7" s="124">
        <v>1</v>
      </c>
      <c r="H7" s="124">
        <v>900000</v>
      </c>
      <c r="I7" s="124">
        <v>300000</v>
      </c>
      <c r="J7" s="124">
        <f t="shared" si="0"/>
        <v>1200000</v>
      </c>
      <c r="K7" s="117" t="s">
        <v>3242</v>
      </c>
      <c r="L7" s="118">
        <v>46668.430555555562</v>
      </c>
      <c r="M7" s="117" t="s">
        <v>1532</v>
      </c>
      <c r="N7" s="118">
        <v>46668.423611111117</v>
      </c>
      <c r="O7" s="117">
        <v>0</v>
      </c>
      <c r="P7" s="117">
        <v>0</v>
      </c>
      <c r="Q7" s="117" t="s">
        <v>948</v>
      </c>
      <c r="R7" s="117" t="s">
        <v>3359</v>
      </c>
    </row>
    <row r="8" spans="1:18" ht="34.5" customHeight="1">
      <c r="A8" s="115" t="s">
        <v>3360</v>
      </c>
      <c r="B8" s="119">
        <v>46661</v>
      </c>
      <c r="C8" s="115" t="s">
        <v>224</v>
      </c>
      <c r="D8" s="115" t="s">
        <v>341</v>
      </c>
      <c r="E8" s="115" t="s">
        <v>3361</v>
      </c>
      <c r="F8" s="123">
        <v>162</v>
      </c>
      <c r="G8" s="123">
        <v>1</v>
      </c>
      <c r="H8" s="123">
        <v>900000</v>
      </c>
      <c r="I8" s="123">
        <v>300000</v>
      </c>
      <c r="J8" s="123">
        <f t="shared" si="0"/>
        <v>1200000</v>
      </c>
      <c r="K8" s="115" t="s">
        <v>3242</v>
      </c>
      <c r="L8" s="119">
        <v>46672.430555555562</v>
      </c>
      <c r="M8" s="115" t="s">
        <v>1532</v>
      </c>
      <c r="N8" s="119">
        <v>46672.423611111117</v>
      </c>
      <c r="O8" s="115">
        <v>0</v>
      </c>
      <c r="P8" s="115">
        <v>0</v>
      </c>
      <c r="Q8" s="115" t="s">
        <v>948</v>
      </c>
      <c r="R8" s="115" t="s">
        <v>3362</v>
      </c>
    </row>
    <row r="9" spans="1:18" ht="34.5" customHeight="1">
      <c r="A9" s="117" t="s">
        <v>3363</v>
      </c>
      <c r="B9" s="118">
        <v>46661</v>
      </c>
      <c r="C9" s="117" t="s">
        <v>224</v>
      </c>
      <c r="D9" s="117" t="s">
        <v>341</v>
      </c>
      <c r="E9" s="117" t="s">
        <v>3364</v>
      </c>
      <c r="F9" s="124">
        <v>162</v>
      </c>
      <c r="G9" s="124">
        <v>1</v>
      </c>
      <c r="H9" s="124">
        <v>900000</v>
      </c>
      <c r="I9" s="124">
        <v>300000</v>
      </c>
      <c r="J9" s="124">
        <f t="shared" si="0"/>
        <v>1200000</v>
      </c>
      <c r="K9" s="117" t="s">
        <v>3242</v>
      </c>
      <c r="L9" s="118">
        <v>46678.430555555562</v>
      </c>
      <c r="M9" s="117" t="s">
        <v>1532</v>
      </c>
      <c r="N9" s="118">
        <v>46678.423611111117</v>
      </c>
      <c r="O9" s="117">
        <v>0</v>
      </c>
      <c r="P9" s="117">
        <v>0</v>
      </c>
      <c r="Q9" s="117" t="s">
        <v>948</v>
      </c>
      <c r="R9" s="117" t="s">
        <v>3365</v>
      </c>
    </row>
    <row r="10" spans="1:18" ht="34.5" customHeight="1">
      <c r="A10" s="115" t="s">
        <v>3366</v>
      </c>
      <c r="B10" s="119">
        <v>46661</v>
      </c>
      <c r="C10" s="115" t="s">
        <v>224</v>
      </c>
      <c r="D10" s="115" t="s">
        <v>341</v>
      </c>
      <c r="E10" s="115" t="s">
        <v>3367</v>
      </c>
      <c r="F10" s="123">
        <v>162</v>
      </c>
      <c r="G10" s="123">
        <v>1</v>
      </c>
      <c r="H10" s="123">
        <v>900000</v>
      </c>
      <c r="I10" s="123">
        <v>300000</v>
      </c>
      <c r="J10" s="123">
        <f t="shared" si="0"/>
        <v>1200000</v>
      </c>
      <c r="K10" s="115" t="s">
        <v>3246</v>
      </c>
      <c r="L10" s="119">
        <v>46682.527777777781</v>
      </c>
      <c r="M10" s="115" t="s">
        <v>1532</v>
      </c>
      <c r="N10" s="119">
        <v>46682.520833333336</v>
      </c>
      <c r="O10" s="115">
        <v>0</v>
      </c>
      <c r="P10" s="115">
        <v>0</v>
      </c>
      <c r="Q10" s="115" t="s">
        <v>948</v>
      </c>
      <c r="R10" s="115" t="s">
        <v>3368</v>
      </c>
    </row>
    <row r="11" spans="1:18" ht="34.5" customHeight="1">
      <c r="A11" s="117" t="s">
        <v>3369</v>
      </c>
      <c r="B11" s="118">
        <v>46661</v>
      </c>
      <c r="C11" s="117" t="s">
        <v>224</v>
      </c>
      <c r="D11" s="117" t="s">
        <v>341</v>
      </c>
      <c r="E11" s="117"/>
      <c r="F11" s="124">
        <v>162</v>
      </c>
      <c r="G11" s="124">
        <v>0</v>
      </c>
      <c r="H11" s="124">
        <v>0</v>
      </c>
      <c r="I11" s="124">
        <v>0</v>
      </c>
      <c r="J11" s="124">
        <f t="shared" si="0"/>
        <v>0</v>
      </c>
      <c r="K11" s="117" t="s">
        <v>2337</v>
      </c>
      <c r="L11" s="118">
        <v>46665.430555555562</v>
      </c>
      <c r="M11" s="117"/>
      <c r="N11" s="118"/>
      <c r="O11" s="117">
        <v>0</v>
      </c>
      <c r="P11" s="117">
        <v>0</v>
      </c>
      <c r="Q11" s="117" t="s">
        <v>948</v>
      </c>
      <c r="R11" s="117" t="s">
        <v>3346</v>
      </c>
    </row>
    <row r="12" spans="1:18" ht="34.5" customHeight="1">
      <c r="A12" s="115" t="s">
        <v>3370</v>
      </c>
      <c r="B12" s="119">
        <v>46661</v>
      </c>
      <c r="C12" s="115" t="s">
        <v>224</v>
      </c>
      <c r="D12" s="115" t="s">
        <v>341</v>
      </c>
      <c r="E12" s="115"/>
      <c r="F12" s="123">
        <v>162</v>
      </c>
      <c r="G12" s="123">
        <v>0</v>
      </c>
      <c r="H12" s="123">
        <v>0</v>
      </c>
      <c r="I12" s="123">
        <v>0</v>
      </c>
      <c r="J12" s="123">
        <f t="shared" si="0"/>
        <v>0</v>
      </c>
      <c r="K12" s="115" t="s">
        <v>2337</v>
      </c>
      <c r="L12" s="119">
        <v>46665.430555555562</v>
      </c>
      <c r="M12" s="115"/>
      <c r="N12" s="119"/>
      <c r="O12" s="115">
        <v>0</v>
      </c>
      <c r="P12" s="115">
        <v>0</v>
      </c>
      <c r="Q12" s="115" t="s">
        <v>948</v>
      </c>
      <c r="R12" s="115" t="s">
        <v>3346</v>
      </c>
    </row>
    <row r="13" spans="1:18" ht="34.5" customHeight="1">
      <c r="A13" s="117" t="s">
        <v>3371</v>
      </c>
      <c r="B13" s="118">
        <v>46661</v>
      </c>
      <c r="C13" s="117" t="s">
        <v>224</v>
      </c>
      <c r="D13" s="117" t="s">
        <v>341</v>
      </c>
      <c r="E13" s="117"/>
      <c r="F13" s="124">
        <v>162</v>
      </c>
      <c r="G13" s="124">
        <v>0</v>
      </c>
      <c r="H13" s="124">
        <v>0</v>
      </c>
      <c r="I13" s="124">
        <v>0</v>
      </c>
      <c r="J13" s="124">
        <f t="shared" si="0"/>
        <v>0</v>
      </c>
      <c r="K13" s="117" t="s">
        <v>2337</v>
      </c>
      <c r="L13" s="118">
        <v>46665.430555555562</v>
      </c>
      <c r="M13" s="117"/>
      <c r="N13" s="118"/>
      <c r="O13" s="117">
        <v>0</v>
      </c>
      <c r="P13" s="117">
        <v>0</v>
      </c>
      <c r="Q13" s="117" t="s">
        <v>948</v>
      </c>
      <c r="R13" s="117" t="s">
        <v>3346</v>
      </c>
    </row>
    <row r="14" spans="1:18" ht="34.5" customHeight="1">
      <c r="A14" s="115" t="s">
        <v>3372</v>
      </c>
      <c r="B14" s="119">
        <v>46661</v>
      </c>
      <c r="C14" s="115" t="s">
        <v>224</v>
      </c>
      <c r="D14" s="115" t="s">
        <v>341</v>
      </c>
      <c r="E14" s="115"/>
      <c r="F14" s="123">
        <v>162</v>
      </c>
      <c r="G14" s="123">
        <v>0</v>
      </c>
      <c r="H14" s="123">
        <v>0</v>
      </c>
      <c r="I14" s="123">
        <v>0</v>
      </c>
      <c r="J14" s="123">
        <f t="shared" si="0"/>
        <v>0</v>
      </c>
      <c r="K14" s="115" t="s">
        <v>2337</v>
      </c>
      <c r="L14" s="119">
        <v>46666.430555555562</v>
      </c>
      <c r="M14" s="115"/>
      <c r="N14" s="119"/>
      <c r="O14" s="115">
        <v>0</v>
      </c>
      <c r="P14" s="115">
        <v>0</v>
      </c>
      <c r="Q14" s="115" t="s">
        <v>948</v>
      </c>
      <c r="R14" s="115" t="s">
        <v>3346</v>
      </c>
    </row>
    <row r="15" spans="1:18" ht="34.5" customHeight="1">
      <c r="A15" s="117" t="s">
        <v>3373</v>
      </c>
      <c r="B15" s="118">
        <v>46661</v>
      </c>
      <c r="C15" s="117" t="s">
        <v>224</v>
      </c>
      <c r="D15" s="117" t="s">
        <v>341</v>
      </c>
      <c r="E15" s="117"/>
      <c r="F15" s="124">
        <v>162</v>
      </c>
      <c r="G15" s="124">
        <v>0</v>
      </c>
      <c r="H15" s="124">
        <v>0</v>
      </c>
      <c r="I15" s="124">
        <v>0</v>
      </c>
      <c r="J15" s="124">
        <f t="shared" si="0"/>
        <v>0</v>
      </c>
      <c r="K15" s="117" t="s">
        <v>2337</v>
      </c>
      <c r="L15" s="118">
        <v>46666.430555555562</v>
      </c>
      <c r="M15" s="117"/>
      <c r="N15" s="118"/>
      <c r="O15" s="117">
        <v>0</v>
      </c>
      <c r="P15" s="117">
        <v>0</v>
      </c>
      <c r="Q15" s="117" t="s">
        <v>948</v>
      </c>
      <c r="R15" s="117" t="s">
        <v>3346</v>
      </c>
    </row>
    <row r="16" spans="1:18" ht="34.5" customHeight="1">
      <c r="A16" s="115" t="s">
        <v>3374</v>
      </c>
      <c r="B16" s="119">
        <v>46661</v>
      </c>
      <c r="C16" s="115" t="s">
        <v>224</v>
      </c>
      <c r="D16" s="115" t="s">
        <v>341</v>
      </c>
      <c r="E16" s="115"/>
      <c r="F16" s="123">
        <v>162</v>
      </c>
      <c r="G16" s="123">
        <v>0</v>
      </c>
      <c r="H16" s="123">
        <v>0</v>
      </c>
      <c r="I16" s="123">
        <v>0</v>
      </c>
      <c r="J16" s="123">
        <f t="shared" si="0"/>
        <v>0</v>
      </c>
      <c r="K16" s="115" t="s">
        <v>2337</v>
      </c>
      <c r="L16" s="119">
        <v>46666.430555555562</v>
      </c>
      <c r="M16" s="115"/>
      <c r="N16" s="119"/>
      <c r="O16" s="115">
        <v>0</v>
      </c>
      <c r="P16" s="115">
        <v>0</v>
      </c>
      <c r="Q16" s="115" t="s">
        <v>948</v>
      </c>
      <c r="R16" s="115" t="s">
        <v>3346</v>
      </c>
    </row>
    <row r="17" spans="1:18" ht="34.5" customHeight="1">
      <c r="A17" s="117" t="s">
        <v>3375</v>
      </c>
      <c r="B17" s="118">
        <v>46661</v>
      </c>
      <c r="C17" s="117" t="s">
        <v>224</v>
      </c>
      <c r="D17" s="117" t="s">
        <v>341</v>
      </c>
      <c r="E17" s="117"/>
      <c r="F17" s="124">
        <v>162</v>
      </c>
      <c r="G17" s="124">
        <v>0</v>
      </c>
      <c r="H17" s="124">
        <v>0</v>
      </c>
      <c r="I17" s="124">
        <v>0</v>
      </c>
      <c r="J17" s="124">
        <f t="shared" si="0"/>
        <v>0</v>
      </c>
      <c r="K17" s="117" t="s">
        <v>2337</v>
      </c>
      <c r="L17" s="118">
        <v>46667.430555555562</v>
      </c>
      <c r="M17" s="117"/>
      <c r="N17" s="118"/>
      <c r="O17" s="117">
        <v>0</v>
      </c>
      <c r="P17" s="117">
        <v>0</v>
      </c>
      <c r="Q17" s="117" t="s">
        <v>948</v>
      </c>
      <c r="R17" s="117" t="s">
        <v>3346</v>
      </c>
    </row>
    <row r="18" spans="1:18" ht="34.5" customHeight="1">
      <c r="A18" s="115" t="s">
        <v>3376</v>
      </c>
      <c r="B18" s="119">
        <v>46661</v>
      </c>
      <c r="C18" s="115" t="s">
        <v>224</v>
      </c>
      <c r="D18" s="115" t="s">
        <v>341</v>
      </c>
      <c r="E18" s="115"/>
      <c r="F18" s="123">
        <v>162</v>
      </c>
      <c r="G18" s="123">
        <v>0</v>
      </c>
      <c r="H18" s="123">
        <v>0</v>
      </c>
      <c r="I18" s="123">
        <v>0</v>
      </c>
      <c r="J18" s="123">
        <f t="shared" si="0"/>
        <v>0</v>
      </c>
      <c r="K18" s="115" t="s">
        <v>2337</v>
      </c>
      <c r="L18" s="119">
        <v>46667.430555555562</v>
      </c>
      <c r="M18" s="115"/>
      <c r="N18" s="119"/>
      <c r="O18" s="115">
        <v>0</v>
      </c>
      <c r="P18" s="115">
        <v>0</v>
      </c>
      <c r="Q18" s="115" t="s">
        <v>948</v>
      </c>
      <c r="R18" s="115" t="s">
        <v>3346</v>
      </c>
    </row>
    <row r="19" spans="1:18" ht="34.5" customHeight="1">
      <c r="A19" s="117" t="s">
        <v>3377</v>
      </c>
      <c r="B19" s="118">
        <v>46661</v>
      </c>
      <c r="C19" s="117" t="s">
        <v>224</v>
      </c>
      <c r="D19" s="117" t="s">
        <v>341</v>
      </c>
      <c r="E19" s="117"/>
      <c r="F19" s="124">
        <v>162</v>
      </c>
      <c r="G19" s="124">
        <v>0</v>
      </c>
      <c r="H19" s="124">
        <v>0</v>
      </c>
      <c r="I19" s="124">
        <v>0</v>
      </c>
      <c r="J19" s="124">
        <f t="shared" si="0"/>
        <v>0</v>
      </c>
      <c r="K19" s="117" t="s">
        <v>2337</v>
      </c>
      <c r="L19" s="118">
        <v>46667.430555555562</v>
      </c>
      <c r="M19" s="117"/>
      <c r="N19" s="118"/>
      <c r="O19" s="117">
        <v>0</v>
      </c>
      <c r="P19" s="117">
        <v>0</v>
      </c>
      <c r="Q19" s="117" t="s">
        <v>948</v>
      </c>
      <c r="R19" s="117" t="s">
        <v>3346</v>
      </c>
    </row>
    <row r="20" spans="1:18" ht="34.5" customHeight="1">
      <c r="A20" s="115" t="s">
        <v>3378</v>
      </c>
      <c r="B20" s="119">
        <v>46661</v>
      </c>
      <c r="C20" s="115" t="s">
        <v>224</v>
      </c>
      <c r="D20" s="115" t="s">
        <v>341</v>
      </c>
      <c r="E20" s="115"/>
      <c r="F20" s="123">
        <v>162</v>
      </c>
      <c r="G20" s="123">
        <v>0</v>
      </c>
      <c r="H20" s="123">
        <v>0</v>
      </c>
      <c r="I20" s="123">
        <v>0</v>
      </c>
      <c r="J20" s="123">
        <f t="shared" si="0"/>
        <v>0</v>
      </c>
      <c r="K20" s="115" t="s">
        <v>2337</v>
      </c>
      <c r="L20" s="119">
        <v>46668.430555555562</v>
      </c>
      <c r="M20" s="115"/>
      <c r="N20" s="119"/>
      <c r="O20" s="115">
        <v>0</v>
      </c>
      <c r="P20" s="115">
        <v>0</v>
      </c>
      <c r="Q20" s="115" t="s">
        <v>948</v>
      </c>
      <c r="R20" s="115" t="s">
        <v>3346</v>
      </c>
    </row>
    <row r="21" spans="1:18" ht="34.5" customHeight="1">
      <c r="A21" s="117" t="s">
        <v>3379</v>
      </c>
      <c r="B21" s="118">
        <v>46661</v>
      </c>
      <c r="C21" s="117" t="s">
        <v>224</v>
      </c>
      <c r="D21" s="117" t="s">
        <v>341</v>
      </c>
      <c r="E21" s="117"/>
      <c r="F21" s="124">
        <v>162</v>
      </c>
      <c r="G21" s="124">
        <v>0</v>
      </c>
      <c r="H21" s="124">
        <v>0</v>
      </c>
      <c r="I21" s="124">
        <v>0</v>
      </c>
      <c r="J21" s="124">
        <f t="shared" si="0"/>
        <v>0</v>
      </c>
      <c r="K21" s="117" t="s">
        <v>2337</v>
      </c>
      <c r="L21" s="118">
        <v>46668.430555555562</v>
      </c>
      <c r="M21" s="117"/>
      <c r="N21" s="118"/>
      <c r="O21" s="117">
        <v>0</v>
      </c>
      <c r="P21" s="117">
        <v>0</v>
      </c>
      <c r="Q21" s="117" t="s">
        <v>948</v>
      </c>
      <c r="R21" s="117" t="s">
        <v>3346</v>
      </c>
    </row>
    <row r="22" spans="1:18" ht="34.5" customHeight="1">
      <c r="A22" s="115" t="s">
        <v>3380</v>
      </c>
      <c r="B22" s="119">
        <v>46661</v>
      </c>
      <c r="C22" s="115" t="s">
        <v>224</v>
      </c>
      <c r="D22" s="115" t="s">
        <v>341</v>
      </c>
      <c r="E22" s="115"/>
      <c r="F22" s="123">
        <v>162</v>
      </c>
      <c r="G22" s="123">
        <v>0</v>
      </c>
      <c r="H22" s="123">
        <v>0</v>
      </c>
      <c r="I22" s="123">
        <v>0</v>
      </c>
      <c r="J22" s="123">
        <f t="shared" si="0"/>
        <v>0</v>
      </c>
      <c r="K22" s="115" t="s">
        <v>2337</v>
      </c>
      <c r="L22" s="119">
        <v>46668.430555555562</v>
      </c>
      <c r="M22" s="115"/>
      <c r="N22" s="119"/>
      <c r="O22" s="115">
        <v>0</v>
      </c>
      <c r="P22" s="115">
        <v>0</v>
      </c>
      <c r="Q22" s="115" t="s">
        <v>948</v>
      </c>
      <c r="R22" s="115" t="s">
        <v>3346</v>
      </c>
    </row>
    <row r="23" spans="1:18" ht="34.5" customHeight="1">
      <c r="A23" s="117" t="s">
        <v>3381</v>
      </c>
      <c r="B23" s="118">
        <v>46661</v>
      </c>
      <c r="C23" s="117" t="s">
        <v>224</v>
      </c>
      <c r="D23" s="117" t="s">
        <v>341</v>
      </c>
      <c r="E23" s="117"/>
      <c r="F23" s="124">
        <v>162</v>
      </c>
      <c r="G23" s="124">
        <v>0</v>
      </c>
      <c r="H23" s="124">
        <v>0</v>
      </c>
      <c r="I23" s="124">
        <v>0</v>
      </c>
      <c r="J23" s="124">
        <f t="shared" si="0"/>
        <v>0</v>
      </c>
      <c r="K23" s="117" t="s">
        <v>2337</v>
      </c>
      <c r="L23" s="118">
        <v>46669.430555555562</v>
      </c>
      <c r="M23" s="117"/>
      <c r="N23" s="118"/>
      <c r="O23" s="117">
        <v>0</v>
      </c>
      <c r="P23" s="117">
        <v>0</v>
      </c>
      <c r="Q23" s="117" t="s">
        <v>948</v>
      </c>
      <c r="R23" s="117" t="s">
        <v>3346</v>
      </c>
    </row>
    <row r="24" spans="1:18" ht="34.5" customHeight="1">
      <c r="A24" s="115" t="s">
        <v>3382</v>
      </c>
      <c r="B24" s="119">
        <v>46661</v>
      </c>
      <c r="C24" s="115" t="s">
        <v>224</v>
      </c>
      <c r="D24" s="115" t="s">
        <v>341</v>
      </c>
      <c r="E24" s="115"/>
      <c r="F24" s="123">
        <v>162</v>
      </c>
      <c r="G24" s="123">
        <v>0</v>
      </c>
      <c r="H24" s="123">
        <v>0</v>
      </c>
      <c r="I24" s="123">
        <v>0</v>
      </c>
      <c r="J24" s="123">
        <f t="shared" si="0"/>
        <v>0</v>
      </c>
      <c r="K24" s="115" t="s">
        <v>2337</v>
      </c>
      <c r="L24" s="119">
        <v>46669.430555555562</v>
      </c>
      <c r="M24" s="115"/>
      <c r="N24" s="119"/>
      <c r="O24" s="115">
        <v>0</v>
      </c>
      <c r="P24" s="115">
        <v>0</v>
      </c>
      <c r="Q24" s="115" t="s">
        <v>948</v>
      </c>
      <c r="R24" s="115" t="s">
        <v>3346</v>
      </c>
    </row>
    <row r="25" spans="1:18" ht="34.5" customHeight="1">
      <c r="A25" s="117" t="s">
        <v>3383</v>
      </c>
      <c r="B25" s="118">
        <v>46661</v>
      </c>
      <c r="C25" s="117" t="s">
        <v>224</v>
      </c>
      <c r="D25" s="117" t="s">
        <v>341</v>
      </c>
      <c r="E25" s="117"/>
      <c r="F25" s="124">
        <v>162</v>
      </c>
      <c r="G25" s="124">
        <v>0</v>
      </c>
      <c r="H25" s="124">
        <v>0</v>
      </c>
      <c r="I25" s="124">
        <v>0</v>
      </c>
      <c r="J25" s="124">
        <f t="shared" si="0"/>
        <v>0</v>
      </c>
      <c r="K25" s="117" t="s">
        <v>2337</v>
      </c>
      <c r="L25" s="118">
        <v>46669.430555555562</v>
      </c>
      <c r="M25" s="117"/>
      <c r="N25" s="118"/>
      <c r="O25" s="117">
        <v>0</v>
      </c>
      <c r="P25" s="117">
        <v>0</v>
      </c>
      <c r="Q25" s="117" t="s">
        <v>948</v>
      </c>
      <c r="R25" s="117" t="s">
        <v>3346</v>
      </c>
    </row>
    <row r="26" spans="1:18" ht="34.5" customHeight="1">
      <c r="A26" s="115" t="s">
        <v>3384</v>
      </c>
      <c r="B26" s="119">
        <v>46661</v>
      </c>
      <c r="C26" s="115" t="s">
        <v>224</v>
      </c>
      <c r="D26" s="115" t="s">
        <v>341</v>
      </c>
      <c r="E26" s="115"/>
      <c r="F26" s="123">
        <v>162</v>
      </c>
      <c r="G26" s="123">
        <v>0</v>
      </c>
      <c r="H26" s="123">
        <v>0</v>
      </c>
      <c r="I26" s="123">
        <v>0</v>
      </c>
      <c r="J26" s="123">
        <f t="shared" si="0"/>
        <v>0</v>
      </c>
      <c r="K26" s="115" t="s">
        <v>2337</v>
      </c>
      <c r="L26" s="119">
        <v>46670.430555555562</v>
      </c>
      <c r="M26" s="115"/>
      <c r="N26" s="119"/>
      <c r="O26" s="115">
        <v>0</v>
      </c>
      <c r="P26" s="115">
        <v>0</v>
      </c>
      <c r="Q26" s="115" t="s">
        <v>948</v>
      </c>
      <c r="R26" s="115" t="s">
        <v>3346</v>
      </c>
    </row>
    <row r="27" spans="1:18" ht="34.5" customHeight="1">
      <c r="A27" s="117" t="s">
        <v>3385</v>
      </c>
      <c r="B27" s="118">
        <v>46661</v>
      </c>
      <c r="C27" s="117" t="s">
        <v>224</v>
      </c>
      <c r="D27" s="117" t="s">
        <v>341</v>
      </c>
      <c r="E27" s="117"/>
      <c r="F27" s="124">
        <v>162</v>
      </c>
      <c r="G27" s="124">
        <v>0</v>
      </c>
      <c r="H27" s="124">
        <v>0</v>
      </c>
      <c r="I27" s="124">
        <v>0</v>
      </c>
      <c r="J27" s="124">
        <f t="shared" si="0"/>
        <v>0</v>
      </c>
      <c r="K27" s="117" t="s">
        <v>2337</v>
      </c>
      <c r="L27" s="118">
        <v>46670.430555555562</v>
      </c>
      <c r="M27" s="117"/>
      <c r="N27" s="118"/>
      <c r="O27" s="117">
        <v>0</v>
      </c>
      <c r="P27" s="117">
        <v>0</v>
      </c>
      <c r="Q27" s="117" t="s">
        <v>948</v>
      </c>
      <c r="R27" s="117" t="s">
        <v>3346</v>
      </c>
    </row>
    <row r="28" spans="1:18" ht="34.5" customHeight="1">
      <c r="A28" s="115" t="s">
        <v>3386</v>
      </c>
      <c r="B28" s="119">
        <v>46661</v>
      </c>
      <c r="C28" s="115" t="s">
        <v>224</v>
      </c>
      <c r="D28" s="115" t="s">
        <v>341</v>
      </c>
      <c r="E28" s="115"/>
      <c r="F28" s="123">
        <v>162</v>
      </c>
      <c r="G28" s="123">
        <v>0</v>
      </c>
      <c r="H28" s="123">
        <v>0</v>
      </c>
      <c r="I28" s="123">
        <v>0</v>
      </c>
      <c r="J28" s="123">
        <f t="shared" si="0"/>
        <v>0</v>
      </c>
      <c r="K28" s="115" t="s">
        <v>2337</v>
      </c>
      <c r="L28" s="119">
        <v>46670.430555555562</v>
      </c>
      <c r="M28" s="115"/>
      <c r="N28" s="119"/>
      <c r="O28" s="115">
        <v>0</v>
      </c>
      <c r="P28" s="115">
        <v>0</v>
      </c>
      <c r="Q28" s="115" t="s">
        <v>948</v>
      </c>
      <c r="R28" s="115" t="s">
        <v>3346</v>
      </c>
    </row>
    <row r="29" spans="1:18" ht="34.5" customHeight="1">
      <c r="A29" s="117" t="s">
        <v>3387</v>
      </c>
      <c r="B29" s="118">
        <v>46661</v>
      </c>
      <c r="C29" s="117" t="s">
        <v>224</v>
      </c>
      <c r="D29" s="117" t="s">
        <v>341</v>
      </c>
      <c r="E29" s="117"/>
      <c r="F29" s="124">
        <v>162</v>
      </c>
      <c r="G29" s="124">
        <v>0</v>
      </c>
      <c r="H29" s="124">
        <v>0</v>
      </c>
      <c r="I29" s="124">
        <v>0</v>
      </c>
      <c r="J29" s="124">
        <f t="shared" si="0"/>
        <v>0</v>
      </c>
      <c r="K29" s="117" t="s">
        <v>2337</v>
      </c>
      <c r="L29" s="118">
        <v>46671.430555555562</v>
      </c>
      <c r="M29" s="117"/>
      <c r="N29" s="118"/>
      <c r="O29" s="117">
        <v>0</v>
      </c>
      <c r="P29" s="117">
        <v>0</v>
      </c>
      <c r="Q29" s="117" t="s">
        <v>948</v>
      </c>
      <c r="R29" s="117" t="s">
        <v>3346</v>
      </c>
    </row>
    <row r="30" spans="1:18" ht="34.5" customHeight="1">
      <c r="A30" s="115" t="s">
        <v>3388</v>
      </c>
      <c r="B30" s="119">
        <v>46661</v>
      </c>
      <c r="C30" s="115" t="s">
        <v>224</v>
      </c>
      <c r="D30" s="115" t="s">
        <v>341</v>
      </c>
      <c r="E30" s="115"/>
      <c r="F30" s="123">
        <v>162</v>
      </c>
      <c r="G30" s="123">
        <v>0</v>
      </c>
      <c r="H30" s="123">
        <v>0</v>
      </c>
      <c r="I30" s="123">
        <v>0</v>
      </c>
      <c r="J30" s="123">
        <f t="shared" si="0"/>
        <v>0</v>
      </c>
      <c r="K30" s="115" t="s">
        <v>2337</v>
      </c>
      <c r="L30" s="119">
        <v>46671.430555555562</v>
      </c>
      <c r="M30" s="115"/>
      <c r="N30" s="119"/>
      <c r="O30" s="115">
        <v>0</v>
      </c>
      <c r="P30" s="115">
        <v>0</v>
      </c>
      <c r="Q30" s="115" t="s">
        <v>948</v>
      </c>
      <c r="R30" s="115" t="s">
        <v>3346</v>
      </c>
    </row>
    <row r="31" spans="1:18" ht="34.5" customHeight="1">
      <c r="A31" s="117" t="s">
        <v>3389</v>
      </c>
      <c r="B31" s="118">
        <v>46661</v>
      </c>
      <c r="C31" s="117" t="s">
        <v>224</v>
      </c>
      <c r="D31" s="117" t="s">
        <v>341</v>
      </c>
      <c r="E31" s="117"/>
      <c r="F31" s="124">
        <v>162</v>
      </c>
      <c r="G31" s="124">
        <v>0</v>
      </c>
      <c r="H31" s="124">
        <v>0</v>
      </c>
      <c r="I31" s="124">
        <v>0</v>
      </c>
      <c r="J31" s="124">
        <f t="shared" si="0"/>
        <v>0</v>
      </c>
      <c r="K31" s="117" t="s">
        <v>2337</v>
      </c>
      <c r="L31" s="118">
        <v>46671.430555555562</v>
      </c>
      <c r="M31" s="117"/>
      <c r="N31" s="118"/>
      <c r="O31" s="117">
        <v>0</v>
      </c>
      <c r="P31" s="117">
        <v>0</v>
      </c>
      <c r="Q31" s="117" t="s">
        <v>948</v>
      </c>
      <c r="R31" s="117" t="s">
        <v>3346</v>
      </c>
    </row>
    <row r="32" spans="1:18" ht="34.5" customHeight="1">
      <c r="A32" s="115" t="s">
        <v>3390</v>
      </c>
      <c r="B32" s="119">
        <v>46661</v>
      </c>
      <c r="C32" s="115" t="s">
        <v>224</v>
      </c>
      <c r="D32" s="115" t="s">
        <v>341</v>
      </c>
      <c r="E32" s="115"/>
      <c r="F32" s="123">
        <v>162</v>
      </c>
      <c r="G32" s="123">
        <v>0</v>
      </c>
      <c r="H32" s="123">
        <v>0</v>
      </c>
      <c r="I32" s="123">
        <v>0</v>
      </c>
      <c r="J32" s="123">
        <f t="shared" si="0"/>
        <v>0</v>
      </c>
      <c r="K32" s="115" t="s">
        <v>2337</v>
      </c>
      <c r="L32" s="119">
        <v>46672.430555555562</v>
      </c>
      <c r="M32" s="115"/>
      <c r="N32" s="119"/>
      <c r="O32" s="115">
        <v>0</v>
      </c>
      <c r="P32" s="115">
        <v>0</v>
      </c>
      <c r="Q32" s="115" t="s">
        <v>948</v>
      </c>
      <c r="R32" s="115" t="s">
        <v>3346</v>
      </c>
    </row>
    <row r="33" spans="1:18" ht="34.5" customHeight="1">
      <c r="A33" s="117" t="s">
        <v>3391</v>
      </c>
      <c r="B33" s="118">
        <v>46661</v>
      </c>
      <c r="C33" s="117" t="s">
        <v>224</v>
      </c>
      <c r="D33" s="117" t="s">
        <v>341</v>
      </c>
      <c r="E33" s="117"/>
      <c r="F33" s="124">
        <v>162</v>
      </c>
      <c r="G33" s="124">
        <v>0</v>
      </c>
      <c r="H33" s="124">
        <v>0</v>
      </c>
      <c r="I33" s="124">
        <v>0</v>
      </c>
      <c r="J33" s="124">
        <f t="shared" si="0"/>
        <v>0</v>
      </c>
      <c r="K33" s="117" t="s">
        <v>2337</v>
      </c>
      <c r="L33" s="118">
        <v>46672.430555555562</v>
      </c>
      <c r="M33" s="117"/>
      <c r="N33" s="118"/>
      <c r="O33" s="117">
        <v>0</v>
      </c>
      <c r="P33" s="117">
        <v>0</v>
      </c>
      <c r="Q33" s="117" t="s">
        <v>948</v>
      </c>
      <c r="R33" s="117" t="s">
        <v>3346</v>
      </c>
    </row>
    <row r="34" spans="1:18" ht="34.5" customHeight="1">
      <c r="A34" s="115" t="s">
        <v>3392</v>
      </c>
      <c r="B34" s="119">
        <v>46661</v>
      </c>
      <c r="C34" s="115" t="s">
        <v>224</v>
      </c>
      <c r="D34" s="115" t="s">
        <v>341</v>
      </c>
      <c r="E34" s="115"/>
      <c r="F34" s="123">
        <v>162</v>
      </c>
      <c r="G34" s="123">
        <v>0</v>
      </c>
      <c r="H34" s="123">
        <v>0</v>
      </c>
      <c r="I34" s="123">
        <v>0</v>
      </c>
      <c r="J34" s="123">
        <f t="shared" si="0"/>
        <v>0</v>
      </c>
      <c r="K34" s="115" t="s">
        <v>2337</v>
      </c>
      <c r="L34" s="119">
        <v>46672.430555555562</v>
      </c>
      <c r="M34" s="115"/>
      <c r="N34" s="119"/>
      <c r="O34" s="115">
        <v>0</v>
      </c>
      <c r="P34" s="115">
        <v>0</v>
      </c>
      <c r="Q34" s="115" t="s">
        <v>948</v>
      </c>
      <c r="R34" s="115" t="s">
        <v>3346</v>
      </c>
    </row>
    <row r="35" spans="1:18" ht="34.5" customHeight="1">
      <c r="A35" s="117" t="s">
        <v>3393</v>
      </c>
      <c r="B35" s="118">
        <v>46661</v>
      </c>
      <c r="C35" s="117" t="s">
        <v>224</v>
      </c>
      <c r="D35" s="117" t="s">
        <v>341</v>
      </c>
      <c r="E35" s="117"/>
      <c r="F35" s="124">
        <v>162</v>
      </c>
      <c r="G35" s="124">
        <v>0</v>
      </c>
      <c r="H35" s="124">
        <v>0</v>
      </c>
      <c r="I35" s="124">
        <v>0</v>
      </c>
      <c r="J35" s="124">
        <f t="shared" si="0"/>
        <v>0</v>
      </c>
      <c r="K35" s="117" t="s">
        <v>2337</v>
      </c>
      <c r="L35" s="118">
        <v>46673.430555555562</v>
      </c>
      <c r="M35" s="117"/>
      <c r="N35" s="118"/>
      <c r="O35" s="117">
        <v>0</v>
      </c>
      <c r="P35" s="117">
        <v>0</v>
      </c>
      <c r="Q35" s="117" t="s">
        <v>948</v>
      </c>
      <c r="R35" s="117" t="s">
        <v>3346</v>
      </c>
    </row>
    <row r="36" spans="1:18" ht="34.5" customHeight="1">
      <c r="A36" s="115" t="s">
        <v>3394</v>
      </c>
      <c r="B36" s="119">
        <v>46661</v>
      </c>
      <c r="C36" s="115" t="s">
        <v>224</v>
      </c>
      <c r="D36" s="115" t="s">
        <v>341</v>
      </c>
      <c r="E36" s="115"/>
      <c r="F36" s="123">
        <v>161</v>
      </c>
      <c r="G36" s="123">
        <v>0</v>
      </c>
      <c r="H36" s="123">
        <v>0</v>
      </c>
      <c r="I36" s="123">
        <v>0</v>
      </c>
      <c r="J36" s="123">
        <f t="shared" si="0"/>
        <v>0</v>
      </c>
      <c r="K36" s="115" t="s">
        <v>2337</v>
      </c>
      <c r="L36" s="119">
        <v>46673.430555555562</v>
      </c>
      <c r="M36" s="115"/>
      <c r="N36" s="119"/>
      <c r="O36" s="115">
        <v>0</v>
      </c>
      <c r="P36" s="115">
        <v>0</v>
      </c>
      <c r="Q36" s="115" t="s">
        <v>948</v>
      </c>
      <c r="R36" s="115" t="s">
        <v>3346</v>
      </c>
    </row>
    <row r="37" spans="1:18" ht="34.5" customHeight="1">
      <c r="A37" s="117" t="s">
        <v>3395</v>
      </c>
      <c r="B37" s="118">
        <v>46661</v>
      </c>
      <c r="C37" s="117" t="s">
        <v>224</v>
      </c>
      <c r="D37" s="117" t="s">
        <v>341</v>
      </c>
      <c r="E37" s="117"/>
      <c r="F37" s="124">
        <v>161</v>
      </c>
      <c r="G37" s="124">
        <v>0</v>
      </c>
      <c r="H37" s="124">
        <v>0</v>
      </c>
      <c r="I37" s="124">
        <v>0</v>
      </c>
      <c r="J37" s="124">
        <f t="shared" si="0"/>
        <v>0</v>
      </c>
      <c r="K37" s="117" t="s">
        <v>2337</v>
      </c>
      <c r="L37" s="118">
        <v>46673.430555555562</v>
      </c>
      <c r="M37" s="117"/>
      <c r="N37" s="118"/>
      <c r="O37" s="117">
        <v>0</v>
      </c>
      <c r="P37" s="117">
        <v>0</v>
      </c>
      <c r="Q37" s="117" t="s">
        <v>948</v>
      </c>
      <c r="R37" s="117" t="s">
        <v>3346</v>
      </c>
    </row>
    <row r="38" spans="1:18" ht="34.5" customHeight="1">
      <c r="A38" s="115" t="s">
        <v>3396</v>
      </c>
      <c r="B38" s="119">
        <v>46661</v>
      </c>
      <c r="C38" s="115" t="s">
        <v>224</v>
      </c>
      <c r="D38" s="115" t="s">
        <v>341</v>
      </c>
      <c r="E38" s="115"/>
      <c r="F38" s="123">
        <v>161</v>
      </c>
      <c r="G38" s="123">
        <v>0</v>
      </c>
      <c r="H38" s="123">
        <v>0</v>
      </c>
      <c r="I38" s="123">
        <v>0</v>
      </c>
      <c r="J38" s="123">
        <f t="shared" ref="J38:J69" si="1">IF(AND(ISNUMBER(H38),ISNUMBER(I38)),H38+I38,NA())</f>
        <v>0</v>
      </c>
      <c r="K38" s="115" t="s">
        <v>2337</v>
      </c>
      <c r="L38" s="119">
        <v>46674.430555555562</v>
      </c>
      <c r="M38" s="115"/>
      <c r="N38" s="119"/>
      <c r="O38" s="115">
        <v>0</v>
      </c>
      <c r="P38" s="115">
        <v>0</v>
      </c>
      <c r="Q38" s="115" t="s">
        <v>948</v>
      </c>
      <c r="R38" s="115" t="s">
        <v>3346</v>
      </c>
    </row>
    <row r="39" spans="1:18" ht="34.5" customHeight="1">
      <c r="A39" s="117" t="s">
        <v>3397</v>
      </c>
      <c r="B39" s="118">
        <v>46661</v>
      </c>
      <c r="C39" s="117" t="s">
        <v>224</v>
      </c>
      <c r="D39" s="117" t="s">
        <v>341</v>
      </c>
      <c r="E39" s="117"/>
      <c r="F39" s="124">
        <v>161</v>
      </c>
      <c r="G39" s="124">
        <v>0</v>
      </c>
      <c r="H39" s="124">
        <v>0</v>
      </c>
      <c r="I39" s="124">
        <v>0</v>
      </c>
      <c r="J39" s="124">
        <f t="shared" si="1"/>
        <v>0</v>
      </c>
      <c r="K39" s="117" t="s">
        <v>2337</v>
      </c>
      <c r="L39" s="118">
        <v>46674.430555555562</v>
      </c>
      <c r="M39" s="117"/>
      <c r="N39" s="118"/>
      <c r="O39" s="117">
        <v>0</v>
      </c>
      <c r="P39" s="117">
        <v>0</v>
      </c>
      <c r="Q39" s="117" t="s">
        <v>948</v>
      </c>
      <c r="R39" s="117" t="s">
        <v>3346</v>
      </c>
    </row>
    <row r="40" spans="1:18" ht="34.5" customHeight="1">
      <c r="A40" s="115" t="s">
        <v>3398</v>
      </c>
      <c r="B40" s="119">
        <v>46661</v>
      </c>
      <c r="C40" s="115" t="s">
        <v>224</v>
      </c>
      <c r="D40" s="115" t="s">
        <v>341</v>
      </c>
      <c r="E40" s="115"/>
      <c r="F40" s="123">
        <v>161</v>
      </c>
      <c r="G40" s="123">
        <v>0</v>
      </c>
      <c r="H40" s="123">
        <v>0</v>
      </c>
      <c r="I40" s="123">
        <v>0</v>
      </c>
      <c r="J40" s="123">
        <f t="shared" si="1"/>
        <v>0</v>
      </c>
      <c r="K40" s="115" t="s">
        <v>2337</v>
      </c>
      <c r="L40" s="119">
        <v>46674.430555555562</v>
      </c>
      <c r="M40" s="115"/>
      <c r="N40" s="119"/>
      <c r="O40" s="115">
        <v>0</v>
      </c>
      <c r="P40" s="115">
        <v>0</v>
      </c>
      <c r="Q40" s="115" t="s">
        <v>948</v>
      </c>
      <c r="R40" s="115" t="s">
        <v>3346</v>
      </c>
    </row>
    <row r="41" spans="1:18" ht="34.5" customHeight="1">
      <c r="A41" s="117" t="s">
        <v>3399</v>
      </c>
      <c r="B41" s="118">
        <v>46661</v>
      </c>
      <c r="C41" s="117" t="s">
        <v>224</v>
      </c>
      <c r="D41" s="117" t="s">
        <v>341</v>
      </c>
      <c r="E41" s="117"/>
      <c r="F41" s="124">
        <v>161</v>
      </c>
      <c r="G41" s="124">
        <v>0</v>
      </c>
      <c r="H41" s="124">
        <v>0</v>
      </c>
      <c r="I41" s="124">
        <v>0</v>
      </c>
      <c r="J41" s="124">
        <f t="shared" si="1"/>
        <v>0</v>
      </c>
      <c r="K41" s="117" t="s">
        <v>2337</v>
      </c>
      <c r="L41" s="118">
        <v>46675.430555555562</v>
      </c>
      <c r="M41" s="117"/>
      <c r="N41" s="118"/>
      <c r="O41" s="117">
        <v>0</v>
      </c>
      <c r="P41" s="117">
        <v>0</v>
      </c>
      <c r="Q41" s="117" t="s">
        <v>948</v>
      </c>
      <c r="R41" s="117" t="s">
        <v>3346</v>
      </c>
    </row>
    <row r="42" spans="1:18" ht="34.5" customHeight="1">
      <c r="A42" s="115" t="s">
        <v>3400</v>
      </c>
      <c r="B42" s="119">
        <v>46661</v>
      </c>
      <c r="C42" s="115" t="s">
        <v>224</v>
      </c>
      <c r="D42" s="115" t="s">
        <v>341</v>
      </c>
      <c r="E42" s="115"/>
      <c r="F42" s="123">
        <v>161</v>
      </c>
      <c r="G42" s="123">
        <v>0</v>
      </c>
      <c r="H42" s="123">
        <v>0</v>
      </c>
      <c r="I42" s="123">
        <v>0</v>
      </c>
      <c r="J42" s="123">
        <f t="shared" si="1"/>
        <v>0</v>
      </c>
      <c r="K42" s="115" t="s">
        <v>2337</v>
      </c>
      <c r="L42" s="119">
        <v>46675.430555555562</v>
      </c>
      <c r="M42" s="115"/>
      <c r="N42" s="119"/>
      <c r="O42" s="115">
        <v>0</v>
      </c>
      <c r="P42" s="115">
        <v>0</v>
      </c>
      <c r="Q42" s="115" t="s">
        <v>948</v>
      </c>
      <c r="R42" s="115" t="s">
        <v>3346</v>
      </c>
    </row>
    <row r="43" spans="1:18" ht="34.5" customHeight="1">
      <c r="A43" s="117" t="s">
        <v>3401</v>
      </c>
      <c r="B43" s="118">
        <v>46661</v>
      </c>
      <c r="C43" s="117" t="s">
        <v>224</v>
      </c>
      <c r="D43" s="117" t="s">
        <v>341</v>
      </c>
      <c r="E43" s="117"/>
      <c r="F43" s="124">
        <v>161</v>
      </c>
      <c r="G43" s="124">
        <v>0</v>
      </c>
      <c r="H43" s="124">
        <v>0</v>
      </c>
      <c r="I43" s="124">
        <v>0</v>
      </c>
      <c r="J43" s="124">
        <f t="shared" si="1"/>
        <v>0</v>
      </c>
      <c r="K43" s="117" t="s">
        <v>2337</v>
      </c>
      <c r="L43" s="118">
        <v>46675.430555555562</v>
      </c>
      <c r="M43" s="117"/>
      <c r="N43" s="118"/>
      <c r="O43" s="117">
        <v>0</v>
      </c>
      <c r="P43" s="117">
        <v>0</v>
      </c>
      <c r="Q43" s="117" t="s">
        <v>948</v>
      </c>
      <c r="R43" s="117" t="s">
        <v>3346</v>
      </c>
    </row>
    <row r="44" spans="1:18" ht="34.5" customHeight="1">
      <c r="A44" s="115" t="s">
        <v>3402</v>
      </c>
      <c r="B44" s="119">
        <v>46661</v>
      </c>
      <c r="C44" s="115" t="s">
        <v>224</v>
      </c>
      <c r="D44" s="115" t="s">
        <v>341</v>
      </c>
      <c r="E44" s="115"/>
      <c r="F44" s="123">
        <v>161</v>
      </c>
      <c r="G44" s="123">
        <v>0</v>
      </c>
      <c r="H44" s="123">
        <v>0</v>
      </c>
      <c r="I44" s="123">
        <v>0</v>
      </c>
      <c r="J44" s="123">
        <f t="shared" si="1"/>
        <v>0</v>
      </c>
      <c r="K44" s="115" t="s">
        <v>2337</v>
      </c>
      <c r="L44" s="119">
        <v>46676.430555555562</v>
      </c>
      <c r="M44" s="115"/>
      <c r="N44" s="119"/>
      <c r="O44" s="115">
        <v>0</v>
      </c>
      <c r="P44" s="115">
        <v>0</v>
      </c>
      <c r="Q44" s="115" t="s">
        <v>948</v>
      </c>
      <c r="R44" s="115" t="s">
        <v>3346</v>
      </c>
    </row>
    <row r="45" spans="1:18" ht="34.5" customHeight="1">
      <c r="A45" s="117" t="s">
        <v>3403</v>
      </c>
      <c r="B45" s="118">
        <v>46661</v>
      </c>
      <c r="C45" s="117" t="s">
        <v>224</v>
      </c>
      <c r="D45" s="117" t="s">
        <v>341</v>
      </c>
      <c r="E45" s="117"/>
      <c r="F45" s="124">
        <v>161</v>
      </c>
      <c r="G45" s="124">
        <v>0</v>
      </c>
      <c r="H45" s="124">
        <v>0</v>
      </c>
      <c r="I45" s="124">
        <v>0</v>
      </c>
      <c r="J45" s="124">
        <f t="shared" si="1"/>
        <v>0</v>
      </c>
      <c r="K45" s="117" t="s">
        <v>2337</v>
      </c>
      <c r="L45" s="118">
        <v>46676.430555555562</v>
      </c>
      <c r="M45" s="117"/>
      <c r="N45" s="118"/>
      <c r="O45" s="117">
        <v>0</v>
      </c>
      <c r="P45" s="117">
        <v>0</v>
      </c>
      <c r="Q45" s="117" t="s">
        <v>948</v>
      </c>
      <c r="R45" s="117" t="s">
        <v>3346</v>
      </c>
    </row>
    <row r="46" spans="1:18" ht="34.5" customHeight="1">
      <c r="A46" s="115" t="s">
        <v>3404</v>
      </c>
      <c r="B46" s="119">
        <v>46661</v>
      </c>
      <c r="C46" s="115" t="s">
        <v>224</v>
      </c>
      <c r="D46" s="115" t="s">
        <v>341</v>
      </c>
      <c r="E46" s="115"/>
      <c r="F46" s="123">
        <v>161</v>
      </c>
      <c r="G46" s="123">
        <v>0</v>
      </c>
      <c r="H46" s="123">
        <v>0</v>
      </c>
      <c r="I46" s="123">
        <v>0</v>
      </c>
      <c r="J46" s="123">
        <f t="shared" si="1"/>
        <v>0</v>
      </c>
      <c r="K46" s="115" t="s">
        <v>2337</v>
      </c>
      <c r="L46" s="119">
        <v>46676.430555555562</v>
      </c>
      <c r="M46" s="115"/>
      <c r="N46" s="119"/>
      <c r="O46" s="115">
        <v>0</v>
      </c>
      <c r="P46" s="115">
        <v>0</v>
      </c>
      <c r="Q46" s="115" t="s">
        <v>948</v>
      </c>
      <c r="R46" s="115" t="s">
        <v>3346</v>
      </c>
    </row>
    <row r="47" spans="1:18" ht="34.5" customHeight="1">
      <c r="A47" s="117" t="s">
        <v>3405</v>
      </c>
      <c r="B47" s="118">
        <v>46661</v>
      </c>
      <c r="C47" s="117" t="s">
        <v>224</v>
      </c>
      <c r="D47" s="117" t="s">
        <v>341</v>
      </c>
      <c r="E47" s="117"/>
      <c r="F47" s="124">
        <v>161</v>
      </c>
      <c r="G47" s="124">
        <v>0</v>
      </c>
      <c r="H47" s="124">
        <v>0</v>
      </c>
      <c r="I47" s="124">
        <v>0</v>
      </c>
      <c r="J47" s="124">
        <f t="shared" si="1"/>
        <v>0</v>
      </c>
      <c r="K47" s="117" t="s">
        <v>2337</v>
      </c>
      <c r="L47" s="118">
        <v>46677.430555555562</v>
      </c>
      <c r="M47" s="117"/>
      <c r="N47" s="118"/>
      <c r="O47" s="117">
        <v>0</v>
      </c>
      <c r="P47" s="117">
        <v>0</v>
      </c>
      <c r="Q47" s="117" t="s">
        <v>948</v>
      </c>
      <c r="R47" s="117" t="s">
        <v>3346</v>
      </c>
    </row>
    <row r="48" spans="1:18" ht="34.5" customHeight="1">
      <c r="A48" s="115" t="s">
        <v>3406</v>
      </c>
      <c r="B48" s="119">
        <v>46661</v>
      </c>
      <c r="C48" s="115" t="s">
        <v>224</v>
      </c>
      <c r="D48" s="115" t="s">
        <v>341</v>
      </c>
      <c r="E48" s="115"/>
      <c r="F48" s="123">
        <v>161</v>
      </c>
      <c r="G48" s="123">
        <v>0</v>
      </c>
      <c r="H48" s="123">
        <v>0</v>
      </c>
      <c r="I48" s="123">
        <v>0</v>
      </c>
      <c r="J48" s="123">
        <f t="shared" si="1"/>
        <v>0</v>
      </c>
      <c r="K48" s="115" t="s">
        <v>2337</v>
      </c>
      <c r="L48" s="119">
        <v>46677.430555555562</v>
      </c>
      <c r="M48" s="115"/>
      <c r="N48" s="119"/>
      <c r="O48" s="115">
        <v>0</v>
      </c>
      <c r="P48" s="115">
        <v>0</v>
      </c>
      <c r="Q48" s="115" t="s">
        <v>948</v>
      </c>
      <c r="R48" s="115" t="s">
        <v>3346</v>
      </c>
    </row>
    <row r="49" spans="1:18" ht="34.5" customHeight="1">
      <c r="A49" s="117" t="s">
        <v>3407</v>
      </c>
      <c r="B49" s="118">
        <v>46661</v>
      </c>
      <c r="C49" s="117" t="s">
        <v>224</v>
      </c>
      <c r="D49" s="117" t="s">
        <v>341</v>
      </c>
      <c r="E49" s="117"/>
      <c r="F49" s="124">
        <v>161</v>
      </c>
      <c r="G49" s="124">
        <v>0</v>
      </c>
      <c r="H49" s="124">
        <v>0</v>
      </c>
      <c r="I49" s="124">
        <v>0</v>
      </c>
      <c r="J49" s="124">
        <f t="shared" si="1"/>
        <v>0</v>
      </c>
      <c r="K49" s="117" t="s">
        <v>2337</v>
      </c>
      <c r="L49" s="118">
        <v>46677.430555555562</v>
      </c>
      <c r="M49" s="117"/>
      <c r="N49" s="118"/>
      <c r="O49" s="117">
        <v>0</v>
      </c>
      <c r="P49" s="117">
        <v>0</v>
      </c>
      <c r="Q49" s="117" t="s">
        <v>948</v>
      </c>
      <c r="R49" s="117" t="s">
        <v>3346</v>
      </c>
    </row>
    <row r="50" spans="1:18" ht="34.5" customHeight="1">
      <c r="A50" s="115" t="s">
        <v>3408</v>
      </c>
      <c r="B50" s="119">
        <v>46661</v>
      </c>
      <c r="C50" s="115" t="s">
        <v>224</v>
      </c>
      <c r="D50" s="115" t="s">
        <v>341</v>
      </c>
      <c r="E50" s="115"/>
      <c r="F50" s="123">
        <v>161</v>
      </c>
      <c r="G50" s="123">
        <v>0</v>
      </c>
      <c r="H50" s="123">
        <v>0</v>
      </c>
      <c r="I50" s="123">
        <v>0</v>
      </c>
      <c r="J50" s="123">
        <f t="shared" si="1"/>
        <v>0</v>
      </c>
      <c r="K50" s="115" t="s">
        <v>2337</v>
      </c>
      <c r="L50" s="119">
        <v>46678.430555555562</v>
      </c>
      <c r="M50" s="115"/>
      <c r="N50" s="119"/>
      <c r="O50" s="115">
        <v>0</v>
      </c>
      <c r="P50" s="115">
        <v>0</v>
      </c>
      <c r="Q50" s="115" t="s">
        <v>948</v>
      </c>
      <c r="R50" s="115" t="s">
        <v>3346</v>
      </c>
    </row>
    <row r="51" spans="1:18" ht="34.5" customHeight="1">
      <c r="A51" s="117" t="s">
        <v>3409</v>
      </c>
      <c r="B51" s="118">
        <v>46661</v>
      </c>
      <c r="C51" s="117" t="s">
        <v>224</v>
      </c>
      <c r="D51" s="117" t="s">
        <v>341</v>
      </c>
      <c r="E51" s="117"/>
      <c r="F51" s="124">
        <v>161</v>
      </c>
      <c r="G51" s="124">
        <v>0</v>
      </c>
      <c r="H51" s="124">
        <v>0</v>
      </c>
      <c r="I51" s="124">
        <v>0</v>
      </c>
      <c r="J51" s="124">
        <f t="shared" si="1"/>
        <v>0</v>
      </c>
      <c r="K51" s="117" t="s">
        <v>2337</v>
      </c>
      <c r="L51" s="118">
        <v>46678.430555555562</v>
      </c>
      <c r="M51" s="117"/>
      <c r="N51" s="118"/>
      <c r="O51" s="117">
        <v>0</v>
      </c>
      <c r="P51" s="117">
        <v>0</v>
      </c>
      <c r="Q51" s="117" t="s">
        <v>948</v>
      </c>
      <c r="R51" s="117" t="s">
        <v>3346</v>
      </c>
    </row>
    <row r="52" spans="1:18" ht="34.5" customHeight="1">
      <c r="A52" s="115" t="s">
        <v>3410</v>
      </c>
      <c r="B52" s="119">
        <v>46661</v>
      </c>
      <c r="C52" s="115" t="s">
        <v>224</v>
      </c>
      <c r="D52" s="115" t="s">
        <v>341</v>
      </c>
      <c r="E52" s="115"/>
      <c r="F52" s="123">
        <v>161</v>
      </c>
      <c r="G52" s="123">
        <v>0</v>
      </c>
      <c r="H52" s="123">
        <v>0</v>
      </c>
      <c r="I52" s="123">
        <v>0</v>
      </c>
      <c r="J52" s="123">
        <f t="shared" si="1"/>
        <v>0</v>
      </c>
      <c r="K52" s="115" t="s">
        <v>2337</v>
      </c>
      <c r="L52" s="119">
        <v>46678.430555555562</v>
      </c>
      <c r="M52" s="115"/>
      <c r="N52" s="119"/>
      <c r="O52" s="115">
        <v>0</v>
      </c>
      <c r="P52" s="115">
        <v>0</v>
      </c>
      <c r="Q52" s="115" t="s">
        <v>948</v>
      </c>
      <c r="R52" s="115" t="s">
        <v>3346</v>
      </c>
    </row>
    <row r="53" spans="1:18" ht="34.5" customHeight="1">
      <c r="A53" s="117" t="s">
        <v>3411</v>
      </c>
      <c r="B53" s="118">
        <v>46661</v>
      </c>
      <c r="C53" s="117" t="s">
        <v>224</v>
      </c>
      <c r="D53" s="117" t="s">
        <v>341</v>
      </c>
      <c r="E53" s="117"/>
      <c r="F53" s="124">
        <v>161</v>
      </c>
      <c r="G53" s="124">
        <v>0</v>
      </c>
      <c r="H53" s="124">
        <v>0</v>
      </c>
      <c r="I53" s="124">
        <v>0</v>
      </c>
      <c r="J53" s="124">
        <f t="shared" si="1"/>
        <v>0</v>
      </c>
      <c r="K53" s="117" t="s">
        <v>2337</v>
      </c>
      <c r="L53" s="118">
        <v>46679.430555555562</v>
      </c>
      <c r="M53" s="117"/>
      <c r="N53" s="118"/>
      <c r="O53" s="117">
        <v>0</v>
      </c>
      <c r="P53" s="117">
        <v>0</v>
      </c>
      <c r="Q53" s="117" t="s">
        <v>948</v>
      </c>
      <c r="R53" s="117" t="s">
        <v>3346</v>
      </c>
    </row>
    <row r="54" spans="1:18" ht="34.5" customHeight="1">
      <c r="A54" s="115" t="s">
        <v>3412</v>
      </c>
      <c r="B54" s="119">
        <v>46661</v>
      </c>
      <c r="C54" s="115" t="s">
        <v>224</v>
      </c>
      <c r="D54" s="115" t="s">
        <v>341</v>
      </c>
      <c r="E54" s="115"/>
      <c r="F54" s="123">
        <v>161</v>
      </c>
      <c r="G54" s="123">
        <v>0</v>
      </c>
      <c r="H54" s="123">
        <v>0</v>
      </c>
      <c r="I54" s="123">
        <v>0</v>
      </c>
      <c r="J54" s="123">
        <f t="shared" si="1"/>
        <v>0</v>
      </c>
      <c r="K54" s="115" t="s">
        <v>2337</v>
      </c>
      <c r="L54" s="119">
        <v>46679.430555555562</v>
      </c>
      <c r="M54" s="115"/>
      <c r="N54" s="119"/>
      <c r="O54" s="115">
        <v>0</v>
      </c>
      <c r="P54" s="115">
        <v>0</v>
      </c>
      <c r="Q54" s="115" t="s">
        <v>948</v>
      </c>
      <c r="R54" s="115" t="s">
        <v>3346</v>
      </c>
    </row>
    <row r="55" spans="1:18" ht="34.5" customHeight="1">
      <c r="A55" s="117" t="s">
        <v>3413</v>
      </c>
      <c r="B55" s="118">
        <v>46661</v>
      </c>
      <c r="C55" s="117" t="s">
        <v>224</v>
      </c>
      <c r="D55" s="117" t="s">
        <v>341</v>
      </c>
      <c r="E55" s="117"/>
      <c r="F55" s="124">
        <v>161</v>
      </c>
      <c r="G55" s="124">
        <v>0</v>
      </c>
      <c r="H55" s="124">
        <v>0</v>
      </c>
      <c r="I55" s="124">
        <v>0</v>
      </c>
      <c r="J55" s="124">
        <f t="shared" si="1"/>
        <v>0</v>
      </c>
      <c r="K55" s="117" t="s">
        <v>2337</v>
      </c>
      <c r="L55" s="118">
        <v>46679.430555555562</v>
      </c>
      <c r="M55" s="117"/>
      <c r="N55" s="118"/>
      <c r="O55" s="117">
        <v>0</v>
      </c>
      <c r="P55" s="117">
        <v>0</v>
      </c>
      <c r="Q55" s="117" t="s">
        <v>948</v>
      </c>
      <c r="R55" s="117" t="s">
        <v>3346</v>
      </c>
    </row>
    <row r="56" spans="1:18" ht="34.5" customHeight="1">
      <c r="A56" s="115" t="s">
        <v>3414</v>
      </c>
      <c r="B56" s="119">
        <v>46661</v>
      </c>
      <c r="C56" s="115" t="s">
        <v>224</v>
      </c>
      <c r="D56" s="115" t="s">
        <v>341</v>
      </c>
      <c r="E56" s="115"/>
      <c r="F56" s="123">
        <v>161</v>
      </c>
      <c r="G56" s="123">
        <v>0</v>
      </c>
      <c r="H56" s="123">
        <v>0</v>
      </c>
      <c r="I56" s="123">
        <v>0</v>
      </c>
      <c r="J56" s="123">
        <f t="shared" si="1"/>
        <v>0</v>
      </c>
      <c r="K56" s="115" t="s">
        <v>2337</v>
      </c>
      <c r="L56" s="119">
        <v>46680.430555555562</v>
      </c>
      <c r="M56" s="115"/>
      <c r="N56" s="119"/>
      <c r="O56" s="115">
        <v>0</v>
      </c>
      <c r="P56" s="115">
        <v>0</v>
      </c>
      <c r="Q56" s="115" t="s">
        <v>948</v>
      </c>
      <c r="R56" s="115" t="s">
        <v>3346</v>
      </c>
    </row>
    <row r="57" spans="1:18" ht="34.5" customHeight="1">
      <c r="A57" s="117" t="s">
        <v>3415</v>
      </c>
      <c r="B57" s="118">
        <v>46661</v>
      </c>
      <c r="C57" s="117" t="s">
        <v>224</v>
      </c>
      <c r="D57" s="117" t="s">
        <v>341</v>
      </c>
      <c r="E57" s="117"/>
      <c r="F57" s="124">
        <v>161</v>
      </c>
      <c r="G57" s="124">
        <v>0</v>
      </c>
      <c r="H57" s="124">
        <v>0</v>
      </c>
      <c r="I57" s="124">
        <v>0</v>
      </c>
      <c r="J57" s="124">
        <f t="shared" si="1"/>
        <v>0</v>
      </c>
      <c r="K57" s="117" t="s">
        <v>2337</v>
      </c>
      <c r="L57" s="118">
        <v>46680.430555555562</v>
      </c>
      <c r="M57" s="117"/>
      <c r="N57" s="118"/>
      <c r="O57" s="117">
        <v>0</v>
      </c>
      <c r="P57" s="117">
        <v>0</v>
      </c>
      <c r="Q57" s="117" t="s">
        <v>948</v>
      </c>
      <c r="R57" s="117" t="s">
        <v>3346</v>
      </c>
    </row>
    <row r="58" spans="1:18" ht="34.5" customHeight="1">
      <c r="A58" s="115" t="s">
        <v>3416</v>
      </c>
      <c r="B58" s="119">
        <v>46661</v>
      </c>
      <c r="C58" s="115" t="s">
        <v>224</v>
      </c>
      <c r="D58" s="115" t="s">
        <v>341</v>
      </c>
      <c r="E58" s="115"/>
      <c r="F58" s="123">
        <v>161</v>
      </c>
      <c r="G58" s="123">
        <v>0</v>
      </c>
      <c r="H58" s="123">
        <v>0</v>
      </c>
      <c r="I58" s="123">
        <v>0</v>
      </c>
      <c r="J58" s="123">
        <f t="shared" si="1"/>
        <v>0</v>
      </c>
      <c r="K58" s="115" t="s">
        <v>2337</v>
      </c>
      <c r="L58" s="119">
        <v>46680.430555555562</v>
      </c>
      <c r="M58" s="115"/>
      <c r="N58" s="119"/>
      <c r="O58" s="115">
        <v>0</v>
      </c>
      <c r="P58" s="115">
        <v>0</v>
      </c>
      <c r="Q58" s="115" t="s">
        <v>948</v>
      </c>
      <c r="R58" s="115" t="s">
        <v>3346</v>
      </c>
    </row>
    <row r="59" spans="1:18" ht="34.5" customHeight="1">
      <c r="A59" s="117" t="s">
        <v>3417</v>
      </c>
      <c r="B59" s="118">
        <v>46661</v>
      </c>
      <c r="C59" s="117" t="s">
        <v>224</v>
      </c>
      <c r="D59" s="117" t="s">
        <v>341</v>
      </c>
      <c r="E59" s="117"/>
      <c r="F59" s="124">
        <v>161</v>
      </c>
      <c r="G59" s="124">
        <v>0</v>
      </c>
      <c r="H59" s="124">
        <v>0</v>
      </c>
      <c r="I59" s="124">
        <v>0</v>
      </c>
      <c r="J59" s="124">
        <f t="shared" si="1"/>
        <v>0</v>
      </c>
      <c r="K59" s="117" t="s">
        <v>2337</v>
      </c>
      <c r="L59" s="118">
        <v>46681.430555555562</v>
      </c>
      <c r="M59" s="117"/>
      <c r="N59" s="118"/>
      <c r="O59" s="117">
        <v>0</v>
      </c>
      <c r="P59" s="117">
        <v>0</v>
      </c>
      <c r="Q59" s="117" t="s">
        <v>948</v>
      </c>
      <c r="R59" s="117" t="s">
        <v>3346</v>
      </c>
    </row>
    <row r="60" spans="1:18" ht="34.5" customHeight="1">
      <c r="A60" s="115" t="s">
        <v>3418</v>
      </c>
      <c r="B60" s="119">
        <v>46661</v>
      </c>
      <c r="C60" s="115" t="s">
        <v>224</v>
      </c>
      <c r="D60" s="115" t="s">
        <v>341</v>
      </c>
      <c r="E60" s="115"/>
      <c r="F60" s="123">
        <v>161</v>
      </c>
      <c r="G60" s="123">
        <v>0</v>
      </c>
      <c r="H60" s="123">
        <v>0</v>
      </c>
      <c r="I60" s="123">
        <v>0</v>
      </c>
      <c r="J60" s="123">
        <f t="shared" si="1"/>
        <v>0</v>
      </c>
      <c r="K60" s="115" t="s">
        <v>2337</v>
      </c>
      <c r="L60" s="119">
        <v>46681.430555555562</v>
      </c>
      <c r="M60" s="115"/>
      <c r="N60" s="119"/>
      <c r="O60" s="115">
        <v>0</v>
      </c>
      <c r="P60" s="115">
        <v>0</v>
      </c>
      <c r="Q60" s="115" t="s">
        <v>948</v>
      </c>
      <c r="R60" s="115" t="s">
        <v>3346</v>
      </c>
    </row>
    <row r="61" spans="1:18" ht="34.5" customHeight="1">
      <c r="A61" s="117" t="s">
        <v>3419</v>
      </c>
      <c r="B61" s="118">
        <v>46661</v>
      </c>
      <c r="C61" s="117" t="s">
        <v>224</v>
      </c>
      <c r="D61" s="117" t="s">
        <v>341</v>
      </c>
      <c r="E61" s="117"/>
      <c r="F61" s="124">
        <v>161</v>
      </c>
      <c r="G61" s="124">
        <v>0</v>
      </c>
      <c r="H61" s="124">
        <v>0</v>
      </c>
      <c r="I61" s="124">
        <v>0</v>
      </c>
      <c r="J61" s="124">
        <f t="shared" si="1"/>
        <v>0</v>
      </c>
      <c r="K61" s="117" t="s">
        <v>2337</v>
      </c>
      <c r="L61" s="118">
        <v>46681.430555555562</v>
      </c>
      <c r="M61" s="117"/>
      <c r="N61" s="118"/>
      <c r="O61" s="117">
        <v>0</v>
      </c>
      <c r="P61" s="117">
        <v>0</v>
      </c>
      <c r="Q61" s="117" t="s">
        <v>948</v>
      </c>
      <c r="R61" s="117" t="s">
        <v>3346</v>
      </c>
    </row>
    <row r="62" spans="1:18" ht="34.5" customHeight="1">
      <c r="A62" s="115" t="s">
        <v>3420</v>
      </c>
      <c r="B62" s="119">
        <v>46661</v>
      </c>
      <c r="C62" s="115" t="s">
        <v>224</v>
      </c>
      <c r="D62" s="115" t="s">
        <v>341</v>
      </c>
      <c r="E62" s="115"/>
      <c r="F62" s="123">
        <v>161</v>
      </c>
      <c r="G62" s="123">
        <v>0</v>
      </c>
      <c r="H62" s="123">
        <v>0</v>
      </c>
      <c r="I62" s="123">
        <v>0</v>
      </c>
      <c r="J62" s="123">
        <f t="shared" si="1"/>
        <v>0</v>
      </c>
      <c r="K62" s="115" t="s">
        <v>2337</v>
      </c>
      <c r="L62" s="119">
        <v>46682.430555555562</v>
      </c>
      <c r="M62" s="115"/>
      <c r="N62" s="119"/>
      <c r="O62" s="115">
        <v>0</v>
      </c>
      <c r="P62" s="115">
        <v>0</v>
      </c>
      <c r="Q62" s="115" t="s">
        <v>948</v>
      </c>
      <c r="R62" s="115" t="s">
        <v>3346</v>
      </c>
    </row>
    <row r="63" spans="1:18" ht="34.5" customHeight="1">
      <c r="A63" s="117" t="s">
        <v>3421</v>
      </c>
      <c r="B63" s="118">
        <v>46661</v>
      </c>
      <c r="C63" s="117" t="s">
        <v>224</v>
      </c>
      <c r="D63" s="117" t="s">
        <v>341</v>
      </c>
      <c r="E63" s="117"/>
      <c r="F63" s="124">
        <v>161</v>
      </c>
      <c r="G63" s="124">
        <v>0</v>
      </c>
      <c r="H63" s="124">
        <v>0</v>
      </c>
      <c r="I63" s="124">
        <v>0</v>
      </c>
      <c r="J63" s="124">
        <f t="shared" si="1"/>
        <v>0</v>
      </c>
      <c r="K63" s="117" t="s">
        <v>2337</v>
      </c>
      <c r="L63" s="118">
        <v>46682.430555555562</v>
      </c>
      <c r="M63" s="117"/>
      <c r="N63" s="118"/>
      <c r="O63" s="117">
        <v>0</v>
      </c>
      <c r="P63" s="117">
        <v>0</v>
      </c>
      <c r="Q63" s="117" t="s">
        <v>948</v>
      </c>
      <c r="R63" s="117" t="s">
        <v>3346</v>
      </c>
    </row>
    <row r="64" spans="1:18" ht="34.5" customHeight="1">
      <c r="A64" s="115" t="s">
        <v>3422</v>
      </c>
      <c r="B64" s="119">
        <v>46661</v>
      </c>
      <c r="C64" s="115" t="s">
        <v>224</v>
      </c>
      <c r="D64" s="115" t="s">
        <v>341</v>
      </c>
      <c r="E64" s="115"/>
      <c r="F64" s="123">
        <v>161</v>
      </c>
      <c r="G64" s="123">
        <v>0</v>
      </c>
      <c r="H64" s="123">
        <v>0</v>
      </c>
      <c r="I64" s="123">
        <v>0</v>
      </c>
      <c r="J64" s="123">
        <f t="shared" si="1"/>
        <v>0</v>
      </c>
      <c r="K64" s="115" t="s">
        <v>2337</v>
      </c>
      <c r="L64" s="119">
        <v>46682.430555555562</v>
      </c>
      <c r="M64" s="115"/>
      <c r="N64" s="119"/>
      <c r="O64" s="115">
        <v>0</v>
      </c>
      <c r="P64" s="115">
        <v>0</v>
      </c>
      <c r="Q64" s="115" t="s">
        <v>948</v>
      </c>
      <c r="R64" s="115" t="s">
        <v>3346</v>
      </c>
    </row>
    <row r="65" spans="1:18" ht="34.5" customHeight="1">
      <c r="A65" s="117" t="s">
        <v>3423</v>
      </c>
      <c r="B65" s="118">
        <v>46661</v>
      </c>
      <c r="C65" s="117" t="s">
        <v>224</v>
      </c>
      <c r="D65" s="117" t="s">
        <v>341</v>
      </c>
      <c r="E65" s="117"/>
      <c r="F65" s="124">
        <v>161</v>
      </c>
      <c r="G65" s="124">
        <v>0</v>
      </c>
      <c r="H65" s="124">
        <v>0</v>
      </c>
      <c r="I65" s="124">
        <v>0</v>
      </c>
      <c r="J65" s="124">
        <f t="shared" si="1"/>
        <v>0</v>
      </c>
      <c r="K65" s="117" t="s">
        <v>2337</v>
      </c>
      <c r="L65" s="118">
        <v>46683.430555555562</v>
      </c>
      <c r="M65" s="117"/>
      <c r="N65" s="118"/>
      <c r="O65" s="117">
        <v>0</v>
      </c>
      <c r="P65" s="117">
        <v>0</v>
      </c>
      <c r="Q65" s="117" t="s">
        <v>948</v>
      </c>
      <c r="R65" s="117" t="s">
        <v>3346</v>
      </c>
    </row>
    <row r="66" spans="1:18" ht="34.5" customHeight="1">
      <c r="A66" s="115" t="s">
        <v>3424</v>
      </c>
      <c r="B66" s="119">
        <v>46692</v>
      </c>
      <c r="C66" s="115" t="s">
        <v>224</v>
      </c>
      <c r="D66" s="115" t="s">
        <v>341</v>
      </c>
      <c r="E66" s="115" t="s">
        <v>3425</v>
      </c>
      <c r="F66" s="123">
        <v>159</v>
      </c>
      <c r="G66" s="123">
        <v>1</v>
      </c>
      <c r="H66" s="123">
        <v>900000</v>
      </c>
      <c r="I66" s="123">
        <v>300000</v>
      </c>
      <c r="J66" s="123">
        <f t="shared" si="1"/>
        <v>1200000</v>
      </c>
      <c r="K66" s="115" t="s">
        <v>3238</v>
      </c>
      <c r="L66" s="119">
        <v>46695.527777777781</v>
      </c>
      <c r="M66" s="115" t="s">
        <v>1532</v>
      </c>
      <c r="N66" s="119">
        <v>46695.520833333336</v>
      </c>
      <c r="O66" s="115">
        <v>0</v>
      </c>
      <c r="P66" s="115">
        <v>0</v>
      </c>
      <c r="Q66" s="115" t="s">
        <v>948</v>
      </c>
      <c r="R66" s="115" t="s">
        <v>3426</v>
      </c>
    </row>
    <row r="67" spans="1:18" ht="34.5" customHeight="1">
      <c r="A67" s="117" t="s">
        <v>3427</v>
      </c>
      <c r="B67" s="118">
        <v>46692</v>
      </c>
      <c r="C67" s="117" t="s">
        <v>224</v>
      </c>
      <c r="D67" s="117" t="s">
        <v>341</v>
      </c>
      <c r="E67" s="117" t="s">
        <v>3428</v>
      </c>
      <c r="F67" s="124">
        <v>159</v>
      </c>
      <c r="G67" s="124">
        <v>1</v>
      </c>
      <c r="H67" s="124">
        <v>900000</v>
      </c>
      <c r="I67" s="124">
        <v>300000</v>
      </c>
      <c r="J67" s="124">
        <f t="shared" si="1"/>
        <v>1200000</v>
      </c>
      <c r="K67" s="117" t="s">
        <v>3238</v>
      </c>
      <c r="L67" s="118">
        <v>46699.527777777781</v>
      </c>
      <c r="M67" s="117" t="s">
        <v>1532</v>
      </c>
      <c r="N67" s="118">
        <v>46699.520833333336</v>
      </c>
      <c r="O67" s="117">
        <v>0</v>
      </c>
      <c r="P67" s="117">
        <v>0</v>
      </c>
      <c r="Q67" s="117" t="s">
        <v>948</v>
      </c>
      <c r="R67" s="117" t="s">
        <v>3429</v>
      </c>
    </row>
    <row r="68" spans="1:18" ht="34.5" customHeight="1">
      <c r="A68" s="115" t="s">
        <v>3430</v>
      </c>
      <c r="B68" s="119">
        <v>46692</v>
      </c>
      <c r="C68" s="115" t="s">
        <v>224</v>
      </c>
      <c r="D68" s="115" t="s">
        <v>341</v>
      </c>
      <c r="E68" s="115" t="s">
        <v>3431</v>
      </c>
      <c r="F68" s="123">
        <v>159</v>
      </c>
      <c r="G68" s="123">
        <v>1</v>
      </c>
      <c r="H68" s="123">
        <v>900000</v>
      </c>
      <c r="I68" s="123">
        <v>300000</v>
      </c>
      <c r="J68" s="123">
        <f t="shared" si="1"/>
        <v>1200000</v>
      </c>
      <c r="K68" s="115" t="s">
        <v>3242</v>
      </c>
      <c r="L68" s="119">
        <v>46703.430555555562</v>
      </c>
      <c r="M68" s="115" t="s">
        <v>1532</v>
      </c>
      <c r="N68" s="119">
        <v>46703.423611111117</v>
      </c>
      <c r="O68" s="115">
        <v>0</v>
      </c>
      <c r="P68" s="115">
        <v>0</v>
      </c>
      <c r="Q68" s="115" t="s">
        <v>948</v>
      </c>
      <c r="R68" s="115" t="s">
        <v>3432</v>
      </c>
    </row>
    <row r="69" spans="1:18" ht="34.5" customHeight="1">
      <c r="A69" s="117" t="s">
        <v>3433</v>
      </c>
      <c r="B69" s="118">
        <v>46692</v>
      </c>
      <c r="C69" s="117" t="s">
        <v>224</v>
      </c>
      <c r="D69" s="117" t="s">
        <v>341</v>
      </c>
      <c r="E69" s="117" t="s">
        <v>3434</v>
      </c>
      <c r="F69" s="124">
        <v>159</v>
      </c>
      <c r="G69" s="124">
        <v>1</v>
      </c>
      <c r="H69" s="124">
        <v>900000</v>
      </c>
      <c r="I69" s="124">
        <v>300000</v>
      </c>
      <c r="J69" s="124">
        <f t="shared" si="1"/>
        <v>1200000</v>
      </c>
      <c r="K69" s="117" t="s">
        <v>3242</v>
      </c>
      <c r="L69" s="118">
        <v>46709.430555555562</v>
      </c>
      <c r="M69" s="117" t="s">
        <v>1532</v>
      </c>
      <c r="N69" s="118">
        <v>46709.423611111117</v>
      </c>
      <c r="O69" s="117">
        <v>0</v>
      </c>
      <c r="P69" s="117">
        <v>0</v>
      </c>
      <c r="Q69" s="117" t="s">
        <v>948</v>
      </c>
      <c r="R69" s="117" t="s">
        <v>3435</v>
      </c>
    </row>
    <row r="70" spans="1:18" ht="34.5" customHeight="1">
      <c r="A70" s="115" t="s">
        <v>3436</v>
      </c>
      <c r="B70" s="119">
        <v>46692</v>
      </c>
      <c r="C70" s="115" t="s">
        <v>224</v>
      </c>
      <c r="D70" s="115" t="s">
        <v>341</v>
      </c>
      <c r="E70" s="115" t="s">
        <v>3437</v>
      </c>
      <c r="F70" s="123">
        <v>159</v>
      </c>
      <c r="G70" s="123">
        <v>1</v>
      </c>
      <c r="H70" s="123">
        <v>900000</v>
      </c>
      <c r="I70" s="123">
        <v>300000</v>
      </c>
      <c r="J70" s="123">
        <f t="shared" ref="J70:J101" si="2">IF(AND(ISNUMBER(H70),ISNUMBER(I70)),H70+I70,NA())</f>
        <v>1200000</v>
      </c>
      <c r="K70" s="115" t="s">
        <v>3242</v>
      </c>
      <c r="L70" s="119">
        <v>46713.430555555562</v>
      </c>
      <c r="M70" s="115" t="s">
        <v>1532</v>
      </c>
      <c r="N70" s="119">
        <v>46713.423611111117</v>
      </c>
      <c r="O70" s="115">
        <v>0</v>
      </c>
      <c r="P70" s="115">
        <v>0</v>
      </c>
      <c r="Q70" s="115" t="s">
        <v>948</v>
      </c>
      <c r="R70" s="115" t="s">
        <v>3438</v>
      </c>
    </row>
    <row r="71" spans="1:18" ht="34.5" customHeight="1">
      <c r="A71" s="117" t="s">
        <v>3439</v>
      </c>
      <c r="B71" s="118">
        <v>46692</v>
      </c>
      <c r="C71" s="117" t="s">
        <v>224</v>
      </c>
      <c r="D71" s="117" t="s">
        <v>341</v>
      </c>
      <c r="E71" s="117"/>
      <c r="F71" s="124">
        <v>159</v>
      </c>
      <c r="G71" s="124">
        <v>0</v>
      </c>
      <c r="H71" s="124">
        <v>0</v>
      </c>
      <c r="I71" s="124">
        <v>0</v>
      </c>
      <c r="J71" s="124">
        <f t="shared" si="2"/>
        <v>0</v>
      </c>
      <c r="K71" s="117" t="s">
        <v>2337</v>
      </c>
      <c r="L71" s="118">
        <v>46696.430555555562</v>
      </c>
      <c r="M71" s="117"/>
      <c r="N71" s="118"/>
      <c r="O71" s="117">
        <v>0</v>
      </c>
      <c r="P71" s="117">
        <v>0</v>
      </c>
      <c r="Q71" s="117" t="s">
        <v>948</v>
      </c>
      <c r="R71" s="117" t="s">
        <v>3346</v>
      </c>
    </row>
    <row r="72" spans="1:18" ht="34.5" customHeight="1">
      <c r="A72" s="115" t="s">
        <v>3440</v>
      </c>
      <c r="B72" s="119">
        <v>46692</v>
      </c>
      <c r="C72" s="115" t="s">
        <v>224</v>
      </c>
      <c r="D72" s="115" t="s">
        <v>341</v>
      </c>
      <c r="E72" s="115"/>
      <c r="F72" s="123">
        <v>159</v>
      </c>
      <c r="G72" s="123">
        <v>0</v>
      </c>
      <c r="H72" s="123">
        <v>0</v>
      </c>
      <c r="I72" s="123">
        <v>0</v>
      </c>
      <c r="J72" s="123">
        <f t="shared" si="2"/>
        <v>0</v>
      </c>
      <c r="K72" s="115" t="s">
        <v>2337</v>
      </c>
      <c r="L72" s="119">
        <v>46696.430555555562</v>
      </c>
      <c r="M72" s="115"/>
      <c r="N72" s="119"/>
      <c r="O72" s="115">
        <v>0</v>
      </c>
      <c r="P72" s="115">
        <v>0</v>
      </c>
      <c r="Q72" s="115" t="s">
        <v>948</v>
      </c>
      <c r="R72" s="115" t="s">
        <v>3346</v>
      </c>
    </row>
    <row r="73" spans="1:18" ht="34.5" customHeight="1">
      <c r="A73" s="117" t="s">
        <v>3441</v>
      </c>
      <c r="B73" s="118">
        <v>46692</v>
      </c>
      <c r="C73" s="117" t="s">
        <v>224</v>
      </c>
      <c r="D73" s="117" t="s">
        <v>341</v>
      </c>
      <c r="E73" s="117"/>
      <c r="F73" s="124">
        <v>159</v>
      </c>
      <c r="G73" s="124">
        <v>0</v>
      </c>
      <c r="H73" s="124">
        <v>0</v>
      </c>
      <c r="I73" s="124">
        <v>0</v>
      </c>
      <c r="J73" s="124">
        <f t="shared" si="2"/>
        <v>0</v>
      </c>
      <c r="K73" s="117" t="s">
        <v>2337</v>
      </c>
      <c r="L73" s="118">
        <v>46696.430555555562</v>
      </c>
      <c r="M73" s="117"/>
      <c r="N73" s="118"/>
      <c r="O73" s="117">
        <v>0</v>
      </c>
      <c r="P73" s="117">
        <v>0</v>
      </c>
      <c r="Q73" s="117" t="s">
        <v>948</v>
      </c>
      <c r="R73" s="117" t="s">
        <v>3346</v>
      </c>
    </row>
    <row r="74" spans="1:18" ht="34.5" customHeight="1">
      <c r="A74" s="115" t="s">
        <v>3442</v>
      </c>
      <c r="B74" s="119">
        <v>46692</v>
      </c>
      <c r="C74" s="115" t="s">
        <v>224</v>
      </c>
      <c r="D74" s="115" t="s">
        <v>341</v>
      </c>
      <c r="E74" s="115"/>
      <c r="F74" s="123">
        <v>159</v>
      </c>
      <c r="G74" s="123">
        <v>0</v>
      </c>
      <c r="H74" s="123">
        <v>0</v>
      </c>
      <c r="I74" s="123">
        <v>0</v>
      </c>
      <c r="J74" s="123">
        <f t="shared" si="2"/>
        <v>0</v>
      </c>
      <c r="K74" s="115" t="s">
        <v>2337</v>
      </c>
      <c r="L74" s="119">
        <v>46697.430555555562</v>
      </c>
      <c r="M74" s="115"/>
      <c r="N74" s="119"/>
      <c r="O74" s="115">
        <v>0</v>
      </c>
      <c r="P74" s="115">
        <v>0</v>
      </c>
      <c r="Q74" s="115" t="s">
        <v>948</v>
      </c>
      <c r="R74" s="115" t="s">
        <v>3346</v>
      </c>
    </row>
    <row r="75" spans="1:18" ht="34.5" customHeight="1">
      <c r="A75" s="117" t="s">
        <v>3443</v>
      </c>
      <c r="B75" s="118">
        <v>46692</v>
      </c>
      <c r="C75" s="117" t="s">
        <v>224</v>
      </c>
      <c r="D75" s="117" t="s">
        <v>341</v>
      </c>
      <c r="E75" s="117"/>
      <c r="F75" s="124">
        <v>159</v>
      </c>
      <c r="G75" s="124">
        <v>0</v>
      </c>
      <c r="H75" s="124">
        <v>0</v>
      </c>
      <c r="I75" s="124">
        <v>0</v>
      </c>
      <c r="J75" s="124">
        <f t="shared" si="2"/>
        <v>0</v>
      </c>
      <c r="K75" s="117" t="s">
        <v>2337</v>
      </c>
      <c r="L75" s="118">
        <v>46697.430555555562</v>
      </c>
      <c r="M75" s="117"/>
      <c r="N75" s="118"/>
      <c r="O75" s="117">
        <v>0</v>
      </c>
      <c r="P75" s="117">
        <v>0</v>
      </c>
      <c r="Q75" s="117" t="s">
        <v>948</v>
      </c>
      <c r="R75" s="117" t="s">
        <v>3346</v>
      </c>
    </row>
    <row r="76" spans="1:18" ht="34.5" customHeight="1">
      <c r="A76" s="115" t="s">
        <v>3444</v>
      </c>
      <c r="B76" s="119">
        <v>46692</v>
      </c>
      <c r="C76" s="115" t="s">
        <v>224</v>
      </c>
      <c r="D76" s="115" t="s">
        <v>341</v>
      </c>
      <c r="E76" s="115"/>
      <c r="F76" s="123">
        <v>159</v>
      </c>
      <c r="G76" s="123">
        <v>0</v>
      </c>
      <c r="H76" s="123">
        <v>0</v>
      </c>
      <c r="I76" s="123">
        <v>0</v>
      </c>
      <c r="J76" s="123">
        <f t="shared" si="2"/>
        <v>0</v>
      </c>
      <c r="K76" s="115" t="s">
        <v>2337</v>
      </c>
      <c r="L76" s="119">
        <v>46697.430555555562</v>
      </c>
      <c r="M76" s="115"/>
      <c r="N76" s="119"/>
      <c r="O76" s="115">
        <v>0</v>
      </c>
      <c r="P76" s="115">
        <v>0</v>
      </c>
      <c r="Q76" s="115" t="s">
        <v>948</v>
      </c>
      <c r="R76" s="115" t="s">
        <v>3346</v>
      </c>
    </row>
    <row r="77" spans="1:18" ht="34.5" customHeight="1">
      <c r="A77" s="117" t="s">
        <v>3445</v>
      </c>
      <c r="B77" s="118">
        <v>46692</v>
      </c>
      <c r="C77" s="117" t="s">
        <v>224</v>
      </c>
      <c r="D77" s="117" t="s">
        <v>341</v>
      </c>
      <c r="E77" s="117"/>
      <c r="F77" s="124">
        <v>159</v>
      </c>
      <c r="G77" s="124">
        <v>0</v>
      </c>
      <c r="H77" s="124">
        <v>0</v>
      </c>
      <c r="I77" s="124">
        <v>0</v>
      </c>
      <c r="J77" s="124">
        <f t="shared" si="2"/>
        <v>0</v>
      </c>
      <c r="K77" s="117" t="s">
        <v>2337</v>
      </c>
      <c r="L77" s="118">
        <v>46698.430555555562</v>
      </c>
      <c r="M77" s="117"/>
      <c r="N77" s="118"/>
      <c r="O77" s="117">
        <v>0</v>
      </c>
      <c r="P77" s="117">
        <v>0</v>
      </c>
      <c r="Q77" s="117" t="s">
        <v>948</v>
      </c>
      <c r="R77" s="117" t="s">
        <v>3346</v>
      </c>
    </row>
    <row r="78" spans="1:18" ht="34.5" customHeight="1">
      <c r="A78" s="115" t="s">
        <v>3446</v>
      </c>
      <c r="B78" s="119">
        <v>46692</v>
      </c>
      <c r="C78" s="115" t="s">
        <v>224</v>
      </c>
      <c r="D78" s="115" t="s">
        <v>341</v>
      </c>
      <c r="E78" s="115"/>
      <c r="F78" s="123">
        <v>159</v>
      </c>
      <c r="G78" s="123">
        <v>0</v>
      </c>
      <c r="H78" s="123">
        <v>0</v>
      </c>
      <c r="I78" s="123">
        <v>0</v>
      </c>
      <c r="J78" s="123">
        <f t="shared" si="2"/>
        <v>0</v>
      </c>
      <c r="K78" s="115" t="s">
        <v>2337</v>
      </c>
      <c r="L78" s="119">
        <v>46698.430555555562</v>
      </c>
      <c r="M78" s="115"/>
      <c r="N78" s="119"/>
      <c r="O78" s="115">
        <v>0</v>
      </c>
      <c r="P78" s="115">
        <v>0</v>
      </c>
      <c r="Q78" s="115" t="s">
        <v>948</v>
      </c>
      <c r="R78" s="115" t="s">
        <v>3346</v>
      </c>
    </row>
    <row r="79" spans="1:18" ht="34.5" customHeight="1">
      <c r="A79" s="117" t="s">
        <v>3447</v>
      </c>
      <c r="B79" s="118">
        <v>46692</v>
      </c>
      <c r="C79" s="117" t="s">
        <v>224</v>
      </c>
      <c r="D79" s="117" t="s">
        <v>341</v>
      </c>
      <c r="E79" s="117"/>
      <c r="F79" s="124">
        <v>159</v>
      </c>
      <c r="G79" s="124">
        <v>0</v>
      </c>
      <c r="H79" s="124">
        <v>0</v>
      </c>
      <c r="I79" s="124">
        <v>0</v>
      </c>
      <c r="J79" s="124">
        <f t="shared" si="2"/>
        <v>0</v>
      </c>
      <c r="K79" s="117" t="s">
        <v>2337</v>
      </c>
      <c r="L79" s="118">
        <v>46698.430555555562</v>
      </c>
      <c r="M79" s="117"/>
      <c r="N79" s="118"/>
      <c r="O79" s="117">
        <v>0</v>
      </c>
      <c r="P79" s="117">
        <v>0</v>
      </c>
      <c r="Q79" s="117" t="s">
        <v>948</v>
      </c>
      <c r="R79" s="117" t="s">
        <v>3346</v>
      </c>
    </row>
    <row r="80" spans="1:18" ht="34.5" customHeight="1">
      <c r="A80" s="115" t="s">
        <v>3448</v>
      </c>
      <c r="B80" s="119">
        <v>46692</v>
      </c>
      <c r="C80" s="115" t="s">
        <v>224</v>
      </c>
      <c r="D80" s="115" t="s">
        <v>341</v>
      </c>
      <c r="E80" s="115"/>
      <c r="F80" s="123">
        <v>159</v>
      </c>
      <c r="G80" s="123">
        <v>0</v>
      </c>
      <c r="H80" s="123">
        <v>0</v>
      </c>
      <c r="I80" s="123">
        <v>0</v>
      </c>
      <c r="J80" s="123">
        <f t="shared" si="2"/>
        <v>0</v>
      </c>
      <c r="K80" s="115" t="s">
        <v>2337</v>
      </c>
      <c r="L80" s="119">
        <v>46699.430555555562</v>
      </c>
      <c r="M80" s="115"/>
      <c r="N80" s="119"/>
      <c r="O80" s="115">
        <v>0</v>
      </c>
      <c r="P80" s="115">
        <v>0</v>
      </c>
      <c r="Q80" s="115" t="s">
        <v>948</v>
      </c>
      <c r="R80" s="115" t="s">
        <v>3346</v>
      </c>
    </row>
    <row r="81" spans="1:18" ht="34.5" customHeight="1">
      <c r="A81" s="117" t="s">
        <v>3449</v>
      </c>
      <c r="B81" s="118">
        <v>46692</v>
      </c>
      <c r="C81" s="117" t="s">
        <v>224</v>
      </c>
      <c r="D81" s="117" t="s">
        <v>341</v>
      </c>
      <c r="E81" s="117"/>
      <c r="F81" s="124">
        <v>159</v>
      </c>
      <c r="G81" s="124">
        <v>0</v>
      </c>
      <c r="H81" s="124">
        <v>0</v>
      </c>
      <c r="I81" s="124">
        <v>0</v>
      </c>
      <c r="J81" s="124">
        <f t="shared" si="2"/>
        <v>0</v>
      </c>
      <c r="K81" s="117" t="s">
        <v>2337</v>
      </c>
      <c r="L81" s="118">
        <v>46699.430555555562</v>
      </c>
      <c r="M81" s="117"/>
      <c r="N81" s="118"/>
      <c r="O81" s="117">
        <v>0</v>
      </c>
      <c r="P81" s="117">
        <v>0</v>
      </c>
      <c r="Q81" s="117" t="s">
        <v>948</v>
      </c>
      <c r="R81" s="117" t="s">
        <v>3346</v>
      </c>
    </row>
    <row r="82" spans="1:18" ht="34.5" customHeight="1">
      <c r="A82" s="115" t="s">
        <v>3450</v>
      </c>
      <c r="B82" s="119">
        <v>46692</v>
      </c>
      <c r="C82" s="115" t="s">
        <v>224</v>
      </c>
      <c r="D82" s="115" t="s">
        <v>341</v>
      </c>
      <c r="E82" s="115"/>
      <c r="F82" s="123">
        <v>159</v>
      </c>
      <c r="G82" s="123">
        <v>0</v>
      </c>
      <c r="H82" s="123">
        <v>0</v>
      </c>
      <c r="I82" s="123">
        <v>0</v>
      </c>
      <c r="J82" s="123">
        <f t="shared" si="2"/>
        <v>0</v>
      </c>
      <c r="K82" s="115" t="s">
        <v>2337</v>
      </c>
      <c r="L82" s="119">
        <v>46699.430555555562</v>
      </c>
      <c r="M82" s="115"/>
      <c r="N82" s="119"/>
      <c r="O82" s="115">
        <v>0</v>
      </c>
      <c r="P82" s="115">
        <v>0</v>
      </c>
      <c r="Q82" s="115" t="s">
        <v>948</v>
      </c>
      <c r="R82" s="115" t="s">
        <v>3346</v>
      </c>
    </row>
    <row r="83" spans="1:18" ht="34.5" customHeight="1">
      <c r="A83" s="117" t="s">
        <v>3451</v>
      </c>
      <c r="B83" s="118">
        <v>46692</v>
      </c>
      <c r="C83" s="117" t="s">
        <v>224</v>
      </c>
      <c r="D83" s="117" t="s">
        <v>341</v>
      </c>
      <c r="E83" s="117"/>
      <c r="F83" s="124">
        <v>159</v>
      </c>
      <c r="G83" s="124">
        <v>0</v>
      </c>
      <c r="H83" s="124">
        <v>0</v>
      </c>
      <c r="I83" s="124">
        <v>0</v>
      </c>
      <c r="J83" s="124">
        <f t="shared" si="2"/>
        <v>0</v>
      </c>
      <c r="K83" s="117" t="s">
        <v>2337</v>
      </c>
      <c r="L83" s="118">
        <v>46700.430555555562</v>
      </c>
      <c r="M83" s="117"/>
      <c r="N83" s="118"/>
      <c r="O83" s="117">
        <v>0</v>
      </c>
      <c r="P83" s="117">
        <v>0</v>
      </c>
      <c r="Q83" s="117" t="s">
        <v>948</v>
      </c>
      <c r="R83" s="117" t="s">
        <v>3346</v>
      </c>
    </row>
    <row r="84" spans="1:18" ht="34.5" customHeight="1">
      <c r="A84" s="115" t="s">
        <v>3452</v>
      </c>
      <c r="B84" s="119">
        <v>46692</v>
      </c>
      <c r="C84" s="115" t="s">
        <v>224</v>
      </c>
      <c r="D84" s="115" t="s">
        <v>341</v>
      </c>
      <c r="E84" s="115"/>
      <c r="F84" s="123">
        <v>159</v>
      </c>
      <c r="G84" s="123">
        <v>0</v>
      </c>
      <c r="H84" s="123">
        <v>0</v>
      </c>
      <c r="I84" s="123">
        <v>0</v>
      </c>
      <c r="J84" s="123">
        <f t="shared" si="2"/>
        <v>0</v>
      </c>
      <c r="K84" s="115" t="s">
        <v>2337</v>
      </c>
      <c r="L84" s="119">
        <v>46700.430555555562</v>
      </c>
      <c r="M84" s="115"/>
      <c r="N84" s="119"/>
      <c r="O84" s="115">
        <v>0</v>
      </c>
      <c r="P84" s="115">
        <v>0</v>
      </c>
      <c r="Q84" s="115" t="s">
        <v>948</v>
      </c>
      <c r="R84" s="115" t="s">
        <v>3346</v>
      </c>
    </row>
    <row r="85" spans="1:18" ht="34.5" customHeight="1">
      <c r="A85" s="117" t="s">
        <v>3453</v>
      </c>
      <c r="B85" s="118">
        <v>46692</v>
      </c>
      <c r="C85" s="117" t="s">
        <v>224</v>
      </c>
      <c r="D85" s="117" t="s">
        <v>341</v>
      </c>
      <c r="E85" s="117"/>
      <c r="F85" s="124">
        <v>159</v>
      </c>
      <c r="G85" s="124">
        <v>0</v>
      </c>
      <c r="H85" s="124">
        <v>0</v>
      </c>
      <c r="I85" s="124">
        <v>0</v>
      </c>
      <c r="J85" s="124">
        <f t="shared" si="2"/>
        <v>0</v>
      </c>
      <c r="K85" s="117" t="s">
        <v>2337</v>
      </c>
      <c r="L85" s="118">
        <v>46700.430555555562</v>
      </c>
      <c r="M85" s="117"/>
      <c r="N85" s="118"/>
      <c r="O85" s="117">
        <v>0</v>
      </c>
      <c r="P85" s="117">
        <v>0</v>
      </c>
      <c r="Q85" s="117" t="s">
        <v>948</v>
      </c>
      <c r="R85" s="117" t="s">
        <v>3346</v>
      </c>
    </row>
    <row r="86" spans="1:18" ht="34.5" customHeight="1">
      <c r="A86" s="115" t="s">
        <v>3454</v>
      </c>
      <c r="B86" s="119">
        <v>46692</v>
      </c>
      <c r="C86" s="115" t="s">
        <v>224</v>
      </c>
      <c r="D86" s="115" t="s">
        <v>341</v>
      </c>
      <c r="E86" s="115"/>
      <c r="F86" s="123">
        <v>158</v>
      </c>
      <c r="G86" s="123">
        <v>0</v>
      </c>
      <c r="H86" s="123">
        <v>0</v>
      </c>
      <c r="I86" s="123">
        <v>0</v>
      </c>
      <c r="J86" s="123">
        <f t="shared" si="2"/>
        <v>0</v>
      </c>
      <c r="K86" s="115" t="s">
        <v>2337</v>
      </c>
      <c r="L86" s="119">
        <v>46701.430555555562</v>
      </c>
      <c r="M86" s="115"/>
      <c r="N86" s="119"/>
      <c r="O86" s="115">
        <v>0</v>
      </c>
      <c r="P86" s="115">
        <v>0</v>
      </c>
      <c r="Q86" s="115" t="s">
        <v>948</v>
      </c>
      <c r="R86" s="115" t="s">
        <v>3346</v>
      </c>
    </row>
    <row r="87" spans="1:18" ht="34.5" customHeight="1">
      <c r="A87" s="117" t="s">
        <v>3455</v>
      </c>
      <c r="B87" s="118">
        <v>46692</v>
      </c>
      <c r="C87" s="117" t="s">
        <v>224</v>
      </c>
      <c r="D87" s="117" t="s">
        <v>341</v>
      </c>
      <c r="E87" s="117"/>
      <c r="F87" s="124">
        <v>158</v>
      </c>
      <c r="G87" s="124">
        <v>0</v>
      </c>
      <c r="H87" s="124">
        <v>0</v>
      </c>
      <c r="I87" s="124">
        <v>0</v>
      </c>
      <c r="J87" s="124">
        <f t="shared" si="2"/>
        <v>0</v>
      </c>
      <c r="K87" s="117" t="s">
        <v>2337</v>
      </c>
      <c r="L87" s="118">
        <v>46701.430555555562</v>
      </c>
      <c r="M87" s="117"/>
      <c r="N87" s="118"/>
      <c r="O87" s="117">
        <v>0</v>
      </c>
      <c r="P87" s="117">
        <v>0</v>
      </c>
      <c r="Q87" s="117" t="s">
        <v>948</v>
      </c>
      <c r="R87" s="117" t="s">
        <v>3346</v>
      </c>
    </row>
    <row r="88" spans="1:18" ht="34.5" customHeight="1">
      <c r="A88" s="115" t="s">
        <v>3456</v>
      </c>
      <c r="B88" s="119">
        <v>46692</v>
      </c>
      <c r="C88" s="115" t="s">
        <v>224</v>
      </c>
      <c r="D88" s="115" t="s">
        <v>341</v>
      </c>
      <c r="E88" s="115"/>
      <c r="F88" s="123">
        <v>158</v>
      </c>
      <c r="G88" s="123">
        <v>0</v>
      </c>
      <c r="H88" s="123">
        <v>0</v>
      </c>
      <c r="I88" s="123">
        <v>0</v>
      </c>
      <c r="J88" s="123">
        <f t="shared" si="2"/>
        <v>0</v>
      </c>
      <c r="K88" s="115" t="s">
        <v>2337</v>
      </c>
      <c r="L88" s="119">
        <v>46701.430555555562</v>
      </c>
      <c r="M88" s="115"/>
      <c r="N88" s="119"/>
      <c r="O88" s="115">
        <v>0</v>
      </c>
      <c r="P88" s="115">
        <v>0</v>
      </c>
      <c r="Q88" s="115" t="s">
        <v>948</v>
      </c>
      <c r="R88" s="115" t="s">
        <v>3346</v>
      </c>
    </row>
    <row r="89" spans="1:18" ht="34.5" customHeight="1">
      <c r="A89" s="117" t="s">
        <v>3457</v>
      </c>
      <c r="B89" s="118">
        <v>46692</v>
      </c>
      <c r="C89" s="117" t="s">
        <v>224</v>
      </c>
      <c r="D89" s="117" t="s">
        <v>341</v>
      </c>
      <c r="E89" s="117"/>
      <c r="F89" s="124">
        <v>158</v>
      </c>
      <c r="G89" s="124">
        <v>0</v>
      </c>
      <c r="H89" s="124">
        <v>0</v>
      </c>
      <c r="I89" s="124">
        <v>0</v>
      </c>
      <c r="J89" s="124">
        <f t="shared" si="2"/>
        <v>0</v>
      </c>
      <c r="K89" s="117" t="s">
        <v>2337</v>
      </c>
      <c r="L89" s="118">
        <v>46702.430555555562</v>
      </c>
      <c r="M89" s="117"/>
      <c r="N89" s="118"/>
      <c r="O89" s="117">
        <v>0</v>
      </c>
      <c r="P89" s="117">
        <v>0</v>
      </c>
      <c r="Q89" s="117" t="s">
        <v>948</v>
      </c>
      <c r="R89" s="117" t="s">
        <v>3346</v>
      </c>
    </row>
    <row r="90" spans="1:18" ht="34.5" customHeight="1">
      <c r="A90" s="115" t="s">
        <v>3458</v>
      </c>
      <c r="B90" s="119">
        <v>46692</v>
      </c>
      <c r="C90" s="115" t="s">
        <v>224</v>
      </c>
      <c r="D90" s="115" t="s">
        <v>341</v>
      </c>
      <c r="E90" s="115"/>
      <c r="F90" s="123">
        <v>158</v>
      </c>
      <c r="G90" s="123">
        <v>0</v>
      </c>
      <c r="H90" s="123">
        <v>0</v>
      </c>
      <c r="I90" s="123">
        <v>0</v>
      </c>
      <c r="J90" s="123">
        <f t="shared" si="2"/>
        <v>0</v>
      </c>
      <c r="K90" s="115" t="s">
        <v>2337</v>
      </c>
      <c r="L90" s="119">
        <v>46702.430555555562</v>
      </c>
      <c r="M90" s="115"/>
      <c r="N90" s="119"/>
      <c r="O90" s="115">
        <v>0</v>
      </c>
      <c r="P90" s="115">
        <v>0</v>
      </c>
      <c r="Q90" s="115" t="s">
        <v>948</v>
      </c>
      <c r="R90" s="115" t="s">
        <v>3346</v>
      </c>
    </row>
    <row r="91" spans="1:18" ht="34.5" customHeight="1">
      <c r="A91" s="117" t="s">
        <v>3459</v>
      </c>
      <c r="B91" s="118">
        <v>46692</v>
      </c>
      <c r="C91" s="117" t="s">
        <v>224</v>
      </c>
      <c r="D91" s="117" t="s">
        <v>341</v>
      </c>
      <c r="E91" s="117"/>
      <c r="F91" s="124">
        <v>158</v>
      </c>
      <c r="G91" s="124">
        <v>0</v>
      </c>
      <c r="H91" s="124">
        <v>0</v>
      </c>
      <c r="I91" s="124">
        <v>0</v>
      </c>
      <c r="J91" s="124">
        <f t="shared" si="2"/>
        <v>0</v>
      </c>
      <c r="K91" s="117" t="s">
        <v>2337</v>
      </c>
      <c r="L91" s="118">
        <v>46702.430555555562</v>
      </c>
      <c r="M91" s="117"/>
      <c r="N91" s="118"/>
      <c r="O91" s="117">
        <v>0</v>
      </c>
      <c r="P91" s="117">
        <v>0</v>
      </c>
      <c r="Q91" s="117" t="s">
        <v>948</v>
      </c>
      <c r="R91" s="117" t="s">
        <v>3346</v>
      </c>
    </row>
    <row r="92" spans="1:18" ht="34.5" customHeight="1">
      <c r="A92" s="115" t="s">
        <v>3460</v>
      </c>
      <c r="B92" s="119">
        <v>46692</v>
      </c>
      <c r="C92" s="115" t="s">
        <v>224</v>
      </c>
      <c r="D92" s="115" t="s">
        <v>341</v>
      </c>
      <c r="E92" s="115"/>
      <c r="F92" s="123">
        <v>158</v>
      </c>
      <c r="G92" s="123">
        <v>0</v>
      </c>
      <c r="H92" s="123">
        <v>0</v>
      </c>
      <c r="I92" s="123">
        <v>0</v>
      </c>
      <c r="J92" s="123">
        <f t="shared" si="2"/>
        <v>0</v>
      </c>
      <c r="K92" s="115" t="s">
        <v>2337</v>
      </c>
      <c r="L92" s="119">
        <v>46703.430555555562</v>
      </c>
      <c r="M92" s="115"/>
      <c r="N92" s="119"/>
      <c r="O92" s="115">
        <v>0</v>
      </c>
      <c r="P92" s="115">
        <v>0</v>
      </c>
      <c r="Q92" s="115" t="s">
        <v>948</v>
      </c>
      <c r="R92" s="115" t="s">
        <v>3346</v>
      </c>
    </row>
    <row r="93" spans="1:18" ht="34.5" customHeight="1">
      <c r="A93" s="117" t="s">
        <v>3461</v>
      </c>
      <c r="B93" s="118">
        <v>46692</v>
      </c>
      <c r="C93" s="117" t="s">
        <v>224</v>
      </c>
      <c r="D93" s="117" t="s">
        <v>341</v>
      </c>
      <c r="E93" s="117"/>
      <c r="F93" s="124">
        <v>158</v>
      </c>
      <c r="G93" s="124">
        <v>0</v>
      </c>
      <c r="H93" s="124">
        <v>0</v>
      </c>
      <c r="I93" s="124">
        <v>0</v>
      </c>
      <c r="J93" s="124">
        <f t="shared" si="2"/>
        <v>0</v>
      </c>
      <c r="K93" s="117" t="s">
        <v>2337</v>
      </c>
      <c r="L93" s="118">
        <v>46703.430555555562</v>
      </c>
      <c r="M93" s="117"/>
      <c r="N93" s="118"/>
      <c r="O93" s="117">
        <v>0</v>
      </c>
      <c r="P93" s="117">
        <v>0</v>
      </c>
      <c r="Q93" s="117" t="s">
        <v>948</v>
      </c>
      <c r="R93" s="117" t="s">
        <v>3346</v>
      </c>
    </row>
    <row r="94" spans="1:18" ht="34.5" customHeight="1">
      <c r="A94" s="115" t="s">
        <v>3462</v>
      </c>
      <c r="B94" s="119">
        <v>46692</v>
      </c>
      <c r="C94" s="115" t="s">
        <v>224</v>
      </c>
      <c r="D94" s="115" t="s">
        <v>341</v>
      </c>
      <c r="E94" s="115"/>
      <c r="F94" s="123">
        <v>158</v>
      </c>
      <c r="G94" s="123">
        <v>0</v>
      </c>
      <c r="H94" s="123">
        <v>0</v>
      </c>
      <c r="I94" s="123">
        <v>0</v>
      </c>
      <c r="J94" s="123">
        <f t="shared" si="2"/>
        <v>0</v>
      </c>
      <c r="K94" s="115" t="s">
        <v>2337</v>
      </c>
      <c r="L94" s="119">
        <v>46703.430555555562</v>
      </c>
      <c r="M94" s="115"/>
      <c r="N94" s="119"/>
      <c r="O94" s="115">
        <v>0</v>
      </c>
      <c r="P94" s="115">
        <v>0</v>
      </c>
      <c r="Q94" s="115" t="s">
        <v>948</v>
      </c>
      <c r="R94" s="115" t="s">
        <v>3346</v>
      </c>
    </row>
    <row r="95" spans="1:18" ht="34.5" customHeight="1">
      <c r="A95" s="117" t="s">
        <v>3463</v>
      </c>
      <c r="B95" s="118">
        <v>46692</v>
      </c>
      <c r="C95" s="117" t="s">
        <v>224</v>
      </c>
      <c r="D95" s="117" t="s">
        <v>341</v>
      </c>
      <c r="E95" s="117"/>
      <c r="F95" s="124">
        <v>158</v>
      </c>
      <c r="G95" s="124">
        <v>0</v>
      </c>
      <c r="H95" s="124">
        <v>0</v>
      </c>
      <c r="I95" s="124">
        <v>0</v>
      </c>
      <c r="J95" s="124">
        <f t="shared" si="2"/>
        <v>0</v>
      </c>
      <c r="K95" s="117" t="s">
        <v>2337</v>
      </c>
      <c r="L95" s="118">
        <v>46704.430555555562</v>
      </c>
      <c r="M95" s="117"/>
      <c r="N95" s="118"/>
      <c r="O95" s="117">
        <v>0</v>
      </c>
      <c r="P95" s="117">
        <v>0</v>
      </c>
      <c r="Q95" s="117" t="s">
        <v>948</v>
      </c>
      <c r="R95" s="117" t="s">
        <v>3346</v>
      </c>
    </row>
    <row r="96" spans="1:18" ht="34.5" customHeight="1">
      <c r="A96" s="115" t="s">
        <v>3464</v>
      </c>
      <c r="B96" s="119">
        <v>46692</v>
      </c>
      <c r="C96" s="115" t="s">
        <v>224</v>
      </c>
      <c r="D96" s="115" t="s">
        <v>341</v>
      </c>
      <c r="E96" s="115"/>
      <c r="F96" s="123">
        <v>158</v>
      </c>
      <c r="G96" s="123">
        <v>0</v>
      </c>
      <c r="H96" s="123">
        <v>0</v>
      </c>
      <c r="I96" s="123">
        <v>0</v>
      </c>
      <c r="J96" s="123">
        <f t="shared" si="2"/>
        <v>0</v>
      </c>
      <c r="K96" s="115" t="s">
        <v>2337</v>
      </c>
      <c r="L96" s="119">
        <v>46704.430555555562</v>
      </c>
      <c r="M96" s="115"/>
      <c r="N96" s="119"/>
      <c r="O96" s="115">
        <v>0</v>
      </c>
      <c r="P96" s="115">
        <v>0</v>
      </c>
      <c r="Q96" s="115" t="s">
        <v>948</v>
      </c>
      <c r="R96" s="115" t="s">
        <v>3346</v>
      </c>
    </row>
    <row r="97" spans="1:18" ht="34.5" customHeight="1">
      <c r="A97" s="117" t="s">
        <v>3465</v>
      </c>
      <c r="B97" s="118">
        <v>46692</v>
      </c>
      <c r="C97" s="117" t="s">
        <v>224</v>
      </c>
      <c r="D97" s="117" t="s">
        <v>341</v>
      </c>
      <c r="E97" s="117"/>
      <c r="F97" s="124">
        <v>158</v>
      </c>
      <c r="G97" s="124">
        <v>0</v>
      </c>
      <c r="H97" s="124">
        <v>0</v>
      </c>
      <c r="I97" s="124">
        <v>0</v>
      </c>
      <c r="J97" s="124">
        <f t="shared" si="2"/>
        <v>0</v>
      </c>
      <c r="K97" s="117" t="s">
        <v>2337</v>
      </c>
      <c r="L97" s="118">
        <v>46704.430555555562</v>
      </c>
      <c r="M97" s="117"/>
      <c r="N97" s="118"/>
      <c r="O97" s="117">
        <v>0</v>
      </c>
      <c r="P97" s="117">
        <v>0</v>
      </c>
      <c r="Q97" s="117" t="s">
        <v>948</v>
      </c>
      <c r="R97" s="117" t="s">
        <v>3346</v>
      </c>
    </row>
    <row r="98" spans="1:18" ht="34.5" customHeight="1">
      <c r="A98" s="115" t="s">
        <v>3466</v>
      </c>
      <c r="B98" s="119">
        <v>46692</v>
      </c>
      <c r="C98" s="115" t="s">
        <v>224</v>
      </c>
      <c r="D98" s="115" t="s">
        <v>341</v>
      </c>
      <c r="E98" s="115"/>
      <c r="F98" s="123">
        <v>158</v>
      </c>
      <c r="G98" s="123">
        <v>0</v>
      </c>
      <c r="H98" s="123">
        <v>0</v>
      </c>
      <c r="I98" s="123">
        <v>0</v>
      </c>
      <c r="J98" s="123">
        <f t="shared" si="2"/>
        <v>0</v>
      </c>
      <c r="K98" s="115" t="s">
        <v>2337</v>
      </c>
      <c r="L98" s="119">
        <v>46705.430555555562</v>
      </c>
      <c r="M98" s="115"/>
      <c r="N98" s="119"/>
      <c r="O98" s="115">
        <v>0</v>
      </c>
      <c r="P98" s="115">
        <v>0</v>
      </c>
      <c r="Q98" s="115" t="s">
        <v>948</v>
      </c>
      <c r="R98" s="115" t="s">
        <v>3346</v>
      </c>
    </row>
    <row r="99" spans="1:18" ht="34.5" customHeight="1">
      <c r="A99" s="117" t="s">
        <v>3467</v>
      </c>
      <c r="B99" s="118">
        <v>46692</v>
      </c>
      <c r="C99" s="117" t="s">
        <v>224</v>
      </c>
      <c r="D99" s="117" t="s">
        <v>341</v>
      </c>
      <c r="E99" s="117"/>
      <c r="F99" s="124">
        <v>158</v>
      </c>
      <c r="G99" s="124">
        <v>0</v>
      </c>
      <c r="H99" s="124">
        <v>0</v>
      </c>
      <c r="I99" s="124">
        <v>0</v>
      </c>
      <c r="J99" s="124">
        <f t="shared" si="2"/>
        <v>0</v>
      </c>
      <c r="K99" s="117" t="s">
        <v>2337</v>
      </c>
      <c r="L99" s="118">
        <v>46705.430555555562</v>
      </c>
      <c r="M99" s="117"/>
      <c r="N99" s="118"/>
      <c r="O99" s="117">
        <v>0</v>
      </c>
      <c r="P99" s="117">
        <v>0</v>
      </c>
      <c r="Q99" s="117" t="s">
        <v>948</v>
      </c>
      <c r="R99" s="117" t="s">
        <v>3346</v>
      </c>
    </row>
    <row r="100" spans="1:18" ht="34.5" customHeight="1">
      <c r="A100" s="115" t="s">
        <v>3468</v>
      </c>
      <c r="B100" s="119">
        <v>46692</v>
      </c>
      <c r="C100" s="115" t="s">
        <v>224</v>
      </c>
      <c r="D100" s="115" t="s">
        <v>341</v>
      </c>
      <c r="E100" s="115"/>
      <c r="F100" s="123">
        <v>158</v>
      </c>
      <c r="G100" s="123">
        <v>0</v>
      </c>
      <c r="H100" s="123">
        <v>0</v>
      </c>
      <c r="I100" s="123">
        <v>0</v>
      </c>
      <c r="J100" s="123">
        <f t="shared" si="2"/>
        <v>0</v>
      </c>
      <c r="K100" s="115" t="s">
        <v>2337</v>
      </c>
      <c r="L100" s="119">
        <v>46705.430555555562</v>
      </c>
      <c r="M100" s="115"/>
      <c r="N100" s="119"/>
      <c r="O100" s="115">
        <v>0</v>
      </c>
      <c r="P100" s="115">
        <v>0</v>
      </c>
      <c r="Q100" s="115" t="s">
        <v>948</v>
      </c>
      <c r="R100" s="115" t="s">
        <v>3346</v>
      </c>
    </row>
    <row r="101" spans="1:18" ht="34.5" customHeight="1">
      <c r="A101" s="117" t="s">
        <v>3469</v>
      </c>
      <c r="B101" s="118">
        <v>46692</v>
      </c>
      <c r="C101" s="117" t="s">
        <v>224</v>
      </c>
      <c r="D101" s="117" t="s">
        <v>341</v>
      </c>
      <c r="E101" s="117"/>
      <c r="F101" s="124">
        <v>158</v>
      </c>
      <c r="G101" s="124">
        <v>0</v>
      </c>
      <c r="H101" s="124">
        <v>0</v>
      </c>
      <c r="I101" s="124">
        <v>0</v>
      </c>
      <c r="J101" s="124">
        <f t="shared" si="2"/>
        <v>0</v>
      </c>
      <c r="K101" s="117" t="s">
        <v>2337</v>
      </c>
      <c r="L101" s="118">
        <v>46706.430555555562</v>
      </c>
      <c r="M101" s="117"/>
      <c r="N101" s="118"/>
      <c r="O101" s="117">
        <v>0</v>
      </c>
      <c r="P101" s="117">
        <v>0</v>
      </c>
      <c r="Q101" s="117" t="s">
        <v>948</v>
      </c>
      <c r="R101" s="117" t="s">
        <v>3346</v>
      </c>
    </row>
    <row r="102" spans="1:18" ht="34.5" customHeight="1">
      <c r="A102" s="115" t="s">
        <v>3470</v>
      </c>
      <c r="B102" s="119">
        <v>46692</v>
      </c>
      <c r="C102" s="115" t="s">
        <v>224</v>
      </c>
      <c r="D102" s="115" t="s">
        <v>341</v>
      </c>
      <c r="E102" s="115"/>
      <c r="F102" s="123">
        <v>158</v>
      </c>
      <c r="G102" s="123">
        <v>0</v>
      </c>
      <c r="H102" s="123">
        <v>0</v>
      </c>
      <c r="I102" s="123">
        <v>0</v>
      </c>
      <c r="J102" s="123">
        <f t="shared" ref="J102:J133" si="3">IF(AND(ISNUMBER(H102),ISNUMBER(I102)),H102+I102,NA())</f>
        <v>0</v>
      </c>
      <c r="K102" s="115" t="s">
        <v>2337</v>
      </c>
      <c r="L102" s="119">
        <v>46706.430555555562</v>
      </c>
      <c r="M102" s="115"/>
      <c r="N102" s="119"/>
      <c r="O102" s="115">
        <v>0</v>
      </c>
      <c r="P102" s="115">
        <v>0</v>
      </c>
      <c r="Q102" s="115" t="s">
        <v>948</v>
      </c>
      <c r="R102" s="115" t="s">
        <v>3346</v>
      </c>
    </row>
    <row r="103" spans="1:18" ht="34.5" customHeight="1">
      <c r="A103" s="117" t="s">
        <v>3471</v>
      </c>
      <c r="B103" s="118">
        <v>46692</v>
      </c>
      <c r="C103" s="117" t="s">
        <v>224</v>
      </c>
      <c r="D103" s="117" t="s">
        <v>341</v>
      </c>
      <c r="E103" s="117"/>
      <c r="F103" s="124">
        <v>158</v>
      </c>
      <c r="G103" s="124">
        <v>0</v>
      </c>
      <c r="H103" s="124">
        <v>0</v>
      </c>
      <c r="I103" s="124">
        <v>0</v>
      </c>
      <c r="J103" s="124">
        <f t="shared" si="3"/>
        <v>0</v>
      </c>
      <c r="K103" s="117" t="s">
        <v>2337</v>
      </c>
      <c r="L103" s="118">
        <v>46706.430555555562</v>
      </c>
      <c r="M103" s="117"/>
      <c r="N103" s="118"/>
      <c r="O103" s="117">
        <v>0</v>
      </c>
      <c r="P103" s="117">
        <v>0</v>
      </c>
      <c r="Q103" s="117" t="s">
        <v>948</v>
      </c>
      <c r="R103" s="117" t="s">
        <v>3346</v>
      </c>
    </row>
    <row r="104" spans="1:18" ht="34.5" customHeight="1">
      <c r="A104" s="115" t="s">
        <v>3472</v>
      </c>
      <c r="B104" s="119">
        <v>46692</v>
      </c>
      <c r="C104" s="115" t="s">
        <v>224</v>
      </c>
      <c r="D104" s="115" t="s">
        <v>341</v>
      </c>
      <c r="E104" s="115"/>
      <c r="F104" s="123">
        <v>158</v>
      </c>
      <c r="G104" s="123">
        <v>0</v>
      </c>
      <c r="H104" s="123">
        <v>0</v>
      </c>
      <c r="I104" s="123">
        <v>0</v>
      </c>
      <c r="J104" s="123">
        <f t="shared" si="3"/>
        <v>0</v>
      </c>
      <c r="K104" s="115" t="s">
        <v>2337</v>
      </c>
      <c r="L104" s="119">
        <v>46707.430555555562</v>
      </c>
      <c r="M104" s="115"/>
      <c r="N104" s="119"/>
      <c r="O104" s="115">
        <v>0</v>
      </c>
      <c r="P104" s="115">
        <v>0</v>
      </c>
      <c r="Q104" s="115" t="s">
        <v>948</v>
      </c>
      <c r="R104" s="115" t="s">
        <v>3346</v>
      </c>
    </row>
    <row r="105" spans="1:18" ht="34.5" customHeight="1">
      <c r="A105" s="117" t="s">
        <v>3473</v>
      </c>
      <c r="B105" s="118">
        <v>46692</v>
      </c>
      <c r="C105" s="117" t="s">
        <v>224</v>
      </c>
      <c r="D105" s="117" t="s">
        <v>341</v>
      </c>
      <c r="E105" s="117"/>
      <c r="F105" s="124">
        <v>158</v>
      </c>
      <c r="G105" s="124">
        <v>0</v>
      </c>
      <c r="H105" s="124">
        <v>0</v>
      </c>
      <c r="I105" s="124">
        <v>0</v>
      </c>
      <c r="J105" s="124">
        <f t="shared" si="3"/>
        <v>0</v>
      </c>
      <c r="K105" s="117" t="s">
        <v>2337</v>
      </c>
      <c r="L105" s="118">
        <v>46707.430555555562</v>
      </c>
      <c r="M105" s="117"/>
      <c r="N105" s="118"/>
      <c r="O105" s="117">
        <v>0</v>
      </c>
      <c r="P105" s="117">
        <v>0</v>
      </c>
      <c r="Q105" s="117" t="s">
        <v>948</v>
      </c>
      <c r="R105" s="117" t="s">
        <v>3346</v>
      </c>
    </row>
    <row r="106" spans="1:18" ht="34.5" customHeight="1">
      <c r="A106" s="115" t="s">
        <v>3474</v>
      </c>
      <c r="B106" s="119">
        <v>46692</v>
      </c>
      <c r="C106" s="115" t="s">
        <v>224</v>
      </c>
      <c r="D106" s="115" t="s">
        <v>341</v>
      </c>
      <c r="E106" s="115"/>
      <c r="F106" s="123">
        <v>158</v>
      </c>
      <c r="G106" s="123">
        <v>0</v>
      </c>
      <c r="H106" s="123">
        <v>0</v>
      </c>
      <c r="I106" s="123">
        <v>0</v>
      </c>
      <c r="J106" s="123">
        <f t="shared" si="3"/>
        <v>0</v>
      </c>
      <c r="K106" s="115" t="s">
        <v>2337</v>
      </c>
      <c r="L106" s="119">
        <v>46707.430555555562</v>
      </c>
      <c r="M106" s="115"/>
      <c r="N106" s="119"/>
      <c r="O106" s="115">
        <v>0</v>
      </c>
      <c r="P106" s="115">
        <v>0</v>
      </c>
      <c r="Q106" s="115" t="s">
        <v>948</v>
      </c>
      <c r="R106" s="115" t="s">
        <v>3346</v>
      </c>
    </row>
    <row r="107" spans="1:18" ht="34.5" customHeight="1">
      <c r="A107" s="117" t="s">
        <v>3475</v>
      </c>
      <c r="B107" s="118">
        <v>46692</v>
      </c>
      <c r="C107" s="117" t="s">
        <v>224</v>
      </c>
      <c r="D107" s="117" t="s">
        <v>341</v>
      </c>
      <c r="E107" s="117"/>
      <c r="F107" s="124">
        <v>158</v>
      </c>
      <c r="G107" s="124">
        <v>0</v>
      </c>
      <c r="H107" s="124">
        <v>0</v>
      </c>
      <c r="I107" s="124">
        <v>0</v>
      </c>
      <c r="J107" s="124">
        <f t="shared" si="3"/>
        <v>0</v>
      </c>
      <c r="K107" s="117" t="s">
        <v>2337</v>
      </c>
      <c r="L107" s="118">
        <v>46708.430555555562</v>
      </c>
      <c r="M107" s="117"/>
      <c r="N107" s="118"/>
      <c r="O107" s="117">
        <v>0</v>
      </c>
      <c r="P107" s="117">
        <v>0</v>
      </c>
      <c r="Q107" s="117" t="s">
        <v>948</v>
      </c>
      <c r="R107" s="117" t="s">
        <v>3346</v>
      </c>
    </row>
    <row r="108" spans="1:18" ht="34.5" customHeight="1">
      <c r="A108" s="115" t="s">
        <v>3476</v>
      </c>
      <c r="B108" s="119">
        <v>46692</v>
      </c>
      <c r="C108" s="115" t="s">
        <v>224</v>
      </c>
      <c r="D108" s="115" t="s">
        <v>341</v>
      </c>
      <c r="E108" s="115"/>
      <c r="F108" s="123">
        <v>158</v>
      </c>
      <c r="G108" s="123">
        <v>0</v>
      </c>
      <c r="H108" s="123">
        <v>0</v>
      </c>
      <c r="I108" s="123">
        <v>0</v>
      </c>
      <c r="J108" s="123">
        <f t="shared" si="3"/>
        <v>0</v>
      </c>
      <c r="K108" s="115" t="s">
        <v>2337</v>
      </c>
      <c r="L108" s="119">
        <v>46708.430555555562</v>
      </c>
      <c r="M108" s="115"/>
      <c r="N108" s="119"/>
      <c r="O108" s="115">
        <v>0</v>
      </c>
      <c r="P108" s="115">
        <v>0</v>
      </c>
      <c r="Q108" s="115" t="s">
        <v>948</v>
      </c>
      <c r="R108" s="115" t="s">
        <v>3346</v>
      </c>
    </row>
    <row r="109" spans="1:18" ht="34.5" customHeight="1">
      <c r="A109" s="117" t="s">
        <v>3477</v>
      </c>
      <c r="B109" s="118">
        <v>46692</v>
      </c>
      <c r="C109" s="117" t="s">
        <v>224</v>
      </c>
      <c r="D109" s="117" t="s">
        <v>341</v>
      </c>
      <c r="E109" s="117"/>
      <c r="F109" s="124">
        <v>158</v>
      </c>
      <c r="G109" s="124">
        <v>0</v>
      </c>
      <c r="H109" s="124">
        <v>0</v>
      </c>
      <c r="I109" s="124">
        <v>0</v>
      </c>
      <c r="J109" s="124">
        <f t="shared" si="3"/>
        <v>0</v>
      </c>
      <c r="K109" s="117" t="s">
        <v>2337</v>
      </c>
      <c r="L109" s="118">
        <v>46708.430555555562</v>
      </c>
      <c r="M109" s="117"/>
      <c r="N109" s="118"/>
      <c r="O109" s="117">
        <v>0</v>
      </c>
      <c r="P109" s="117">
        <v>0</v>
      </c>
      <c r="Q109" s="117" t="s">
        <v>948</v>
      </c>
      <c r="R109" s="117" t="s">
        <v>3346</v>
      </c>
    </row>
    <row r="110" spans="1:18" ht="34.5" customHeight="1">
      <c r="A110" s="115" t="s">
        <v>3478</v>
      </c>
      <c r="B110" s="119">
        <v>46692</v>
      </c>
      <c r="C110" s="115" t="s">
        <v>224</v>
      </c>
      <c r="D110" s="115" t="s">
        <v>341</v>
      </c>
      <c r="E110" s="115"/>
      <c r="F110" s="123">
        <v>158</v>
      </c>
      <c r="G110" s="123">
        <v>0</v>
      </c>
      <c r="H110" s="123">
        <v>0</v>
      </c>
      <c r="I110" s="123">
        <v>0</v>
      </c>
      <c r="J110" s="123">
        <f t="shared" si="3"/>
        <v>0</v>
      </c>
      <c r="K110" s="115" t="s">
        <v>2337</v>
      </c>
      <c r="L110" s="119">
        <v>46709.430555555562</v>
      </c>
      <c r="M110" s="115"/>
      <c r="N110" s="119"/>
      <c r="O110" s="115">
        <v>0</v>
      </c>
      <c r="P110" s="115">
        <v>0</v>
      </c>
      <c r="Q110" s="115" t="s">
        <v>948</v>
      </c>
      <c r="R110" s="115" t="s">
        <v>3346</v>
      </c>
    </row>
    <row r="111" spans="1:18" ht="34.5" customHeight="1">
      <c r="A111" s="117" t="s">
        <v>3479</v>
      </c>
      <c r="B111" s="118">
        <v>46692</v>
      </c>
      <c r="C111" s="117" t="s">
        <v>224</v>
      </c>
      <c r="D111" s="117" t="s">
        <v>341</v>
      </c>
      <c r="E111" s="117"/>
      <c r="F111" s="124">
        <v>158</v>
      </c>
      <c r="G111" s="124">
        <v>0</v>
      </c>
      <c r="H111" s="124">
        <v>0</v>
      </c>
      <c r="I111" s="124">
        <v>0</v>
      </c>
      <c r="J111" s="124">
        <f t="shared" si="3"/>
        <v>0</v>
      </c>
      <c r="K111" s="117" t="s">
        <v>2337</v>
      </c>
      <c r="L111" s="118">
        <v>46709.430555555562</v>
      </c>
      <c r="M111" s="117"/>
      <c r="N111" s="118"/>
      <c r="O111" s="117">
        <v>0</v>
      </c>
      <c r="P111" s="117">
        <v>0</v>
      </c>
      <c r="Q111" s="117" t="s">
        <v>948</v>
      </c>
      <c r="R111" s="117" t="s">
        <v>3346</v>
      </c>
    </row>
    <row r="112" spans="1:18" ht="34.5" customHeight="1">
      <c r="A112" s="115" t="s">
        <v>3480</v>
      </c>
      <c r="B112" s="119">
        <v>46692</v>
      </c>
      <c r="C112" s="115" t="s">
        <v>224</v>
      </c>
      <c r="D112" s="115" t="s">
        <v>341</v>
      </c>
      <c r="E112" s="115"/>
      <c r="F112" s="123">
        <v>158</v>
      </c>
      <c r="G112" s="123">
        <v>0</v>
      </c>
      <c r="H112" s="123">
        <v>0</v>
      </c>
      <c r="I112" s="123">
        <v>0</v>
      </c>
      <c r="J112" s="123">
        <f t="shared" si="3"/>
        <v>0</v>
      </c>
      <c r="K112" s="115" t="s">
        <v>2337</v>
      </c>
      <c r="L112" s="119">
        <v>46709.430555555562</v>
      </c>
      <c r="M112" s="115"/>
      <c r="N112" s="119"/>
      <c r="O112" s="115">
        <v>0</v>
      </c>
      <c r="P112" s="115">
        <v>0</v>
      </c>
      <c r="Q112" s="115" t="s">
        <v>948</v>
      </c>
      <c r="R112" s="115" t="s">
        <v>3346</v>
      </c>
    </row>
    <row r="113" spans="1:18" ht="34.5" customHeight="1">
      <c r="A113" s="117" t="s">
        <v>3481</v>
      </c>
      <c r="B113" s="118">
        <v>46692</v>
      </c>
      <c r="C113" s="117" t="s">
        <v>224</v>
      </c>
      <c r="D113" s="117" t="s">
        <v>341</v>
      </c>
      <c r="E113" s="117"/>
      <c r="F113" s="124">
        <v>158</v>
      </c>
      <c r="G113" s="124">
        <v>0</v>
      </c>
      <c r="H113" s="124">
        <v>0</v>
      </c>
      <c r="I113" s="124">
        <v>0</v>
      </c>
      <c r="J113" s="124">
        <f t="shared" si="3"/>
        <v>0</v>
      </c>
      <c r="K113" s="117" t="s">
        <v>2337</v>
      </c>
      <c r="L113" s="118">
        <v>46710.430555555562</v>
      </c>
      <c r="M113" s="117"/>
      <c r="N113" s="118"/>
      <c r="O113" s="117">
        <v>0</v>
      </c>
      <c r="P113" s="117">
        <v>0</v>
      </c>
      <c r="Q113" s="117" t="s">
        <v>948</v>
      </c>
      <c r="R113" s="117" t="s">
        <v>3346</v>
      </c>
    </row>
    <row r="114" spans="1:18" ht="34.5" customHeight="1">
      <c r="A114" s="115" t="s">
        <v>3482</v>
      </c>
      <c r="B114" s="119">
        <v>46692</v>
      </c>
      <c r="C114" s="115" t="s">
        <v>224</v>
      </c>
      <c r="D114" s="115" t="s">
        <v>341</v>
      </c>
      <c r="E114" s="115"/>
      <c r="F114" s="123">
        <v>158</v>
      </c>
      <c r="G114" s="123">
        <v>0</v>
      </c>
      <c r="H114" s="123">
        <v>0</v>
      </c>
      <c r="I114" s="123">
        <v>0</v>
      </c>
      <c r="J114" s="123">
        <f t="shared" si="3"/>
        <v>0</v>
      </c>
      <c r="K114" s="115" t="s">
        <v>2337</v>
      </c>
      <c r="L114" s="119">
        <v>46710.430555555562</v>
      </c>
      <c r="M114" s="115"/>
      <c r="N114" s="119"/>
      <c r="O114" s="115">
        <v>0</v>
      </c>
      <c r="P114" s="115">
        <v>0</v>
      </c>
      <c r="Q114" s="115" t="s">
        <v>948</v>
      </c>
      <c r="R114" s="115" t="s">
        <v>3346</v>
      </c>
    </row>
    <row r="115" spans="1:18" ht="34.5" customHeight="1">
      <c r="A115" s="117" t="s">
        <v>3483</v>
      </c>
      <c r="B115" s="118">
        <v>46692</v>
      </c>
      <c r="C115" s="117" t="s">
        <v>224</v>
      </c>
      <c r="D115" s="117" t="s">
        <v>341</v>
      </c>
      <c r="E115" s="117"/>
      <c r="F115" s="124">
        <v>158</v>
      </c>
      <c r="G115" s="124">
        <v>0</v>
      </c>
      <c r="H115" s="124">
        <v>0</v>
      </c>
      <c r="I115" s="124">
        <v>0</v>
      </c>
      <c r="J115" s="124">
        <f t="shared" si="3"/>
        <v>0</v>
      </c>
      <c r="K115" s="117" t="s">
        <v>2337</v>
      </c>
      <c r="L115" s="118">
        <v>46710.430555555562</v>
      </c>
      <c r="M115" s="117"/>
      <c r="N115" s="118"/>
      <c r="O115" s="117">
        <v>0</v>
      </c>
      <c r="P115" s="117">
        <v>0</v>
      </c>
      <c r="Q115" s="117" t="s">
        <v>948</v>
      </c>
      <c r="R115" s="117" t="s">
        <v>3346</v>
      </c>
    </row>
    <row r="116" spans="1:18" ht="34.5" customHeight="1">
      <c r="A116" s="115" t="s">
        <v>3484</v>
      </c>
      <c r="B116" s="119">
        <v>46692</v>
      </c>
      <c r="C116" s="115" t="s">
        <v>224</v>
      </c>
      <c r="D116" s="115" t="s">
        <v>341</v>
      </c>
      <c r="E116" s="115"/>
      <c r="F116" s="123">
        <v>158</v>
      </c>
      <c r="G116" s="123">
        <v>0</v>
      </c>
      <c r="H116" s="123">
        <v>0</v>
      </c>
      <c r="I116" s="123">
        <v>0</v>
      </c>
      <c r="J116" s="123">
        <f t="shared" si="3"/>
        <v>0</v>
      </c>
      <c r="K116" s="115" t="s">
        <v>2337</v>
      </c>
      <c r="L116" s="119">
        <v>46711.430555555562</v>
      </c>
      <c r="M116" s="115"/>
      <c r="N116" s="119"/>
      <c r="O116" s="115">
        <v>0</v>
      </c>
      <c r="P116" s="115">
        <v>0</v>
      </c>
      <c r="Q116" s="115" t="s">
        <v>948</v>
      </c>
      <c r="R116" s="115" t="s">
        <v>3346</v>
      </c>
    </row>
    <row r="117" spans="1:18" ht="34.5" customHeight="1">
      <c r="A117" s="117" t="s">
        <v>3485</v>
      </c>
      <c r="B117" s="118">
        <v>46692</v>
      </c>
      <c r="C117" s="117" t="s">
        <v>224</v>
      </c>
      <c r="D117" s="117" t="s">
        <v>341</v>
      </c>
      <c r="E117" s="117"/>
      <c r="F117" s="124">
        <v>158</v>
      </c>
      <c r="G117" s="124">
        <v>0</v>
      </c>
      <c r="H117" s="124">
        <v>0</v>
      </c>
      <c r="I117" s="124">
        <v>0</v>
      </c>
      <c r="J117" s="124">
        <f t="shared" si="3"/>
        <v>0</v>
      </c>
      <c r="K117" s="117" t="s">
        <v>2337</v>
      </c>
      <c r="L117" s="118">
        <v>46711.430555555562</v>
      </c>
      <c r="M117" s="117"/>
      <c r="N117" s="118"/>
      <c r="O117" s="117">
        <v>0</v>
      </c>
      <c r="P117" s="117">
        <v>0</v>
      </c>
      <c r="Q117" s="117" t="s">
        <v>948</v>
      </c>
      <c r="R117" s="117" t="s">
        <v>3346</v>
      </c>
    </row>
    <row r="118" spans="1:18" ht="34.5" customHeight="1">
      <c r="A118" s="115" t="s">
        <v>3486</v>
      </c>
      <c r="B118" s="119">
        <v>46692</v>
      </c>
      <c r="C118" s="115" t="s">
        <v>224</v>
      </c>
      <c r="D118" s="115" t="s">
        <v>341</v>
      </c>
      <c r="E118" s="115"/>
      <c r="F118" s="123">
        <v>158</v>
      </c>
      <c r="G118" s="123">
        <v>0</v>
      </c>
      <c r="H118" s="123">
        <v>0</v>
      </c>
      <c r="I118" s="123">
        <v>0</v>
      </c>
      <c r="J118" s="123">
        <f t="shared" si="3"/>
        <v>0</v>
      </c>
      <c r="K118" s="115" t="s">
        <v>2337</v>
      </c>
      <c r="L118" s="119">
        <v>46711.430555555562</v>
      </c>
      <c r="M118" s="115"/>
      <c r="N118" s="119"/>
      <c r="O118" s="115">
        <v>0</v>
      </c>
      <c r="P118" s="115">
        <v>0</v>
      </c>
      <c r="Q118" s="115" t="s">
        <v>948</v>
      </c>
      <c r="R118" s="115" t="s">
        <v>3346</v>
      </c>
    </row>
    <row r="119" spans="1:18" ht="34.5" customHeight="1">
      <c r="A119" s="117" t="s">
        <v>3487</v>
      </c>
      <c r="B119" s="118">
        <v>46692</v>
      </c>
      <c r="C119" s="117" t="s">
        <v>224</v>
      </c>
      <c r="D119" s="117" t="s">
        <v>341</v>
      </c>
      <c r="E119" s="117"/>
      <c r="F119" s="124">
        <v>158</v>
      </c>
      <c r="G119" s="124">
        <v>0</v>
      </c>
      <c r="H119" s="124">
        <v>0</v>
      </c>
      <c r="I119" s="124">
        <v>0</v>
      </c>
      <c r="J119" s="124">
        <f t="shared" si="3"/>
        <v>0</v>
      </c>
      <c r="K119" s="117" t="s">
        <v>2337</v>
      </c>
      <c r="L119" s="118">
        <v>46712.430555555562</v>
      </c>
      <c r="M119" s="117"/>
      <c r="N119" s="118"/>
      <c r="O119" s="117">
        <v>0</v>
      </c>
      <c r="P119" s="117">
        <v>0</v>
      </c>
      <c r="Q119" s="117" t="s">
        <v>948</v>
      </c>
      <c r="R119" s="117" t="s">
        <v>3346</v>
      </c>
    </row>
    <row r="120" spans="1:18" ht="34.5" customHeight="1">
      <c r="A120" s="115" t="s">
        <v>3488</v>
      </c>
      <c r="B120" s="119">
        <v>46692</v>
      </c>
      <c r="C120" s="115" t="s">
        <v>224</v>
      </c>
      <c r="D120" s="115" t="s">
        <v>341</v>
      </c>
      <c r="E120" s="115"/>
      <c r="F120" s="123">
        <v>158</v>
      </c>
      <c r="G120" s="123">
        <v>0</v>
      </c>
      <c r="H120" s="123">
        <v>0</v>
      </c>
      <c r="I120" s="123">
        <v>0</v>
      </c>
      <c r="J120" s="123">
        <f t="shared" si="3"/>
        <v>0</v>
      </c>
      <c r="K120" s="115" t="s">
        <v>2337</v>
      </c>
      <c r="L120" s="119">
        <v>46712.430555555562</v>
      </c>
      <c r="M120" s="115"/>
      <c r="N120" s="119"/>
      <c r="O120" s="115">
        <v>0</v>
      </c>
      <c r="P120" s="115">
        <v>0</v>
      </c>
      <c r="Q120" s="115" t="s">
        <v>948</v>
      </c>
      <c r="R120" s="115" t="s">
        <v>3346</v>
      </c>
    </row>
    <row r="121" spans="1:18" ht="34.5" customHeight="1">
      <c r="A121" s="117" t="s">
        <v>3489</v>
      </c>
      <c r="B121" s="118">
        <v>46692</v>
      </c>
      <c r="C121" s="117" t="s">
        <v>224</v>
      </c>
      <c r="D121" s="117" t="s">
        <v>341</v>
      </c>
      <c r="E121" s="117"/>
      <c r="F121" s="124">
        <v>158</v>
      </c>
      <c r="G121" s="124">
        <v>0</v>
      </c>
      <c r="H121" s="124">
        <v>0</v>
      </c>
      <c r="I121" s="124">
        <v>0</v>
      </c>
      <c r="J121" s="124">
        <f t="shared" si="3"/>
        <v>0</v>
      </c>
      <c r="K121" s="117" t="s">
        <v>2337</v>
      </c>
      <c r="L121" s="118">
        <v>46712.430555555562</v>
      </c>
      <c r="M121" s="117"/>
      <c r="N121" s="118"/>
      <c r="O121" s="117">
        <v>0</v>
      </c>
      <c r="P121" s="117">
        <v>0</v>
      </c>
      <c r="Q121" s="117" t="s">
        <v>948</v>
      </c>
      <c r="R121" s="117" t="s">
        <v>3346</v>
      </c>
    </row>
    <row r="122" spans="1:18" ht="34.5" customHeight="1">
      <c r="A122" s="115" t="s">
        <v>3490</v>
      </c>
      <c r="B122" s="119">
        <v>46692</v>
      </c>
      <c r="C122" s="115" t="s">
        <v>224</v>
      </c>
      <c r="D122" s="115" t="s">
        <v>341</v>
      </c>
      <c r="E122" s="115"/>
      <c r="F122" s="123">
        <v>158</v>
      </c>
      <c r="G122" s="123">
        <v>0</v>
      </c>
      <c r="H122" s="123">
        <v>0</v>
      </c>
      <c r="I122" s="123">
        <v>0</v>
      </c>
      <c r="J122" s="123">
        <f t="shared" si="3"/>
        <v>0</v>
      </c>
      <c r="K122" s="115" t="s">
        <v>2337</v>
      </c>
      <c r="L122" s="119">
        <v>46713.430555555562</v>
      </c>
      <c r="M122" s="115"/>
      <c r="N122" s="119"/>
      <c r="O122" s="115">
        <v>0</v>
      </c>
      <c r="P122" s="115">
        <v>0</v>
      </c>
      <c r="Q122" s="115" t="s">
        <v>948</v>
      </c>
      <c r="R122" s="115" t="s">
        <v>3346</v>
      </c>
    </row>
    <row r="123" spans="1:18" ht="34.5" customHeight="1">
      <c r="A123" s="117" t="s">
        <v>3491</v>
      </c>
      <c r="B123" s="118">
        <v>46692</v>
      </c>
      <c r="C123" s="117" t="s">
        <v>224</v>
      </c>
      <c r="D123" s="117" t="s">
        <v>341</v>
      </c>
      <c r="E123" s="117"/>
      <c r="F123" s="124">
        <v>158</v>
      </c>
      <c r="G123" s="124">
        <v>0</v>
      </c>
      <c r="H123" s="124">
        <v>0</v>
      </c>
      <c r="I123" s="124">
        <v>0</v>
      </c>
      <c r="J123" s="124">
        <f t="shared" si="3"/>
        <v>0</v>
      </c>
      <c r="K123" s="117" t="s">
        <v>2337</v>
      </c>
      <c r="L123" s="118">
        <v>46713.430555555562</v>
      </c>
      <c r="M123" s="117"/>
      <c r="N123" s="118"/>
      <c r="O123" s="117">
        <v>0</v>
      </c>
      <c r="P123" s="117">
        <v>0</v>
      </c>
      <c r="Q123" s="117" t="s">
        <v>948</v>
      </c>
      <c r="R123" s="117" t="s">
        <v>3346</v>
      </c>
    </row>
    <row r="124" spans="1:18" ht="34.5" customHeight="1">
      <c r="A124" s="115" t="s">
        <v>3492</v>
      </c>
      <c r="B124" s="119">
        <v>46692</v>
      </c>
      <c r="C124" s="115" t="s">
        <v>224</v>
      </c>
      <c r="D124" s="115" t="s">
        <v>341</v>
      </c>
      <c r="E124" s="115"/>
      <c r="F124" s="123">
        <v>158</v>
      </c>
      <c r="G124" s="123">
        <v>0</v>
      </c>
      <c r="H124" s="123">
        <v>0</v>
      </c>
      <c r="I124" s="123">
        <v>0</v>
      </c>
      <c r="J124" s="123">
        <f t="shared" si="3"/>
        <v>0</v>
      </c>
      <c r="K124" s="115" t="s">
        <v>2337</v>
      </c>
      <c r="L124" s="119">
        <v>46713.430555555562</v>
      </c>
      <c r="M124" s="115"/>
      <c r="N124" s="119"/>
      <c r="O124" s="115">
        <v>0</v>
      </c>
      <c r="P124" s="115">
        <v>0</v>
      </c>
      <c r="Q124" s="115" t="s">
        <v>948</v>
      </c>
      <c r="R124" s="115" t="s">
        <v>3346</v>
      </c>
    </row>
    <row r="125" spans="1:18" ht="34.5" customHeight="1">
      <c r="A125" s="117" t="s">
        <v>3493</v>
      </c>
      <c r="B125" s="118">
        <v>46692</v>
      </c>
      <c r="C125" s="117" t="s">
        <v>224</v>
      </c>
      <c r="D125" s="117" t="s">
        <v>341</v>
      </c>
      <c r="E125" s="117"/>
      <c r="F125" s="124">
        <v>158</v>
      </c>
      <c r="G125" s="124">
        <v>0</v>
      </c>
      <c r="H125" s="124">
        <v>0</v>
      </c>
      <c r="I125" s="124">
        <v>0</v>
      </c>
      <c r="J125" s="124">
        <f t="shared" si="3"/>
        <v>0</v>
      </c>
      <c r="K125" s="117" t="s">
        <v>2337</v>
      </c>
      <c r="L125" s="118">
        <v>46714.430555555562</v>
      </c>
      <c r="M125" s="117"/>
      <c r="N125" s="118"/>
      <c r="O125" s="117">
        <v>0</v>
      </c>
      <c r="P125" s="117">
        <v>0</v>
      </c>
      <c r="Q125" s="117" t="s">
        <v>948</v>
      </c>
      <c r="R125" s="117" t="s">
        <v>3346</v>
      </c>
    </row>
    <row r="126" spans="1:18" ht="34.5" customHeight="1">
      <c r="A126" s="115" t="s">
        <v>3494</v>
      </c>
      <c r="B126" s="119">
        <v>46722</v>
      </c>
      <c r="C126" s="115" t="s">
        <v>224</v>
      </c>
      <c r="D126" s="115" t="s">
        <v>341</v>
      </c>
      <c r="E126" s="115" t="s">
        <v>3495</v>
      </c>
      <c r="F126" s="123">
        <v>151</v>
      </c>
      <c r="G126" s="123">
        <v>1</v>
      </c>
      <c r="H126" s="123">
        <v>900000</v>
      </c>
      <c r="I126" s="123">
        <v>300000</v>
      </c>
      <c r="J126" s="123">
        <f t="shared" si="3"/>
        <v>1200000</v>
      </c>
      <c r="K126" s="115" t="s">
        <v>3238</v>
      </c>
      <c r="L126" s="119">
        <v>46727.527777777781</v>
      </c>
      <c r="M126" s="115" t="s">
        <v>1532</v>
      </c>
      <c r="N126" s="119">
        <v>46727.520833333336</v>
      </c>
      <c r="O126" s="115">
        <v>0</v>
      </c>
      <c r="P126" s="115">
        <v>0</v>
      </c>
      <c r="Q126" s="115" t="s">
        <v>948</v>
      </c>
      <c r="R126" s="115" t="s">
        <v>3496</v>
      </c>
    </row>
    <row r="127" spans="1:18" ht="34.5" customHeight="1">
      <c r="A127" s="117" t="s">
        <v>3497</v>
      </c>
      <c r="B127" s="118">
        <v>46722</v>
      </c>
      <c r="C127" s="117" t="s">
        <v>224</v>
      </c>
      <c r="D127" s="117" t="s">
        <v>341</v>
      </c>
      <c r="E127" s="117" t="s">
        <v>3498</v>
      </c>
      <c r="F127" s="124">
        <v>151</v>
      </c>
      <c r="G127" s="124">
        <v>1</v>
      </c>
      <c r="H127" s="124">
        <v>900000</v>
      </c>
      <c r="I127" s="124">
        <v>300000</v>
      </c>
      <c r="J127" s="124">
        <f t="shared" si="3"/>
        <v>1200000</v>
      </c>
      <c r="K127" s="117" t="s">
        <v>3242</v>
      </c>
      <c r="L127" s="118">
        <v>46731.430555555562</v>
      </c>
      <c r="M127" s="117" t="s">
        <v>1532</v>
      </c>
      <c r="N127" s="118">
        <v>46731.423611111117</v>
      </c>
      <c r="O127" s="117">
        <v>0</v>
      </c>
      <c r="P127" s="117">
        <v>0</v>
      </c>
      <c r="Q127" s="117" t="s">
        <v>948</v>
      </c>
      <c r="R127" s="117" t="s">
        <v>3499</v>
      </c>
    </row>
    <row r="128" spans="1:18" ht="34.5" customHeight="1">
      <c r="A128" s="115" t="s">
        <v>3500</v>
      </c>
      <c r="B128" s="119">
        <v>46722</v>
      </c>
      <c r="C128" s="115" t="s">
        <v>224</v>
      </c>
      <c r="D128" s="115" t="s">
        <v>341</v>
      </c>
      <c r="E128" s="115" t="s">
        <v>3501</v>
      </c>
      <c r="F128" s="123">
        <v>151</v>
      </c>
      <c r="G128" s="123">
        <v>1</v>
      </c>
      <c r="H128" s="123">
        <v>900000</v>
      </c>
      <c r="I128" s="123">
        <v>300000</v>
      </c>
      <c r="J128" s="123">
        <f t="shared" si="3"/>
        <v>1200000</v>
      </c>
      <c r="K128" s="115" t="s">
        <v>3242</v>
      </c>
      <c r="L128" s="119">
        <v>46735.430555555562</v>
      </c>
      <c r="M128" s="115" t="s">
        <v>1532</v>
      </c>
      <c r="N128" s="119">
        <v>46735.423611111117</v>
      </c>
      <c r="O128" s="115">
        <v>0</v>
      </c>
      <c r="P128" s="115">
        <v>0</v>
      </c>
      <c r="Q128" s="115" t="s">
        <v>948</v>
      </c>
      <c r="R128" s="115" t="s">
        <v>3502</v>
      </c>
    </row>
    <row r="129" spans="1:18" ht="34.5" customHeight="1">
      <c r="A129" s="117" t="s">
        <v>3503</v>
      </c>
      <c r="B129" s="118">
        <v>46722</v>
      </c>
      <c r="C129" s="117" t="s">
        <v>224</v>
      </c>
      <c r="D129" s="117" t="s">
        <v>341</v>
      </c>
      <c r="E129" s="117" t="s">
        <v>3504</v>
      </c>
      <c r="F129" s="124">
        <v>151</v>
      </c>
      <c r="G129" s="124">
        <v>1</v>
      </c>
      <c r="H129" s="124">
        <v>900000</v>
      </c>
      <c r="I129" s="124">
        <v>300000</v>
      </c>
      <c r="J129" s="124">
        <f t="shared" si="3"/>
        <v>1200000</v>
      </c>
      <c r="K129" s="117" t="s">
        <v>3242</v>
      </c>
      <c r="L129" s="118">
        <v>46741.430555555562</v>
      </c>
      <c r="M129" s="117" t="s">
        <v>1532</v>
      </c>
      <c r="N129" s="118">
        <v>46741.423611111117</v>
      </c>
      <c r="O129" s="117">
        <v>0</v>
      </c>
      <c r="P129" s="117">
        <v>0</v>
      </c>
      <c r="Q129" s="117" t="s">
        <v>948</v>
      </c>
      <c r="R129" s="117" t="s">
        <v>3505</v>
      </c>
    </row>
    <row r="130" spans="1:18" ht="34.5" customHeight="1">
      <c r="A130" s="115" t="s">
        <v>3506</v>
      </c>
      <c r="B130" s="119">
        <v>46722</v>
      </c>
      <c r="C130" s="115" t="s">
        <v>224</v>
      </c>
      <c r="D130" s="115" t="s">
        <v>341</v>
      </c>
      <c r="E130" s="115"/>
      <c r="F130" s="123">
        <v>151</v>
      </c>
      <c r="G130" s="123">
        <v>0</v>
      </c>
      <c r="H130" s="123">
        <v>0</v>
      </c>
      <c r="I130" s="123">
        <v>0</v>
      </c>
      <c r="J130" s="123">
        <f t="shared" si="3"/>
        <v>0</v>
      </c>
      <c r="K130" s="115" t="s">
        <v>2337</v>
      </c>
      <c r="L130" s="119">
        <v>46725.430555555562</v>
      </c>
      <c r="M130" s="115"/>
      <c r="N130" s="119"/>
      <c r="O130" s="115">
        <v>0</v>
      </c>
      <c r="P130" s="115">
        <v>0</v>
      </c>
      <c r="Q130" s="115" t="s">
        <v>948</v>
      </c>
      <c r="R130" s="115" t="s">
        <v>3346</v>
      </c>
    </row>
    <row r="131" spans="1:18" ht="34.5" customHeight="1">
      <c r="A131" s="117" t="s">
        <v>3507</v>
      </c>
      <c r="B131" s="118">
        <v>46722</v>
      </c>
      <c r="C131" s="117" t="s">
        <v>224</v>
      </c>
      <c r="D131" s="117" t="s">
        <v>341</v>
      </c>
      <c r="E131" s="117"/>
      <c r="F131" s="124">
        <v>151</v>
      </c>
      <c r="G131" s="124">
        <v>0</v>
      </c>
      <c r="H131" s="124">
        <v>0</v>
      </c>
      <c r="I131" s="124">
        <v>0</v>
      </c>
      <c r="J131" s="124">
        <f t="shared" si="3"/>
        <v>0</v>
      </c>
      <c r="K131" s="117" t="s">
        <v>2337</v>
      </c>
      <c r="L131" s="118">
        <v>46726.430555555562</v>
      </c>
      <c r="M131" s="117"/>
      <c r="N131" s="118"/>
      <c r="O131" s="117">
        <v>0</v>
      </c>
      <c r="P131" s="117">
        <v>0</v>
      </c>
      <c r="Q131" s="117" t="s">
        <v>948</v>
      </c>
      <c r="R131" s="117" t="s">
        <v>3346</v>
      </c>
    </row>
    <row r="132" spans="1:18" ht="34.5" customHeight="1">
      <c r="A132" s="115" t="s">
        <v>3508</v>
      </c>
      <c r="B132" s="119">
        <v>46722</v>
      </c>
      <c r="C132" s="115" t="s">
        <v>224</v>
      </c>
      <c r="D132" s="115" t="s">
        <v>341</v>
      </c>
      <c r="E132" s="115"/>
      <c r="F132" s="123">
        <v>151</v>
      </c>
      <c r="G132" s="123">
        <v>0</v>
      </c>
      <c r="H132" s="123">
        <v>0</v>
      </c>
      <c r="I132" s="123">
        <v>0</v>
      </c>
      <c r="J132" s="123">
        <f t="shared" si="3"/>
        <v>0</v>
      </c>
      <c r="K132" s="115" t="s">
        <v>2337</v>
      </c>
      <c r="L132" s="119">
        <v>46726.430555555562</v>
      </c>
      <c r="M132" s="115"/>
      <c r="N132" s="119"/>
      <c r="O132" s="115">
        <v>0</v>
      </c>
      <c r="P132" s="115">
        <v>0</v>
      </c>
      <c r="Q132" s="115" t="s">
        <v>948</v>
      </c>
      <c r="R132" s="115" t="s">
        <v>3346</v>
      </c>
    </row>
    <row r="133" spans="1:18" ht="34.5" customHeight="1">
      <c r="A133" s="117" t="s">
        <v>3509</v>
      </c>
      <c r="B133" s="118">
        <v>46722</v>
      </c>
      <c r="C133" s="117" t="s">
        <v>224</v>
      </c>
      <c r="D133" s="117" t="s">
        <v>341</v>
      </c>
      <c r="E133" s="117"/>
      <c r="F133" s="124">
        <v>151</v>
      </c>
      <c r="G133" s="124">
        <v>0</v>
      </c>
      <c r="H133" s="124">
        <v>0</v>
      </c>
      <c r="I133" s="124">
        <v>0</v>
      </c>
      <c r="J133" s="124">
        <f t="shared" si="3"/>
        <v>0</v>
      </c>
      <c r="K133" s="117" t="s">
        <v>2337</v>
      </c>
      <c r="L133" s="118">
        <v>46726.430555555562</v>
      </c>
      <c r="M133" s="117"/>
      <c r="N133" s="118"/>
      <c r="O133" s="117">
        <v>0</v>
      </c>
      <c r="P133" s="117">
        <v>0</v>
      </c>
      <c r="Q133" s="117" t="s">
        <v>948</v>
      </c>
      <c r="R133" s="117" t="s">
        <v>3346</v>
      </c>
    </row>
    <row r="134" spans="1:18" ht="34.5" customHeight="1">
      <c r="A134" s="115" t="s">
        <v>3510</v>
      </c>
      <c r="B134" s="119">
        <v>46722</v>
      </c>
      <c r="C134" s="115" t="s">
        <v>224</v>
      </c>
      <c r="D134" s="115" t="s">
        <v>341</v>
      </c>
      <c r="E134" s="115"/>
      <c r="F134" s="123">
        <v>151</v>
      </c>
      <c r="G134" s="123">
        <v>0</v>
      </c>
      <c r="H134" s="123">
        <v>0</v>
      </c>
      <c r="I134" s="123">
        <v>0</v>
      </c>
      <c r="J134" s="123">
        <f t="shared" ref="J134:J165" si="4">IF(AND(ISNUMBER(H134),ISNUMBER(I134)),H134+I134,NA())</f>
        <v>0</v>
      </c>
      <c r="K134" s="115" t="s">
        <v>2337</v>
      </c>
      <c r="L134" s="119">
        <v>46727.430555555562</v>
      </c>
      <c r="M134" s="115"/>
      <c r="N134" s="119"/>
      <c r="O134" s="115">
        <v>0</v>
      </c>
      <c r="P134" s="115">
        <v>0</v>
      </c>
      <c r="Q134" s="115" t="s">
        <v>948</v>
      </c>
      <c r="R134" s="115" t="s">
        <v>3346</v>
      </c>
    </row>
    <row r="135" spans="1:18" ht="34.5" customHeight="1">
      <c r="A135" s="117" t="s">
        <v>3511</v>
      </c>
      <c r="B135" s="118">
        <v>46722</v>
      </c>
      <c r="C135" s="117" t="s">
        <v>224</v>
      </c>
      <c r="D135" s="117" t="s">
        <v>341</v>
      </c>
      <c r="E135" s="117"/>
      <c r="F135" s="124">
        <v>151</v>
      </c>
      <c r="G135" s="124">
        <v>0</v>
      </c>
      <c r="H135" s="124">
        <v>0</v>
      </c>
      <c r="I135" s="124">
        <v>0</v>
      </c>
      <c r="J135" s="124">
        <f t="shared" si="4"/>
        <v>0</v>
      </c>
      <c r="K135" s="117" t="s">
        <v>2337</v>
      </c>
      <c r="L135" s="118">
        <v>46727.430555555562</v>
      </c>
      <c r="M135" s="117"/>
      <c r="N135" s="118"/>
      <c r="O135" s="117">
        <v>0</v>
      </c>
      <c r="P135" s="117">
        <v>0</v>
      </c>
      <c r="Q135" s="117" t="s">
        <v>948</v>
      </c>
      <c r="R135" s="117" t="s">
        <v>3346</v>
      </c>
    </row>
    <row r="136" spans="1:18" ht="34.5" customHeight="1">
      <c r="A136" s="115" t="s">
        <v>3512</v>
      </c>
      <c r="B136" s="119">
        <v>46722</v>
      </c>
      <c r="C136" s="115" t="s">
        <v>224</v>
      </c>
      <c r="D136" s="115" t="s">
        <v>341</v>
      </c>
      <c r="E136" s="115"/>
      <c r="F136" s="123">
        <v>151</v>
      </c>
      <c r="G136" s="123">
        <v>0</v>
      </c>
      <c r="H136" s="123">
        <v>0</v>
      </c>
      <c r="I136" s="123">
        <v>0</v>
      </c>
      <c r="J136" s="123">
        <f t="shared" si="4"/>
        <v>0</v>
      </c>
      <c r="K136" s="115" t="s">
        <v>2337</v>
      </c>
      <c r="L136" s="119">
        <v>46727.430555555562</v>
      </c>
      <c r="M136" s="115"/>
      <c r="N136" s="119"/>
      <c r="O136" s="115">
        <v>0</v>
      </c>
      <c r="P136" s="115">
        <v>0</v>
      </c>
      <c r="Q136" s="115" t="s">
        <v>948</v>
      </c>
      <c r="R136" s="115" t="s">
        <v>3346</v>
      </c>
    </row>
    <row r="137" spans="1:18" ht="34.5" customHeight="1">
      <c r="A137" s="117" t="s">
        <v>3513</v>
      </c>
      <c r="B137" s="118">
        <v>46722</v>
      </c>
      <c r="C137" s="117" t="s">
        <v>224</v>
      </c>
      <c r="D137" s="117" t="s">
        <v>341</v>
      </c>
      <c r="E137" s="117"/>
      <c r="F137" s="124">
        <v>151</v>
      </c>
      <c r="G137" s="124">
        <v>0</v>
      </c>
      <c r="H137" s="124">
        <v>0</v>
      </c>
      <c r="I137" s="124">
        <v>0</v>
      </c>
      <c r="J137" s="124">
        <f t="shared" si="4"/>
        <v>0</v>
      </c>
      <c r="K137" s="117" t="s">
        <v>2337</v>
      </c>
      <c r="L137" s="118">
        <v>46728.430555555562</v>
      </c>
      <c r="M137" s="117"/>
      <c r="N137" s="118"/>
      <c r="O137" s="117">
        <v>0</v>
      </c>
      <c r="P137" s="117">
        <v>0</v>
      </c>
      <c r="Q137" s="117" t="s">
        <v>948</v>
      </c>
      <c r="R137" s="117" t="s">
        <v>3346</v>
      </c>
    </row>
    <row r="138" spans="1:18" ht="34.5" customHeight="1">
      <c r="A138" s="115" t="s">
        <v>3514</v>
      </c>
      <c r="B138" s="119">
        <v>46722</v>
      </c>
      <c r="C138" s="115" t="s">
        <v>224</v>
      </c>
      <c r="D138" s="115" t="s">
        <v>341</v>
      </c>
      <c r="E138" s="115"/>
      <c r="F138" s="123">
        <v>151</v>
      </c>
      <c r="G138" s="123">
        <v>0</v>
      </c>
      <c r="H138" s="123">
        <v>0</v>
      </c>
      <c r="I138" s="123">
        <v>0</v>
      </c>
      <c r="J138" s="123">
        <f t="shared" si="4"/>
        <v>0</v>
      </c>
      <c r="K138" s="115" t="s">
        <v>2337</v>
      </c>
      <c r="L138" s="119">
        <v>46728.430555555562</v>
      </c>
      <c r="M138" s="115"/>
      <c r="N138" s="119"/>
      <c r="O138" s="115">
        <v>0</v>
      </c>
      <c r="P138" s="115">
        <v>0</v>
      </c>
      <c r="Q138" s="115" t="s">
        <v>948</v>
      </c>
      <c r="R138" s="115" t="s">
        <v>3346</v>
      </c>
    </row>
    <row r="139" spans="1:18" ht="34.5" customHeight="1">
      <c r="A139" s="117" t="s">
        <v>3515</v>
      </c>
      <c r="B139" s="118">
        <v>46722</v>
      </c>
      <c r="C139" s="117" t="s">
        <v>224</v>
      </c>
      <c r="D139" s="117" t="s">
        <v>341</v>
      </c>
      <c r="E139" s="117"/>
      <c r="F139" s="124">
        <v>151</v>
      </c>
      <c r="G139" s="124">
        <v>0</v>
      </c>
      <c r="H139" s="124">
        <v>0</v>
      </c>
      <c r="I139" s="124">
        <v>0</v>
      </c>
      <c r="J139" s="124">
        <f t="shared" si="4"/>
        <v>0</v>
      </c>
      <c r="K139" s="117" t="s">
        <v>2337</v>
      </c>
      <c r="L139" s="118">
        <v>46728.430555555562</v>
      </c>
      <c r="M139" s="117"/>
      <c r="N139" s="118"/>
      <c r="O139" s="117">
        <v>0</v>
      </c>
      <c r="P139" s="117">
        <v>0</v>
      </c>
      <c r="Q139" s="117" t="s">
        <v>948</v>
      </c>
      <c r="R139" s="117" t="s">
        <v>3346</v>
      </c>
    </row>
    <row r="140" spans="1:18" ht="34.5" customHeight="1">
      <c r="A140" s="115" t="s">
        <v>3516</v>
      </c>
      <c r="B140" s="119">
        <v>46722</v>
      </c>
      <c r="C140" s="115" t="s">
        <v>224</v>
      </c>
      <c r="D140" s="115" t="s">
        <v>341</v>
      </c>
      <c r="E140" s="115"/>
      <c r="F140" s="123">
        <v>151</v>
      </c>
      <c r="G140" s="123">
        <v>0</v>
      </c>
      <c r="H140" s="123">
        <v>0</v>
      </c>
      <c r="I140" s="123">
        <v>0</v>
      </c>
      <c r="J140" s="123">
        <f t="shared" si="4"/>
        <v>0</v>
      </c>
      <c r="K140" s="115" t="s">
        <v>2337</v>
      </c>
      <c r="L140" s="119">
        <v>46729.430555555562</v>
      </c>
      <c r="M140" s="115"/>
      <c r="N140" s="119"/>
      <c r="O140" s="115">
        <v>0</v>
      </c>
      <c r="P140" s="115">
        <v>0</v>
      </c>
      <c r="Q140" s="115" t="s">
        <v>948</v>
      </c>
      <c r="R140" s="115" t="s">
        <v>3346</v>
      </c>
    </row>
    <row r="141" spans="1:18" ht="34.5" customHeight="1">
      <c r="A141" s="117" t="s">
        <v>3517</v>
      </c>
      <c r="B141" s="118">
        <v>46722</v>
      </c>
      <c r="C141" s="117" t="s">
        <v>224</v>
      </c>
      <c r="D141" s="117" t="s">
        <v>341</v>
      </c>
      <c r="E141" s="117"/>
      <c r="F141" s="124">
        <v>151</v>
      </c>
      <c r="G141" s="124">
        <v>0</v>
      </c>
      <c r="H141" s="124">
        <v>0</v>
      </c>
      <c r="I141" s="124">
        <v>0</v>
      </c>
      <c r="J141" s="124">
        <f t="shared" si="4"/>
        <v>0</v>
      </c>
      <c r="K141" s="117" t="s">
        <v>2337</v>
      </c>
      <c r="L141" s="118">
        <v>46729.430555555562</v>
      </c>
      <c r="M141" s="117"/>
      <c r="N141" s="118"/>
      <c r="O141" s="117">
        <v>0</v>
      </c>
      <c r="P141" s="117">
        <v>0</v>
      </c>
      <c r="Q141" s="117" t="s">
        <v>948</v>
      </c>
      <c r="R141" s="117" t="s">
        <v>3346</v>
      </c>
    </row>
    <row r="142" spans="1:18" ht="34.5" customHeight="1">
      <c r="A142" s="115" t="s">
        <v>3518</v>
      </c>
      <c r="B142" s="119">
        <v>46722</v>
      </c>
      <c r="C142" s="115" t="s">
        <v>224</v>
      </c>
      <c r="D142" s="115" t="s">
        <v>341</v>
      </c>
      <c r="E142" s="115"/>
      <c r="F142" s="123">
        <v>151</v>
      </c>
      <c r="G142" s="123">
        <v>0</v>
      </c>
      <c r="H142" s="123">
        <v>0</v>
      </c>
      <c r="I142" s="123">
        <v>0</v>
      </c>
      <c r="J142" s="123">
        <f t="shared" si="4"/>
        <v>0</v>
      </c>
      <c r="K142" s="115" t="s">
        <v>2337</v>
      </c>
      <c r="L142" s="119">
        <v>46729.430555555562</v>
      </c>
      <c r="M142" s="115"/>
      <c r="N142" s="119"/>
      <c r="O142" s="115">
        <v>0</v>
      </c>
      <c r="P142" s="115">
        <v>0</v>
      </c>
      <c r="Q142" s="115" t="s">
        <v>948</v>
      </c>
      <c r="R142" s="115" t="s">
        <v>3346</v>
      </c>
    </row>
    <row r="143" spans="1:18" ht="34.5" customHeight="1">
      <c r="A143" s="117" t="s">
        <v>3519</v>
      </c>
      <c r="B143" s="118">
        <v>46722</v>
      </c>
      <c r="C143" s="117" t="s">
        <v>224</v>
      </c>
      <c r="D143" s="117" t="s">
        <v>341</v>
      </c>
      <c r="E143" s="117"/>
      <c r="F143" s="124">
        <v>151</v>
      </c>
      <c r="G143" s="124">
        <v>0</v>
      </c>
      <c r="H143" s="124">
        <v>0</v>
      </c>
      <c r="I143" s="124">
        <v>0</v>
      </c>
      <c r="J143" s="124">
        <f t="shared" si="4"/>
        <v>0</v>
      </c>
      <c r="K143" s="117" t="s">
        <v>2337</v>
      </c>
      <c r="L143" s="118">
        <v>46730.430555555562</v>
      </c>
      <c r="M143" s="117"/>
      <c r="N143" s="118"/>
      <c r="O143" s="117">
        <v>0</v>
      </c>
      <c r="P143" s="117">
        <v>0</v>
      </c>
      <c r="Q143" s="117" t="s">
        <v>948</v>
      </c>
      <c r="R143" s="117" t="s">
        <v>3346</v>
      </c>
    </row>
    <row r="144" spans="1:18" ht="34.5" customHeight="1">
      <c r="A144" s="115" t="s">
        <v>3520</v>
      </c>
      <c r="B144" s="119">
        <v>46722</v>
      </c>
      <c r="C144" s="115" t="s">
        <v>224</v>
      </c>
      <c r="D144" s="115" t="s">
        <v>341</v>
      </c>
      <c r="E144" s="115"/>
      <c r="F144" s="123">
        <v>151</v>
      </c>
      <c r="G144" s="123">
        <v>0</v>
      </c>
      <c r="H144" s="123">
        <v>0</v>
      </c>
      <c r="I144" s="123">
        <v>0</v>
      </c>
      <c r="J144" s="123">
        <f t="shared" si="4"/>
        <v>0</v>
      </c>
      <c r="K144" s="115" t="s">
        <v>2337</v>
      </c>
      <c r="L144" s="119">
        <v>46730.430555555562</v>
      </c>
      <c r="M144" s="115"/>
      <c r="N144" s="119"/>
      <c r="O144" s="115">
        <v>0</v>
      </c>
      <c r="P144" s="115">
        <v>0</v>
      </c>
      <c r="Q144" s="115" t="s">
        <v>948</v>
      </c>
      <c r="R144" s="115" t="s">
        <v>3346</v>
      </c>
    </row>
    <row r="145" spans="1:18" ht="34.5" customHeight="1">
      <c r="A145" s="117" t="s">
        <v>3521</v>
      </c>
      <c r="B145" s="118">
        <v>46722</v>
      </c>
      <c r="C145" s="117" t="s">
        <v>224</v>
      </c>
      <c r="D145" s="117" t="s">
        <v>341</v>
      </c>
      <c r="E145" s="117"/>
      <c r="F145" s="124">
        <v>151</v>
      </c>
      <c r="G145" s="124">
        <v>0</v>
      </c>
      <c r="H145" s="124">
        <v>0</v>
      </c>
      <c r="I145" s="124">
        <v>0</v>
      </c>
      <c r="J145" s="124">
        <f t="shared" si="4"/>
        <v>0</v>
      </c>
      <c r="K145" s="117" t="s">
        <v>2337</v>
      </c>
      <c r="L145" s="118">
        <v>46730.430555555562</v>
      </c>
      <c r="M145" s="117"/>
      <c r="N145" s="118"/>
      <c r="O145" s="117">
        <v>0</v>
      </c>
      <c r="P145" s="117">
        <v>0</v>
      </c>
      <c r="Q145" s="117" t="s">
        <v>948</v>
      </c>
      <c r="R145" s="117" t="s">
        <v>3346</v>
      </c>
    </row>
    <row r="146" spans="1:18" ht="34.5" customHeight="1">
      <c r="A146" s="115" t="s">
        <v>3522</v>
      </c>
      <c r="B146" s="119">
        <v>46722</v>
      </c>
      <c r="C146" s="115" t="s">
        <v>224</v>
      </c>
      <c r="D146" s="115" t="s">
        <v>341</v>
      </c>
      <c r="E146" s="115"/>
      <c r="F146" s="123">
        <v>151</v>
      </c>
      <c r="G146" s="123">
        <v>0</v>
      </c>
      <c r="H146" s="123">
        <v>0</v>
      </c>
      <c r="I146" s="123">
        <v>0</v>
      </c>
      <c r="J146" s="123">
        <f t="shared" si="4"/>
        <v>0</v>
      </c>
      <c r="K146" s="115" t="s">
        <v>2337</v>
      </c>
      <c r="L146" s="119">
        <v>46731.430555555562</v>
      </c>
      <c r="M146" s="115"/>
      <c r="N146" s="119"/>
      <c r="O146" s="115">
        <v>0</v>
      </c>
      <c r="P146" s="115">
        <v>0</v>
      </c>
      <c r="Q146" s="115" t="s">
        <v>948</v>
      </c>
      <c r="R146" s="115" t="s">
        <v>3346</v>
      </c>
    </row>
    <row r="147" spans="1:18" ht="34.5" customHeight="1">
      <c r="A147" s="117" t="s">
        <v>3523</v>
      </c>
      <c r="B147" s="118">
        <v>46722</v>
      </c>
      <c r="C147" s="117" t="s">
        <v>224</v>
      </c>
      <c r="D147" s="117" t="s">
        <v>341</v>
      </c>
      <c r="E147" s="117"/>
      <c r="F147" s="124">
        <v>151</v>
      </c>
      <c r="G147" s="124">
        <v>0</v>
      </c>
      <c r="H147" s="124">
        <v>0</v>
      </c>
      <c r="I147" s="124">
        <v>0</v>
      </c>
      <c r="J147" s="124">
        <f t="shared" si="4"/>
        <v>0</v>
      </c>
      <c r="K147" s="117" t="s">
        <v>2337</v>
      </c>
      <c r="L147" s="118">
        <v>46731.430555555562</v>
      </c>
      <c r="M147" s="117"/>
      <c r="N147" s="118"/>
      <c r="O147" s="117">
        <v>0</v>
      </c>
      <c r="P147" s="117">
        <v>0</v>
      </c>
      <c r="Q147" s="117" t="s">
        <v>948</v>
      </c>
      <c r="R147" s="117" t="s">
        <v>3346</v>
      </c>
    </row>
    <row r="148" spans="1:18" ht="34.5" customHeight="1">
      <c r="A148" s="115" t="s">
        <v>3524</v>
      </c>
      <c r="B148" s="119">
        <v>46722</v>
      </c>
      <c r="C148" s="115" t="s">
        <v>224</v>
      </c>
      <c r="D148" s="115" t="s">
        <v>341</v>
      </c>
      <c r="E148" s="115"/>
      <c r="F148" s="123">
        <v>151</v>
      </c>
      <c r="G148" s="123">
        <v>0</v>
      </c>
      <c r="H148" s="123">
        <v>0</v>
      </c>
      <c r="I148" s="123">
        <v>0</v>
      </c>
      <c r="J148" s="123">
        <f t="shared" si="4"/>
        <v>0</v>
      </c>
      <c r="K148" s="115" t="s">
        <v>2337</v>
      </c>
      <c r="L148" s="119">
        <v>46731.430555555562</v>
      </c>
      <c r="M148" s="115"/>
      <c r="N148" s="119"/>
      <c r="O148" s="115">
        <v>0</v>
      </c>
      <c r="P148" s="115">
        <v>0</v>
      </c>
      <c r="Q148" s="115" t="s">
        <v>948</v>
      </c>
      <c r="R148" s="115" t="s">
        <v>3346</v>
      </c>
    </row>
    <row r="149" spans="1:18" ht="34.5" customHeight="1">
      <c r="A149" s="117" t="s">
        <v>3525</v>
      </c>
      <c r="B149" s="118">
        <v>46722</v>
      </c>
      <c r="C149" s="117" t="s">
        <v>224</v>
      </c>
      <c r="D149" s="117" t="s">
        <v>341</v>
      </c>
      <c r="E149" s="117"/>
      <c r="F149" s="124">
        <v>151</v>
      </c>
      <c r="G149" s="124">
        <v>0</v>
      </c>
      <c r="H149" s="124">
        <v>0</v>
      </c>
      <c r="I149" s="124">
        <v>0</v>
      </c>
      <c r="J149" s="124">
        <f t="shared" si="4"/>
        <v>0</v>
      </c>
      <c r="K149" s="117" t="s">
        <v>2337</v>
      </c>
      <c r="L149" s="118">
        <v>46732.430555555562</v>
      </c>
      <c r="M149" s="117"/>
      <c r="N149" s="118"/>
      <c r="O149" s="117">
        <v>0</v>
      </c>
      <c r="P149" s="117">
        <v>0</v>
      </c>
      <c r="Q149" s="117" t="s">
        <v>948</v>
      </c>
      <c r="R149" s="117" t="s">
        <v>3346</v>
      </c>
    </row>
    <row r="150" spans="1:18" ht="34.5" customHeight="1">
      <c r="A150" s="115" t="s">
        <v>3526</v>
      </c>
      <c r="B150" s="119">
        <v>46722</v>
      </c>
      <c r="C150" s="115" t="s">
        <v>224</v>
      </c>
      <c r="D150" s="115" t="s">
        <v>341</v>
      </c>
      <c r="E150" s="115"/>
      <c r="F150" s="123">
        <v>151</v>
      </c>
      <c r="G150" s="123">
        <v>0</v>
      </c>
      <c r="H150" s="123">
        <v>0</v>
      </c>
      <c r="I150" s="123">
        <v>0</v>
      </c>
      <c r="J150" s="123">
        <f t="shared" si="4"/>
        <v>0</v>
      </c>
      <c r="K150" s="115" t="s">
        <v>2337</v>
      </c>
      <c r="L150" s="119">
        <v>46732.430555555562</v>
      </c>
      <c r="M150" s="115"/>
      <c r="N150" s="119"/>
      <c r="O150" s="115">
        <v>0</v>
      </c>
      <c r="P150" s="115">
        <v>0</v>
      </c>
      <c r="Q150" s="115" t="s">
        <v>948</v>
      </c>
      <c r="R150" s="115" t="s">
        <v>3346</v>
      </c>
    </row>
    <row r="151" spans="1:18" ht="34.5" customHeight="1">
      <c r="A151" s="117" t="s">
        <v>3527</v>
      </c>
      <c r="B151" s="118">
        <v>46722</v>
      </c>
      <c r="C151" s="117" t="s">
        <v>224</v>
      </c>
      <c r="D151" s="117" t="s">
        <v>341</v>
      </c>
      <c r="E151" s="117"/>
      <c r="F151" s="124">
        <v>150</v>
      </c>
      <c r="G151" s="124">
        <v>0</v>
      </c>
      <c r="H151" s="124">
        <v>0</v>
      </c>
      <c r="I151" s="124">
        <v>0</v>
      </c>
      <c r="J151" s="124">
        <f t="shared" si="4"/>
        <v>0</v>
      </c>
      <c r="K151" s="117" t="s">
        <v>2337</v>
      </c>
      <c r="L151" s="118">
        <v>46732.430555555562</v>
      </c>
      <c r="M151" s="117"/>
      <c r="N151" s="118"/>
      <c r="O151" s="117">
        <v>0</v>
      </c>
      <c r="P151" s="117">
        <v>0</v>
      </c>
      <c r="Q151" s="117" t="s">
        <v>948</v>
      </c>
      <c r="R151" s="117" t="s">
        <v>3346</v>
      </c>
    </row>
    <row r="152" spans="1:18" ht="34.5" customHeight="1">
      <c r="A152" s="115" t="s">
        <v>3528</v>
      </c>
      <c r="B152" s="119">
        <v>46722</v>
      </c>
      <c r="C152" s="115" t="s">
        <v>224</v>
      </c>
      <c r="D152" s="115" t="s">
        <v>341</v>
      </c>
      <c r="E152" s="115"/>
      <c r="F152" s="123">
        <v>150</v>
      </c>
      <c r="G152" s="123">
        <v>0</v>
      </c>
      <c r="H152" s="123">
        <v>0</v>
      </c>
      <c r="I152" s="123">
        <v>0</v>
      </c>
      <c r="J152" s="123">
        <f t="shared" si="4"/>
        <v>0</v>
      </c>
      <c r="K152" s="115" t="s">
        <v>2337</v>
      </c>
      <c r="L152" s="119">
        <v>46733.430555555562</v>
      </c>
      <c r="M152" s="115"/>
      <c r="N152" s="119"/>
      <c r="O152" s="115">
        <v>0</v>
      </c>
      <c r="P152" s="115">
        <v>0</v>
      </c>
      <c r="Q152" s="115" t="s">
        <v>948</v>
      </c>
      <c r="R152" s="115" t="s">
        <v>3346</v>
      </c>
    </row>
    <row r="153" spans="1:18" ht="34.5" customHeight="1">
      <c r="A153" s="117" t="s">
        <v>3529</v>
      </c>
      <c r="B153" s="118">
        <v>46722</v>
      </c>
      <c r="C153" s="117" t="s">
        <v>224</v>
      </c>
      <c r="D153" s="117" t="s">
        <v>341</v>
      </c>
      <c r="E153" s="117"/>
      <c r="F153" s="124">
        <v>150</v>
      </c>
      <c r="G153" s="124">
        <v>0</v>
      </c>
      <c r="H153" s="124">
        <v>0</v>
      </c>
      <c r="I153" s="124">
        <v>0</v>
      </c>
      <c r="J153" s="124">
        <f t="shared" si="4"/>
        <v>0</v>
      </c>
      <c r="K153" s="117" t="s">
        <v>2337</v>
      </c>
      <c r="L153" s="118">
        <v>46733.430555555562</v>
      </c>
      <c r="M153" s="117"/>
      <c r="N153" s="118"/>
      <c r="O153" s="117">
        <v>0</v>
      </c>
      <c r="P153" s="117">
        <v>0</v>
      </c>
      <c r="Q153" s="117" t="s">
        <v>948</v>
      </c>
      <c r="R153" s="117" t="s">
        <v>3346</v>
      </c>
    </row>
    <row r="154" spans="1:18" ht="34.5" customHeight="1">
      <c r="A154" s="115" t="s">
        <v>3530</v>
      </c>
      <c r="B154" s="119">
        <v>46722</v>
      </c>
      <c r="C154" s="115" t="s">
        <v>224</v>
      </c>
      <c r="D154" s="115" t="s">
        <v>341</v>
      </c>
      <c r="E154" s="115"/>
      <c r="F154" s="123">
        <v>150</v>
      </c>
      <c r="G154" s="123">
        <v>0</v>
      </c>
      <c r="H154" s="123">
        <v>0</v>
      </c>
      <c r="I154" s="123">
        <v>0</v>
      </c>
      <c r="J154" s="123">
        <f t="shared" si="4"/>
        <v>0</v>
      </c>
      <c r="K154" s="115" t="s">
        <v>2337</v>
      </c>
      <c r="L154" s="119">
        <v>46733.430555555562</v>
      </c>
      <c r="M154" s="115"/>
      <c r="N154" s="119"/>
      <c r="O154" s="115">
        <v>0</v>
      </c>
      <c r="P154" s="115">
        <v>0</v>
      </c>
      <c r="Q154" s="115" t="s">
        <v>948</v>
      </c>
      <c r="R154" s="115" t="s">
        <v>3346</v>
      </c>
    </row>
    <row r="155" spans="1:18" ht="34.5" customHeight="1">
      <c r="A155" s="117" t="s">
        <v>3531</v>
      </c>
      <c r="B155" s="118">
        <v>46722</v>
      </c>
      <c r="C155" s="117" t="s">
        <v>224</v>
      </c>
      <c r="D155" s="117" t="s">
        <v>341</v>
      </c>
      <c r="E155" s="117"/>
      <c r="F155" s="124">
        <v>150</v>
      </c>
      <c r="G155" s="124">
        <v>0</v>
      </c>
      <c r="H155" s="124">
        <v>0</v>
      </c>
      <c r="I155" s="124">
        <v>0</v>
      </c>
      <c r="J155" s="124">
        <f t="shared" si="4"/>
        <v>0</v>
      </c>
      <c r="K155" s="117" t="s">
        <v>2337</v>
      </c>
      <c r="L155" s="118">
        <v>46734.430555555562</v>
      </c>
      <c r="M155" s="117"/>
      <c r="N155" s="118"/>
      <c r="O155" s="117">
        <v>0</v>
      </c>
      <c r="P155" s="117">
        <v>0</v>
      </c>
      <c r="Q155" s="117" t="s">
        <v>948</v>
      </c>
      <c r="R155" s="117" t="s">
        <v>3346</v>
      </c>
    </row>
    <row r="156" spans="1:18" ht="34.5" customHeight="1">
      <c r="A156" s="115" t="s">
        <v>3532</v>
      </c>
      <c r="B156" s="119">
        <v>46722</v>
      </c>
      <c r="C156" s="115" t="s">
        <v>224</v>
      </c>
      <c r="D156" s="115" t="s">
        <v>341</v>
      </c>
      <c r="E156" s="115"/>
      <c r="F156" s="123">
        <v>150</v>
      </c>
      <c r="G156" s="123">
        <v>0</v>
      </c>
      <c r="H156" s="123">
        <v>0</v>
      </c>
      <c r="I156" s="123">
        <v>0</v>
      </c>
      <c r="J156" s="123">
        <f t="shared" si="4"/>
        <v>0</v>
      </c>
      <c r="K156" s="115" t="s">
        <v>2337</v>
      </c>
      <c r="L156" s="119">
        <v>46734.430555555562</v>
      </c>
      <c r="M156" s="115"/>
      <c r="N156" s="119"/>
      <c r="O156" s="115">
        <v>0</v>
      </c>
      <c r="P156" s="115">
        <v>0</v>
      </c>
      <c r="Q156" s="115" t="s">
        <v>948</v>
      </c>
      <c r="R156" s="115" t="s">
        <v>3346</v>
      </c>
    </row>
    <row r="157" spans="1:18" ht="34.5" customHeight="1">
      <c r="A157" s="117" t="s">
        <v>3533</v>
      </c>
      <c r="B157" s="118">
        <v>46722</v>
      </c>
      <c r="C157" s="117" t="s">
        <v>224</v>
      </c>
      <c r="D157" s="117" t="s">
        <v>341</v>
      </c>
      <c r="E157" s="117"/>
      <c r="F157" s="124">
        <v>150</v>
      </c>
      <c r="G157" s="124">
        <v>0</v>
      </c>
      <c r="H157" s="124">
        <v>0</v>
      </c>
      <c r="I157" s="124">
        <v>0</v>
      </c>
      <c r="J157" s="124">
        <f t="shared" si="4"/>
        <v>0</v>
      </c>
      <c r="K157" s="117" t="s">
        <v>2337</v>
      </c>
      <c r="L157" s="118">
        <v>46734.430555555562</v>
      </c>
      <c r="M157" s="117"/>
      <c r="N157" s="118"/>
      <c r="O157" s="117">
        <v>0</v>
      </c>
      <c r="P157" s="117">
        <v>0</v>
      </c>
      <c r="Q157" s="117" t="s">
        <v>948</v>
      </c>
      <c r="R157" s="117" t="s">
        <v>3346</v>
      </c>
    </row>
    <row r="158" spans="1:18" ht="34.5" customHeight="1">
      <c r="A158" s="115" t="s">
        <v>3534</v>
      </c>
      <c r="B158" s="119">
        <v>46722</v>
      </c>
      <c r="C158" s="115" t="s">
        <v>224</v>
      </c>
      <c r="D158" s="115" t="s">
        <v>341</v>
      </c>
      <c r="E158" s="115"/>
      <c r="F158" s="123">
        <v>150</v>
      </c>
      <c r="G158" s="123">
        <v>0</v>
      </c>
      <c r="H158" s="123">
        <v>0</v>
      </c>
      <c r="I158" s="123">
        <v>0</v>
      </c>
      <c r="J158" s="123">
        <f t="shared" si="4"/>
        <v>0</v>
      </c>
      <c r="K158" s="115" t="s">
        <v>2337</v>
      </c>
      <c r="L158" s="119">
        <v>46735.430555555562</v>
      </c>
      <c r="M158" s="115"/>
      <c r="N158" s="119"/>
      <c r="O158" s="115">
        <v>0</v>
      </c>
      <c r="P158" s="115">
        <v>0</v>
      </c>
      <c r="Q158" s="115" t="s">
        <v>948</v>
      </c>
      <c r="R158" s="115" t="s">
        <v>3346</v>
      </c>
    </row>
    <row r="159" spans="1:18" ht="34.5" customHeight="1">
      <c r="A159" s="117" t="s">
        <v>3535</v>
      </c>
      <c r="B159" s="118">
        <v>46722</v>
      </c>
      <c r="C159" s="117" t="s">
        <v>224</v>
      </c>
      <c r="D159" s="117" t="s">
        <v>341</v>
      </c>
      <c r="E159" s="117"/>
      <c r="F159" s="124">
        <v>150</v>
      </c>
      <c r="G159" s="124">
        <v>0</v>
      </c>
      <c r="H159" s="124">
        <v>0</v>
      </c>
      <c r="I159" s="124">
        <v>0</v>
      </c>
      <c r="J159" s="124">
        <f t="shared" si="4"/>
        <v>0</v>
      </c>
      <c r="K159" s="117" t="s">
        <v>2337</v>
      </c>
      <c r="L159" s="118">
        <v>46735.430555555562</v>
      </c>
      <c r="M159" s="117"/>
      <c r="N159" s="118"/>
      <c r="O159" s="117">
        <v>0</v>
      </c>
      <c r="P159" s="117">
        <v>0</v>
      </c>
      <c r="Q159" s="117" t="s">
        <v>948</v>
      </c>
      <c r="R159" s="117" t="s">
        <v>3346</v>
      </c>
    </row>
    <row r="160" spans="1:18" ht="34.5" customHeight="1">
      <c r="A160" s="115" t="s">
        <v>3536</v>
      </c>
      <c r="B160" s="119">
        <v>46722</v>
      </c>
      <c r="C160" s="115" t="s">
        <v>224</v>
      </c>
      <c r="D160" s="115" t="s">
        <v>341</v>
      </c>
      <c r="E160" s="115"/>
      <c r="F160" s="123">
        <v>150</v>
      </c>
      <c r="G160" s="123">
        <v>0</v>
      </c>
      <c r="H160" s="123">
        <v>0</v>
      </c>
      <c r="I160" s="123">
        <v>0</v>
      </c>
      <c r="J160" s="123">
        <f t="shared" si="4"/>
        <v>0</v>
      </c>
      <c r="K160" s="115" t="s">
        <v>2337</v>
      </c>
      <c r="L160" s="119">
        <v>46735.430555555562</v>
      </c>
      <c r="M160" s="115"/>
      <c r="N160" s="119"/>
      <c r="O160" s="115">
        <v>0</v>
      </c>
      <c r="P160" s="115">
        <v>0</v>
      </c>
      <c r="Q160" s="115" t="s">
        <v>948</v>
      </c>
      <c r="R160" s="115" t="s">
        <v>3346</v>
      </c>
    </row>
    <row r="161" spans="1:18" ht="34.5" customHeight="1">
      <c r="A161" s="117" t="s">
        <v>3537</v>
      </c>
      <c r="B161" s="118">
        <v>46722</v>
      </c>
      <c r="C161" s="117" t="s">
        <v>224</v>
      </c>
      <c r="D161" s="117" t="s">
        <v>341</v>
      </c>
      <c r="E161" s="117"/>
      <c r="F161" s="124">
        <v>150</v>
      </c>
      <c r="G161" s="124">
        <v>0</v>
      </c>
      <c r="H161" s="124">
        <v>0</v>
      </c>
      <c r="I161" s="124">
        <v>0</v>
      </c>
      <c r="J161" s="124">
        <f t="shared" si="4"/>
        <v>0</v>
      </c>
      <c r="K161" s="117" t="s">
        <v>2337</v>
      </c>
      <c r="L161" s="118">
        <v>46736.430555555562</v>
      </c>
      <c r="M161" s="117"/>
      <c r="N161" s="118"/>
      <c r="O161" s="117">
        <v>0</v>
      </c>
      <c r="P161" s="117">
        <v>0</v>
      </c>
      <c r="Q161" s="117" t="s">
        <v>948</v>
      </c>
      <c r="R161" s="117" t="s">
        <v>3346</v>
      </c>
    </row>
    <row r="162" spans="1:18" ht="34.5" customHeight="1">
      <c r="A162" s="115" t="s">
        <v>3538</v>
      </c>
      <c r="B162" s="119">
        <v>46722</v>
      </c>
      <c r="C162" s="115" t="s">
        <v>224</v>
      </c>
      <c r="D162" s="115" t="s">
        <v>341</v>
      </c>
      <c r="E162" s="115"/>
      <c r="F162" s="123">
        <v>150</v>
      </c>
      <c r="G162" s="123">
        <v>0</v>
      </c>
      <c r="H162" s="123">
        <v>0</v>
      </c>
      <c r="I162" s="123">
        <v>0</v>
      </c>
      <c r="J162" s="123">
        <f t="shared" si="4"/>
        <v>0</v>
      </c>
      <c r="K162" s="115" t="s">
        <v>2337</v>
      </c>
      <c r="L162" s="119">
        <v>46736.430555555562</v>
      </c>
      <c r="M162" s="115"/>
      <c r="N162" s="119"/>
      <c r="O162" s="115">
        <v>0</v>
      </c>
      <c r="P162" s="115">
        <v>0</v>
      </c>
      <c r="Q162" s="115" t="s">
        <v>948</v>
      </c>
      <c r="R162" s="115" t="s">
        <v>3346</v>
      </c>
    </row>
    <row r="163" spans="1:18" ht="34.5" customHeight="1">
      <c r="A163" s="117" t="s">
        <v>3539</v>
      </c>
      <c r="B163" s="118">
        <v>46722</v>
      </c>
      <c r="C163" s="117" t="s">
        <v>224</v>
      </c>
      <c r="D163" s="117" t="s">
        <v>341</v>
      </c>
      <c r="E163" s="117"/>
      <c r="F163" s="124">
        <v>150</v>
      </c>
      <c r="G163" s="124">
        <v>0</v>
      </c>
      <c r="H163" s="124">
        <v>0</v>
      </c>
      <c r="I163" s="124">
        <v>0</v>
      </c>
      <c r="J163" s="124">
        <f t="shared" si="4"/>
        <v>0</v>
      </c>
      <c r="K163" s="117" t="s">
        <v>2337</v>
      </c>
      <c r="L163" s="118">
        <v>46736.430555555562</v>
      </c>
      <c r="M163" s="117"/>
      <c r="N163" s="118"/>
      <c r="O163" s="117">
        <v>0</v>
      </c>
      <c r="P163" s="117">
        <v>0</v>
      </c>
      <c r="Q163" s="117" t="s">
        <v>948</v>
      </c>
      <c r="R163" s="117" t="s">
        <v>3346</v>
      </c>
    </row>
    <row r="164" spans="1:18" ht="34.5" customHeight="1">
      <c r="A164" s="115" t="s">
        <v>3540</v>
      </c>
      <c r="B164" s="119">
        <v>46722</v>
      </c>
      <c r="C164" s="115" t="s">
        <v>224</v>
      </c>
      <c r="D164" s="115" t="s">
        <v>341</v>
      </c>
      <c r="E164" s="115"/>
      <c r="F164" s="123">
        <v>150</v>
      </c>
      <c r="G164" s="123">
        <v>0</v>
      </c>
      <c r="H164" s="123">
        <v>0</v>
      </c>
      <c r="I164" s="123">
        <v>0</v>
      </c>
      <c r="J164" s="123">
        <f t="shared" si="4"/>
        <v>0</v>
      </c>
      <c r="K164" s="115" t="s">
        <v>2337</v>
      </c>
      <c r="L164" s="119">
        <v>46737.430555555562</v>
      </c>
      <c r="M164" s="115"/>
      <c r="N164" s="119"/>
      <c r="O164" s="115">
        <v>0</v>
      </c>
      <c r="P164" s="115">
        <v>0</v>
      </c>
      <c r="Q164" s="115" t="s">
        <v>948</v>
      </c>
      <c r="R164" s="115" t="s">
        <v>3346</v>
      </c>
    </row>
    <row r="165" spans="1:18" ht="34.5" customHeight="1">
      <c r="A165" s="117" t="s">
        <v>3541</v>
      </c>
      <c r="B165" s="118">
        <v>46722</v>
      </c>
      <c r="C165" s="117" t="s">
        <v>224</v>
      </c>
      <c r="D165" s="117" t="s">
        <v>341</v>
      </c>
      <c r="E165" s="117"/>
      <c r="F165" s="124">
        <v>150</v>
      </c>
      <c r="G165" s="124">
        <v>0</v>
      </c>
      <c r="H165" s="124">
        <v>0</v>
      </c>
      <c r="I165" s="124">
        <v>0</v>
      </c>
      <c r="J165" s="124">
        <f t="shared" si="4"/>
        <v>0</v>
      </c>
      <c r="K165" s="117" t="s">
        <v>2337</v>
      </c>
      <c r="L165" s="118">
        <v>46737.430555555562</v>
      </c>
      <c r="M165" s="117"/>
      <c r="N165" s="118"/>
      <c r="O165" s="117">
        <v>0</v>
      </c>
      <c r="P165" s="117">
        <v>0</v>
      </c>
      <c r="Q165" s="117" t="s">
        <v>948</v>
      </c>
      <c r="R165" s="117" t="s">
        <v>3346</v>
      </c>
    </row>
    <row r="166" spans="1:18" ht="34.5" customHeight="1">
      <c r="A166" s="115" t="s">
        <v>3542</v>
      </c>
      <c r="B166" s="119">
        <v>46722</v>
      </c>
      <c r="C166" s="115" t="s">
        <v>224</v>
      </c>
      <c r="D166" s="115" t="s">
        <v>341</v>
      </c>
      <c r="E166" s="115"/>
      <c r="F166" s="123">
        <v>150</v>
      </c>
      <c r="G166" s="123">
        <v>0</v>
      </c>
      <c r="H166" s="123">
        <v>0</v>
      </c>
      <c r="I166" s="123">
        <v>0</v>
      </c>
      <c r="J166" s="123">
        <f t="shared" ref="J166:J197" si="5">IF(AND(ISNUMBER(H166),ISNUMBER(I166)),H166+I166,NA())</f>
        <v>0</v>
      </c>
      <c r="K166" s="115" t="s">
        <v>2337</v>
      </c>
      <c r="L166" s="119">
        <v>46737.430555555562</v>
      </c>
      <c r="M166" s="115"/>
      <c r="N166" s="119"/>
      <c r="O166" s="115">
        <v>0</v>
      </c>
      <c r="P166" s="115">
        <v>0</v>
      </c>
      <c r="Q166" s="115" t="s">
        <v>948</v>
      </c>
      <c r="R166" s="115" t="s">
        <v>3346</v>
      </c>
    </row>
    <row r="167" spans="1:18" ht="34.5" customHeight="1">
      <c r="A167" s="117" t="s">
        <v>3543</v>
      </c>
      <c r="B167" s="118">
        <v>46722</v>
      </c>
      <c r="C167" s="117" t="s">
        <v>224</v>
      </c>
      <c r="D167" s="117" t="s">
        <v>341</v>
      </c>
      <c r="E167" s="117"/>
      <c r="F167" s="124">
        <v>150</v>
      </c>
      <c r="G167" s="124">
        <v>0</v>
      </c>
      <c r="H167" s="124">
        <v>0</v>
      </c>
      <c r="I167" s="124">
        <v>0</v>
      </c>
      <c r="J167" s="124">
        <f t="shared" si="5"/>
        <v>0</v>
      </c>
      <c r="K167" s="117" t="s">
        <v>2337</v>
      </c>
      <c r="L167" s="118">
        <v>46738.430555555562</v>
      </c>
      <c r="M167" s="117"/>
      <c r="N167" s="118"/>
      <c r="O167" s="117">
        <v>0</v>
      </c>
      <c r="P167" s="117">
        <v>0</v>
      </c>
      <c r="Q167" s="117" t="s">
        <v>948</v>
      </c>
      <c r="R167" s="117" t="s">
        <v>3346</v>
      </c>
    </row>
    <row r="168" spans="1:18" ht="34.5" customHeight="1">
      <c r="A168" s="115" t="s">
        <v>3544</v>
      </c>
      <c r="B168" s="119">
        <v>46722</v>
      </c>
      <c r="C168" s="115" t="s">
        <v>224</v>
      </c>
      <c r="D168" s="115" t="s">
        <v>341</v>
      </c>
      <c r="E168" s="115"/>
      <c r="F168" s="123">
        <v>150</v>
      </c>
      <c r="G168" s="123">
        <v>0</v>
      </c>
      <c r="H168" s="123">
        <v>0</v>
      </c>
      <c r="I168" s="123">
        <v>0</v>
      </c>
      <c r="J168" s="123">
        <f t="shared" si="5"/>
        <v>0</v>
      </c>
      <c r="K168" s="115" t="s">
        <v>2337</v>
      </c>
      <c r="L168" s="119">
        <v>46738.430555555562</v>
      </c>
      <c r="M168" s="115"/>
      <c r="N168" s="119"/>
      <c r="O168" s="115">
        <v>0</v>
      </c>
      <c r="P168" s="115">
        <v>0</v>
      </c>
      <c r="Q168" s="115" t="s">
        <v>948</v>
      </c>
      <c r="R168" s="115" t="s">
        <v>3346</v>
      </c>
    </row>
    <row r="169" spans="1:18" ht="34.5" customHeight="1">
      <c r="A169" s="117" t="s">
        <v>3545</v>
      </c>
      <c r="B169" s="118">
        <v>46722</v>
      </c>
      <c r="C169" s="117" t="s">
        <v>224</v>
      </c>
      <c r="D169" s="117" t="s">
        <v>341</v>
      </c>
      <c r="E169" s="117"/>
      <c r="F169" s="124">
        <v>150</v>
      </c>
      <c r="G169" s="124">
        <v>0</v>
      </c>
      <c r="H169" s="124">
        <v>0</v>
      </c>
      <c r="I169" s="124">
        <v>0</v>
      </c>
      <c r="J169" s="124">
        <f t="shared" si="5"/>
        <v>0</v>
      </c>
      <c r="K169" s="117" t="s">
        <v>2337</v>
      </c>
      <c r="L169" s="118">
        <v>46738.430555555562</v>
      </c>
      <c r="M169" s="117"/>
      <c r="N169" s="118"/>
      <c r="O169" s="117">
        <v>0</v>
      </c>
      <c r="P169" s="117">
        <v>0</v>
      </c>
      <c r="Q169" s="117" t="s">
        <v>948</v>
      </c>
      <c r="R169" s="117" t="s">
        <v>3346</v>
      </c>
    </row>
    <row r="170" spans="1:18" ht="34.5" customHeight="1">
      <c r="A170" s="115" t="s">
        <v>3546</v>
      </c>
      <c r="B170" s="119">
        <v>46722</v>
      </c>
      <c r="C170" s="115" t="s">
        <v>224</v>
      </c>
      <c r="D170" s="115" t="s">
        <v>341</v>
      </c>
      <c r="E170" s="115"/>
      <c r="F170" s="123">
        <v>150</v>
      </c>
      <c r="G170" s="123">
        <v>0</v>
      </c>
      <c r="H170" s="123">
        <v>0</v>
      </c>
      <c r="I170" s="123">
        <v>0</v>
      </c>
      <c r="J170" s="123">
        <f t="shared" si="5"/>
        <v>0</v>
      </c>
      <c r="K170" s="115" t="s">
        <v>2337</v>
      </c>
      <c r="L170" s="119">
        <v>46739.430555555562</v>
      </c>
      <c r="M170" s="115"/>
      <c r="N170" s="119"/>
      <c r="O170" s="115">
        <v>0</v>
      </c>
      <c r="P170" s="115">
        <v>0</v>
      </c>
      <c r="Q170" s="115" t="s">
        <v>948</v>
      </c>
      <c r="R170" s="115" t="s">
        <v>3346</v>
      </c>
    </row>
    <row r="171" spans="1:18" ht="34.5" customHeight="1">
      <c r="A171" s="117" t="s">
        <v>3547</v>
      </c>
      <c r="B171" s="118">
        <v>46722</v>
      </c>
      <c r="C171" s="117" t="s">
        <v>224</v>
      </c>
      <c r="D171" s="117" t="s">
        <v>341</v>
      </c>
      <c r="E171" s="117"/>
      <c r="F171" s="124">
        <v>150</v>
      </c>
      <c r="G171" s="124">
        <v>0</v>
      </c>
      <c r="H171" s="124">
        <v>0</v>
      </c>
      <c r="I171" s="124">
        <v>0</v>
      </c>
      <c r="J171" s="124">
        <f t="shared" si="5"/>
        <v>0</v>
      </c>
      <c r="K171" s="117" t="s">
        <v>2337</v>
      </c>
      <c r="L171" s="118">
        <v>46739.430555555562</v>
      </c>
      <c r="M171" s="117"/>
      <c r="N171" s="118"/>
      <c r="O171" s="117">
        <v>0</v>
      </c>
      <c r="P171" s="117">
        <v>0</v>
      </c>
      <c r="Q171" s="117" t="s">
        <v>948</v>
      </c>
      <c r="R171" s="117" t="s">
        <v>3346</v>
      </c>
    </row>
    <row r="172" spans="1:18" ht="34.5" customHeight="1">
      <c r="A172" s="115" t="s">
        <v>3548</v>
      </c>
      <c r="B172" s="119">
        <v>46722</v>
      </c>
      <c r="C172" s="115" t="s">
        <v>224</v>
      </c>
      <c r="D172" s="115" t="s">
        <v>341</v>
      </c>
      <c r="E172" s="115"/>
      <c r="F172" s="123">
        <v>150</v>
      </c>
      <c r="G172" s="123">
        <v>0</v>
      </c>
      <c r="H172" s="123">
        <v>0</v>
      </c>
      <c r="I172" s="123">
        <v>0</v>
      </c>
      <c r="J172" s="123">
        <f t="shared" si="5"/>
        <v>0</v>
      </c>
      <c r="K172" s="115" t="s">
        <v>2337</v>
      </c>
      <c r="L172" s="119">
        <v>46739.430555555562</v>
      </c>
      <c r="M172" s="115"/>
      <c r="N172" s="119"/>
      <c r="O172" s="115">
        <v>0</v>
      </c>
      <c r="P172" s="115">
        <v>0</v>
      </c>
      <c r="Q172" s="115" t="s">
        <v>948</v>
      </c>
      <c r="R172" s="115" t="s">
        <v>3346</v>
      </c>
    </row>
    <row r="173" spans="1:18" ht="34.5" customHeight="1">
      <c r="A173" s="117" t="s">
        <v>3549</v>
      </c>
      <c r="B173" s="118">
        <v>46722</v>
      </c>
      <c r="C173" s="117" t="s">
        <v>224</v>
      </c>
      <c r="D173" s="117" t="s">
        <v>341</v>
      </c>
      <c r="E173" s="117"/>
      <c r="F173" s="124">
        <v>150</v>
      </c>
      <c r="G173" s="124">
        <v>0</v>
      </c>
      <c r="H173" s="124">
        <v>0</v>
      </c>
      <c r="I173" s="124">
        <v>0</v>
      </c>
      <c r="J173" s="124">
        <f t="shared" si="5"/>
        <v>0</v>
      </c>
      <c r="K173" s="117" t="s">
        <v>2337</v>
      </c>
      <c r="L173" s="118">
        <v>46740.430555555562</v>
      </c>
      <c r="M173" s="117"/>
      <c r="N173" s="118"/>
      <c r="O173" s="117">
        <v>0</v>
      </c>
      <c r="P173" s="117">
        <v>0</v>
      </c>
      <c r="Q173" s="117" t="s">
        <v>948</v>
      </c>
      <c r="R173" s="117" t="s">
        <v>3346</v>
      </c>
    </row>
    <row r="174" spans="1:18" ht="34.5" customHeight="1">
      <c r="A174" s="115" t="s">
        <v>3550</v>
      </c>
      <c r="B174" s="119">
        <v>46722</v>
      </c>
      <c r="C174" s="115" t="s">
        <v>224</v>
      </c>
      <c r="D174" s="115" t="s">
        <v>341</v>
      </c>
      <c r="E174" s="115"/>
      <c r="F174" s="123">
        <v>150</v>
      </c>
      <c r="G174" s="123">
        <v>0</v>
      </c>
      <c r="H174" s="123">
        <v>0</v>
      </c>
      <c r="I174" s="123">
        <v>0</v>
      </c>
      <c r="J174" s="123">
        <f t="shared" si="5"/>
        <v>0</v>
      </c>
      <c r="K174" s="115" t="s">
        <v>2337</v>
      </c>
      <c r="L174" s="119">
        <v>46740.430555555562</v>
      </c>
      <c r="M174" s="115"/>
      <c r="N174" s="119"/>
      <c r="O174" s="115">
        <v>0</v>
      </c>
      <c r="P174" s="115">
        <v>0</v>
      </c>
      <c r="Q174" s="115" t="s">
        <v>948</v>
      </c>
      <c r="R174" s="115" t="s">
        <v>3346</v>
      </c>
    </row>
    <row r="175" spans="1:18" ht="34.5" customHeight="1">
      <c r="A175" s="117" t="s">
        <v>3551</v>
      </c>
      <c r="B175" s="118">
        <v>46722</v>
      </c>
      <c r="C175" s="117" t="s">
        <v>224</v>
      </c>
      <c r="D175" s="117" t="s">
        <v>341</v>
      </c>
      <c r="E175" s="117"/>
      <c r="F175" s="124">
        <v>150</v>
      </c>
      <c r="G175" s="124">
        <v>0</v>
      </c>
      <c r="H175" s="124">
        <v>0</v>
      </c>
      <c r="I175" s="124">
        <v>0</v>
      </c>
      <c r="J175" s="124">
        <f t="shared" si="5"/>
        <v>0</v>
      </c>
      <c r="K175" s="117" t="s">
        <v>2337</v>
      </c>
      <c r="L175" s="118">
        <v>46740.430555555562</v>
      </c>
      <c r="M175" s="117"/>
      <c r="N175" s="118"/>
      <c r="O175" s="117">
        <v>0</v>
      </c>
      <c r="P175" s="117">
        <v>0</v>
      </c>
      <c r="Q175" s="117" t="s">
        <v>948</v>
      </c>
      <c r="R175" s="117" t="s">
        <v>3346</v>
      </c>
    </row>
    <row r="176" spans="1:18" ht="34.5" customHeight="1">
      <c r="A176" s="115" t="s">
        <v>3552</v>
      </c>
      <c r="B176" s="119">
        <v>46722</v>
      </c>
      <c r="C176" s="115" t="s">
        <v>224</v>
      </c>
      <c r="D176" s="115" t="s">
        <v>341</v>
      </c>
      <c r="E176" s="115"/>
      <c r="F176" s="123">
        <v>150</v>
      </c>
      <c r="G176" s="123">
        <v>0</v>
      </c>
      <c r="H176" s="123">
        <v>0</v>
      </c>
      <c r="I176" s="123">
        <v>0</v>
      </c>
      <c r="J176" s="123">
        <f t="shared" si="5"/>
        <v>0</v>
      </c>
      <c r="K176" s="115" t="s">
        <v>2337</v>
      </c>
      <c r="L176" s="119">
        <v>46741.430555555562</v>
      </c>
      <c r="M176" s="115"/>
      <c r="N176" s="119"/>
      <c r="O176" s="115">
        <v>0</v>
      </c>
      <c r="P176" s="115">
        <v>0</v>
      </c>
      <c r="Q176" s="115" t="s">
        <v>948</v>
      </c>
      <c r="R176" s="115" t="s">
        <v>3346</v>
      </c>
    </row>
    <row r="177" spans="1:18" ht="34.5" customHeight="1">
      <c r="A177" s="117" t="s">
        <v>3553</v>
      </c>
      <c r="B177" s="118">
        <v>46722</v>
      </c>
      <c r="C177" s="117" t="s">
        <v>224</v>
      </c>
      <c r="D177" s="117" t="s">
        <v>341</v>
      </c>
      <c r="E177" s="117"/>
      <c r="F177" s="124">
        <v>150</v>
      </c>
      <c r="G177" s="124">
        <v>0</v>
      </c>
      <c r="H177" s="124">
        <v>0</v>
      </c>
      <c r="I177" s="124">
        <v>0</v>
      </c>
      <c r="J177" s="124">
        <f t="shared" si="5"/>
        <v>0</v>
      </c>
      <c r="K177" s="117" t="s">
        <v>2337</v>
      </c>
      <c r="L177" s="118">
        <v>46741.430555555562</v>
      </c>
      <c r="M177" s="117"/>
      <c r="N177" s="118"/>
      <c r="O177" s="117">
        <v>0</v>
      </c>
      <c r="P177" s="117">
        <v>0</v>
      </c>
      <c r="Q177" s="117" t="s">
        <v>948</v>
      </c>
      <c r="R177" s="117" t="s">
        <v>3346</v>
      </c>
    </row>
    <row r="178" spans="1:18" ht="34.5" customHeight="1">
      <c r="A178" s="115" t="s">
        <v>3554</v>
      </c>
      <c r="B178" s="119">
        <v>46722</v>
      </c>
      <c r="C178" s="115" t="s">
        <v>224</v>
      </c>
      <c r="D178" s="115" t="s">
        <v>341</v>
      </c>
      <c r="E178" s="115"/>
      <c r="F178" s="123">
        <v>150</v>
      </c>
      <c r="G178" s="123">
        <v>0</v>
      </c>
      <c r="H178" s="123">
        <v>0</v>
      </c>
      <c r="I178" s="123">
        <v>0</v>
      </c>
      <c r="J178" s="123">
        <f t="shared" si="5"/>
        <v>0</v>
      </c>
      <c r="K178" s="115" t="s">
        <v>2337</v>
      </c>
      <c r="L178" s="119">
        <v>46741.430555555562</v>
      </c>
      <c r="M178" s="115"/>
      <c r="N178" s="119"/>
      <c r="O178" s="115">
        <v>0</v>
      </c>
      <c r="P178" s="115">
        <v>0</v>
      </c>
      <c r="Q178" s="115" t="s">
        <v>948</v>
      </c>
      <c r="R178" s="115" t="s">
        <v>3346</v>
      </c>
    </row>
    <row r="179" spans="1:18" ht="34.5" customHeight="1">
      <c r="A179" s="117" t="s">
        <v>3555</v>
      </c>
      <c r="B179" s="118">
        <v>46722</v>
      </c>
      <c r="C179" s="117" t="s">
        <v>224</v>
      </c>
      <c r="D179" s="117" t="s">
        <v>341</v>
      </c>
      <c r="E179" s="117"/>
      <c r="F179" s="124">
        <v>150</v>
      </c>
      <c r="G179" s="124">
        <v>0</v>
      </c>
      <c r="H179" s="124">
        <v>0</v>
      </c>
      <c r="I179" s="124">
        <v>0</v>
      </c>
      <c r="J179" s="124">
        <f t="shared" si="5"/>
        <v>0</v>
      </c>
      <c r="K179" s="117" t="s">
        <v>2337</v>
      </c>
      <c r="L179" s="118">
        <v>46742.430555555562</v>
      </c>
      <c r="M179" s="117"/>
      <c r="N179" s="118"/>
      <c r="O179" s="117">
        <v>0</v>
      </c>
      <c r="P179" s="117">
        <v>0</v>
      </c>
      <c r="Q179" s="117" t="s">
        <v>948</v>
      </c>
      <c r="R179" s="117" t="s">
        <v>3346</v>
      </c>
    </row>
    <row r="180" spans="1:18" ht="34.5" customHeight="1">
      <c r="A180" s="115" t="s">
        <v>3556</v>
      </c>
      <c r="B180" s="119">
        <v>46722</v>
      </c>
      <c r="C180" s="115" t="s">
        <v>224</v>
      </c>
      <c r="D180" s="115" t="s">
        <v>341</v>
      </c>
      <c r="E180" s="115"/>
      <c r="F180" s="123">
        <v>150</v>
      </c>
      <c r="G180" s="123">
        <v>0</v>
      </c>
      <c r="H180" s="123">
        <v>0</v>
      </c>
      <c r="I180" s="123">
        <v>0</v>
      </c>
      <c r="J180" s="123">
        <f t="shared" si="5"/>
        <v>0</v>
      </c>
      <c r="K180" s="115" t="s">
        <v>2337</v>
      </c>
      <c r="L180" s="119">
        <v>46742.430555555562</v>
      </c>
      <c r="M180" s="115"/>
      <c r="N180" s="119"/>
      <c r="O180" s="115">
        <v>0</v>
      </c>
      <c r="P180" s="115">
        <v>0</v>
      </c>
      <c r="Q180" s="115" t="s">
        <v>948</v>
      </c>
      <c r="R180" s="115" t="s">
        <v>3346</v>
      </c>
    </row>
    <row r="181" spans="1:18" ht="34.5" customHeight="1">
      <c r="A181" s="117" t="s">
        <v>3557</v>
      </c>
      <c r="B181" s="118">
        <v>46722</v>
      </c>
      <c r="C181" s="117" t="s">
        <v>224</v>
      </c>
      <c r="D181" s="117" t="s">
        <v>341</v>
      </c>
      <c r="E181" s="117"/>
      <c r="F181" s="124">
        <v>150</v>
      </c>
      <c r="G181" s="124">
        <v>0</v>
      </c>
      <c r="H181" s="124">
        <v>0</v>
      </c>
      <c r="I181" s="124">
        <v>0</v>
      </c>
      <c r="J181" s="124">
        <f t="shared" si="5"/>
        <v>0</v>
      </c>
      <c r="K181" s="117" t="s">
        <v>2337</v>
      </c>
      <c r="L181" s="118">
        <v>46742.430555555562</v>
      </c>
      <c r="M181" s="117"/>
      <c r="N181" s="118"/>
      <c r="O181" s="117">
        <v>0</v>
      </c>
      <c r="P181" s="117">
        <v>0</v>
      </c>
      <c r="Q181" s="117" t="s">
        <v>948</v>
      </c>
      <c r="R181" s="117" t="s">
        <v>3346</v>
      </c>
    </row>
    <row r="182" spans="1:18" ht="34.5" customHeight="1">
      <c r="A182" s="115" t="s">
        <v>3558</v>
      </c>
      <c r="B182" s="119">
        <v>46722</v>
      </c>
      <c r="C182" s="115" t="s">
        <v>224</v>
      </c>
      <c r="D182" s="115" t="s">
        <v>341</v>
      </c>
      <c r="E182" s="115"/>
      <c r="F182" s="123">
        <v>150</v>
      </c>
      <c r="G182" s="123">
        <v>0</v>
      </c>
      <c r="H182" s="123">
        <v>0</v>
      </c>
      <c r="I182" s="123">
        <v>0</v>
      </c>
      <c r="J182" s="123">
        <f t="shared" si="5"/>
        <v>0</v>
      </c>
      <c r="K182" s="115" t="s">
        <v>2337</v>
      </c>
      <c r="L182" s="119">
        <v>46743.430555555562</v>
      </c>
      <c r="M182" s="115"/>
      <c r="N182" s="119"/>
      <c r="O182" s="115">
        <v>0</v>
      </c>
      <c r="P182" s="115">
        <v>0</v>
      </c>
      <c r="Q182" s="115" t="s">
        <v>948</v>
      </c>
      <c r="R182" s="115" t="s">
        <v>3346</v>
      </c>
    </row>
    <row r="183" spans="1:18" ht="34.5" customHeight="1">
      <c r="A183" s="117" t="s">
        <v>3559</v>
      </c>
      <c r="B183" s="118">
        <v>46722</v>
      </c>
      <c r="C183" s="117" t="s">
        <v>224</v>
      </c>
      <c r="D183" s="117" t="s">
        <v>341</v>
      </c>
      <c r="E183" s="117"/>
      <c r="F183" s="124">
        <v>150</v>
      </c>
      <c r="G183" s="124">
        <v>0</v>
      </c>
      <c r="H183" s="124">
        <v>0</v>
      </c>
      <c r="I183" s="124">
        <v>0</v>
      </c>
      <c r="J183" s="124">
        <f t="shared" si="5"/>
        <v>0</v>
      </c>
      <c r="K183" s="117" t="s">
        <v>2337</v>
      </c>
      <c r="L183" s="118">
        <v>46743.430555555562</v>
      </c>
      <c r="M183" s="117"/>
      <c r="N183" s="118"/>
      <c r="O183" s="117">
        <v>0</v>
      </c>
      <c r="P183" s="117">
        <v>0</v>
      </c>
      <c r="Q183" s="117" t="s">
        <v>948</v>
      </c>
      <c r="R183" s="117" t="s">
        <v>3346</v>
      </c>
    </row>
    <row r="184" spans="1:18" ht="34.5" customHeight="1">
      <c r="A184" s="115" t="s">
        <v>3560</v>
      </c>
      <c r="B184" s="119">
        <v>46722</v>
      </c>
      <c r="C184" s="115" t="s">
        <v>224</v>
      </c>
      <c r="D184" s="115" t="s">
        <v>341</v>
      </c>
      <c r="E184" s="115"/>
      <c r="F184" s="123">
        <v>150</v>
      </c>
      <c r="G184" s="123">
        <v>0</v>
      </c>
      <c r="H184" s="123">
        <v>0</v>
      </c>
      <c r="I184" s="123">
        <v>0</v>
      </c>
      <c r="J184" s="123">
        <f t="shared" si="5"/>
        <v>0</v>
      </c>
      <c r="K184" s="115" t="s">
        <v>2337</v>
      </c>
      <c r="L184" s="119">
        <v>46743.430555555562</v>
      </c>
      <c r="M184" s="115"/>
      <c r="N184" s="119"/>
      <c r="O184" s="115">
        <v>0</v>
      </c>
      <c r="P184" s="115">
        <v>0</v>
      </c>
      <c r="Q184" s="115" t="s">
        <v>948</v>
      </c>
      <c r="R184" s="115" t="s">
        <v>3346</v>
      </c>
    </row>
    <row r="185" spans="1:18" ht="34.5" customHeight="1">
      <c r="A185" s="117" t="s">
        <v>3561</v>
      </c>
      <c r="B185" s="118">
        <v>46722</v>
      </c>
      <c r="C185" s="117" t="s">
        <v>224</v>
      </c>
      <c r="D185" s="117" t="s">
        <v>341</v>
      </c>
      <c r="E185" s="117"/>
      <c r="F185" s="124">
        <v>150</v>
      </c>
      <c r="G185" s="124">
        <v>0</v>
      </c>
      <c r="H185" s="124">
        <v>0</v>
      </c>
      <c r="I185" s="124">
        <v>0</v>
      </c>
      <c r="J185" s="124">
        <f t="shared" si="5"/>
        <v>0</v>
      </c>
      <c r="K185" s="117" t="s">
        <v>2337</v>
      </c>
      <c r="L185" s="118">
        <v>46744.430555555562</v>
      </c>
      <c r="M185" s="117"/>
      <c r="N185" s="118"/>
      <c r="O185" s="117">
        <v>0</v>
      </c>
      <c r="P185" s="117">
        <v>0</v>
      </c>
      <c r="Q185" s="117" t="s">
        <v>948</v>
      </c>
      <c r="R185" s="117" t="s">
        <v>3346</v>
      </c>
    </row>
  </sheetData>
  <phoneticPr fontId="30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L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2" width="18.8984375" customWidth="1"/>
    <col min="3" max="7" width="20" customWidth="1"/>
    <col min="8" max="9" width="12.19921875" customWidth="1"/>
    <col min="10" max="10" width="16.69921875" customWidth="1"/>
    <col min="11" max="11" width="57.796875" customWidth="1"/>
    <col min="12" max="12" width="21.09765625" customWidth="1"/>
  </cols>
  <sheetData>
    <row r="1" spans="1:12" ht="19.2">
      <c r="A1" s="113" t="s">
        <v>3562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1:12">
      <c r="A3" s="114" t="s">
        <v>3563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1:12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</row>
    <row r="5" spans="1:12" ht="31.95" customHeight="1">
      <c r="A5" s="116" t="s">
        <v>2323</v>
      </c>
      <c r="B5" s="116" t="s">
        <v>2360</v>
      </c>
      <c r="C5" s="116" t="s">
        <v>2325</v>
      </c>
      <c r="D5" s="116" t="s">
        <v>2326</v>
      </c>
      <c r="E5" s="116" t="s">
        <v>2155</v>
      </c>
      <c r="F5" s="116" t="s">
        <v>3564</v>
      </c>
      <c r="G5" s="116" t="s">
        <v>3565</v>
      </c>
      <c r="H5" s="116" t="s">
        <v>2333</v>
      </c>
      <c r="I5" s="116" t="s">
        <v>2334</v>
      </c>
      <c r="J5" s="116" t="s">
        <v>3352</v>
      </c>
      <c r="K5" s="116" t="s">
        <v>3566</v>
      </c>
      <c r="L5" s="116" t="s">
        <v>377</v>
      </c>
    </row>
    <row r="6" spans="1:12" ht="34.5" customHeight="1">
      <c r="A6" s="115" t="s">
        <v>3355</v>
      </c>
      <c r="B6" s="115" t="s">
        <v>3354</v>
      </c>
      <c r="C6" s="119">
        <v>46664.375</v>
      </c>
      <c r="D6" s="119">
        <v>46664.388888888891</v>
      </c>
      <c r="E6" s="119">
        <v>46664.513888888891</v>
      </c>
      <c r="F6" s="119">
        <v>46666.375</v>
      </c>
      <c r="G6" s="119">
        <v>46667.375</v>
      </c>
      <c r="H6" s="115">
        <f t="shared" ref="H6:H19" si="0">ROUND((D6-C6)*1440,0)</f>
        <v>20</v>
      </c>
      <c r="I6" s="115">
        <f t="shared" ref="I6:I19" si="1">ROUND((E6-D6)*1440,0)</f>
        <v>180</v>
      </c>
      <c r="J6" s="115" t="s">
        <v>3238</v>
      </c>
      <c r="K6" s="115" t="s">
        <v>3567</v>
      </c>
      <c r="L6" s="115" t="s">
        <v>3356</v>
      </c>
    </row>
    <row r="7" spans="1:12" ht="34.5" customHeight="1">
      <c r="A7" s="117" t="s">
        <v>3358</v>
      </c>
      <c r="B7" s="117" t="s">
        <v>3357</v>
      </c>
      <c r="C7" s="118">
        <v>46668.375</v>
      </c>
      <c r="D7" s="118">
        <v>46668.388888888891</v>
      </c>
      <c r="E7" s="118">
        <v>46668.416666666672</v>
      </c>
      <c r="F7" s="118">
        <v>46670.375</v>
      </c>
      <c r="G7" s="118">
        <v>46672.375</v>
      </c>
      <c r="H7" s="117">
        <f t="shared" si="0"/>
        <v>20</v>
      </c>
      <c r="I7" s="117">
        <f t="shared" si="1"/>
        <v>40</v>
      </c>
      <c r="J7" s="117" t="s">
        <v>3242</v>
      </c>
      <c r="K7" s="117" t="s">
        <v>3568</v>
      </c>
      <c r="L7" s="117" t="s">
        <v>3359</v>
      </c>
    </row>
    <row r="8" spans="1:12" ht="34.5" customHeight="1">
      <c r="A8" s="115" t="s">
        <v>3361</v>
      </c>
      <c r="B8" s="115" t="s">
        <v>3360</v>
      </c>
      <c r="C8" s="119">
        <v>46672.375</v>
      </c>
      <c r="D8" s="119">
        <v>46672.388888888891</v>
      </c>
      <c r="E8" s="119">
        <v>46672.416666666672</v>
      </c>
      <c r="F8" s="119">
        <v>46674.375</v>
      </c>
      <c r="G8" s="119">
        <v>46676.375</v>
      </c>
      <c r="H8" s="115">
        <f t="shared" si="0"/>
        <v>20</v>
      </c>
      <c r="I8" s="115">
        <f t="shared" si="1"/>
        <v>40</v>
      </c>
      <c r="J8" s="115" t="s">
        <v>3242</v>
      </c>
      <c r="K8" s="115" t="s">
        <v>3568</v>
      </c>
      <c r="L8" s="115" t="s">
        <v>3362</v>
      </c>
    </row>
    <row r="9" spans="1:12" ht="34.5" customHeight="1">
      <c r="A9" s="117" t="s">
        <v>3364</v>
      </c>
      <c r="B9" s="117" t="s">
        <v>3363</v>
      </c>
      <c r="C9" s="118">
        <v>46678.375</v>
      </c>
      <c r="D9" s="118">
        <v>46678.388888888891</v>
      </c>
      <c r="E9" s="118">
        <v>46678.416666666672</v>
      </c>
      <c r="F9" s="118">
        <v>46680.375</v>
      </c>
      <c r="G9" s="118">
        <v>46682.375</v>
      </c>
      <c r="H9" s="117">
        <f t="shared" si="0"/>
        <v>20</v>
      </c>
      <c r="I9" s="117">
        <f t="shared" si="1"/>
        <v>40</v>
      </c>
      <c r="J9" s="117" t="s">
        <v>3242</v>
      </c>
      <c r="K9" s="117" t="s">
        <v>3568</v>
      </c>
      <c r="L9" s="117" t="s">
        <v>3365</v>
      </c>
    </row>
    <row r="10" spans="1:12" ht="34.5" customHeight="1">
      <c r="A10" s="115" t="s">
        <v>3367</v>
      </c>
      <c r="B10" s="115" t="s">
        <v>3366</v>
      </c>
      <c r="C10" s="119">
        <v>46682.375</v>
      </c>
      <c r="D10" s="119">
        <v>46682.388888888891</v>
      </c>
      <c r="E10" s="119">
        <v>46682.513888888891</v>
      </c>
      <c r="F10" s="119">
        <v>46684.375</v>
      </c>
      <c r="G10" s="119">
        <v>46686.375</v>
      </c>
      <c r="H10" s="115">
        <f t="shared" si="0"/>
        <v>20</v>
      </c>
      <c r="I10" s="115">
        <f t="shared" si="1"/>
        <v>180</v>
      </c>
      <c r="J10" s="115" t="s">
        <v>3246</v>
      </c>
      <c r="K10" s="115" t="s">
        <v>3569</v>
      </c>
      <c r="L10" s="115" t="s">
        <v>3368</v>
      </c>
    </row>
    <row r="11" spans="1:12" ht="34.5" customHeight="1">
      <c r="A11" s="117" t="s">
        <v>3425</v>
      </c>
      <c r="B11" s="117" t="s">
        <v>3424</v>
      </c>
      <c r="C11" s="118">
        <v>46695.375</v>
      </c>
      <c r="D11" s="118">
        <v>46695.388888888891</v>
      </c>
      <c r="E11" s="118">
        <v>46695.513888888891</v>
      </c>
      <c r="F11" s="118">
        <v>46697.375</v>
      </c>
      <c r="G11" s="118">
        <v>46698.375</v>
      </c>
      <c r="H11" s="117">
        <f t="shared" si="0"/>
        <v>20</v>
      </c>
      <c r="I11" s="117">
        <f t="shared" si="1"/>
        <v>180</v>
      </c>
      <c r="J11" s="117" t="s">
        <v>3238</v>
      </c>
      <c r="K11" s="117" t="s">
        <v>3567</v>
      </c>
      <c r="L11" s="117" t="s">
        <v>3426</v>
      </c>
    </row>
    <row r="12" spans="1:12" ht="34.5" customHeight="1">
      <c r="A12" s="115" t="s">
        <v>3428</v>
      </c>
      <c r="B12" s="115" t="s">
        <v>3427</v>
      </c>
      <c r="C12" s="119">
        <v>46699.375</v>
      </c>
      <c r="D12" s="119">
        <v>46699.388888888891</v>
      </c>
      <c r="E12" s="119">
        <v>46699.513888888891</v>
      </c>
      <c r="F12" s="119">
        <v>46701.375</v>
      </c>
      <c r="G12" s="119">
        <v>46702.375</v>
      </c>
      <c r="H12" s="115">
        <f t="shared" si="0"/>
        <v>20</v>
      </c>
      <c r="I12" s="115">
        <f t="shared" si="1"/>
        <v>180</v>
      </c>
      <c r="J12" s="115" t="s">
        <v>3238</v>
      </c>
      <c r="K12" s="115" t="s">
        <v>3567</v>
      </c>
      <c r="L12" s="115" t="s">
        <v>3429</v>
      </c>
    </row>
    <row r="13" spans="1:12" ht="34.5" customHeight="1">
      <c r="A13" s="117" t="s">
        <v>3431</v>
      </c>
      <c r="B13" s="117" t="s">
        <v>3430</v>
      </c>
      <c r="C13" s="118">
        <v>46703.375</v>
      </c>
      <c r="D13" s="118">
        <v>46703.388888888891</v>
      </c>
      <c r="E13" s="118">
        <v>46703.416666666672</v>
      </c>
      <c r="F13" s="118">
        <v>46705.375</v>
      </c>
      <c r="G13" s="118">
        <v>46707.375</v>
      </c>
      <c r="H13" s="117">
        <f t="shared" si="0"/>
        <v>20</v>
      </c>
      <c r="I13" s="117">
        <f t="shared" si="1"/>
        <v>40</v>
      </c>
      <c r="J13" s="117" t="s">
        <v>3242</v>
      </c>
      <c r="K13" s="117" t="s">
        <v>3568</v>
      </c>
      <c r="L13" s="117" t="s">
        <v>3432</v>
      </c>
    </row>
    <row r="14" spans="1:12" ht="34.5" customHeight="1">
      <c r="A14" s="115" t="s">
        <v>3434</v>
      </c>
      <c r="B14" s="115" t="s">
        <v>3433</v>
      </c>
      <c r="C14" s="119">
        <v>46709.375</v>
      </c>
      <c r="D14" s="119">
        <v>46709.388888888891</v>
      </c>
      <c r="E14" s="119">
        <v>46709.416666666672</v>
      </c>
      <c r="F14" s="119">
        <v>46711.375</v>
      </c>
      <c r="G14" s="119">
        <v>46713.375</v>
      </c>
      <c r="H14" s="115">
        <f t="shared" si="0"/>
        <v>20</v>
      </c>
      <c r="I14" s="115">
        <f t="shared" si="1"/>
        <v>40</v>
      </c>
      <c r="J14" s="115" t="s">
        <v>3242</v>
      </c>
      <c r="K14" s="115" t="s">
        <v>3568</v>
      </c>
      <c r="L14" s="115" t="s">
        <v>3435</v>
      </c>
    </row>
    <row r="15" spans="1:12" ht="34.5" customHeight="1">
      <c r="A15" s="117" t="s">
        <v>3437</v>
      </c>
      <c r="B15" s="117" t="s">
        <v>3436</v>
      </c>
      <c r="C15" s="118">
        <v>46713.375</v>
      </c>
      <c r="D15" s="118">
        <v>46713.388888888891</v>
      </c>
      <c r="E15" s="118">
        <v>46713.416666666672</v>
      </c>
      <c r="F15" s="118">
        <v>46715.375</v>
      </c>
      <c r="G15" s="118">
        <v>46717.375</v>
      </c>
      <c r="H15" s="117">
        <f t="shared" si="0"/>
        <v>20</v>
      </c>
      <c r="I15" s="117">
        <f t="shared" si="1"/>
        <v>40</v>
      </c>
      <c r="J15" s="117" t="s">
        <v>3242</v>
      </c>
      <c r="K15" s="117" t="s">
        <v>3568</v>
      </c>
      <c r="L15" s="117" t="s">
        <v>3438</v>
      </c>
    </row>
    <row r="16" spans="1:12" ht="34.5" customHeight="1">
      <c r="A16" s="115" t="s">
        <v>3495</v>
      </c>
      <c r="B16" s="115" t="s">
        <v>3494</v>
      </c>
      <c r="C16" s="119">
        <v>46727.375</v>
      </c>
      <c r="D16" s="119">
        <v>46727.388888888891</v>
      </c>
      <c r="E16" s="119">
        <v>46727.513888888891</v>
      </c>
      <c r="F16" s="119">
        <v>46729.375</v>
      </c>
      <c r="G16" s="119">
        <v>46730.375</v>
      </c>
      <c r="H16" s="115">
        <f t="shared" si="0"/>
        <v>20</v>
      </c>
      <c r="I16" s="115">
        <f t="shared" si="1"/>
        <v>180</v>
      </c>
      <c r="J16" s="115" t="s">
        <v>3238</v>
      </c>
      <c r="K16" s="115" t="s">
        <v>3567</v>
      </c>
      <c r="L16" s="115" t="s">
        <v>3496</v>
      </c>
    </row>
    <row r="17" spans="1:12" ht="34.5" customHeight="1">
      <c r="A17" s="117" t="s">
        <v>3498</v>
      </c>
      <c r="B17" s="117" t="s">
        <v>3497</v>
      </c>
      <c r="C17" s="118">
        <v>46731.375</v>
      </c>
      <c r="D17" s="118">
        <v>46731.388888888891</v>
      </c>
      <c r="E17" s="118">
        <v>46731.416666666672</v>
      </c>
      <c r="F17" s="118">
        <v>46733.375</v>
      </c>
      <c r="G17" s="118">
        <v>46735.375</v>
      </c>
      <c r="H17" s="117">
        <f t="shared" si="0"/>
        <v>20</v>
      </c>
      <c r="I17" s="117">
        <f t="shared" si="1"/>
        <v>40</v>
      </c>
      <c r="J17" s="117" t="s">
        <v>3242</v>
      </c>
      <c r="K17" s="117" t="s">
        <v>3568</v>
      </c>
      <c r="L17" s="117" t="s">
        <v>3499</v>
      </c>
    </row>
    <row r="18" spans="1:12" ht="34.5" customHeight="1">
      <c r="A18" s="115" t="s">
        <v>3501</v>
      </c>
      <c r="B18" s="115" t="s">
        <v>3500</v>
      </c>
      <c r="C18" s="119">
        <v>46735.375</v>
      </c>
      <c r="D18" s="119">
        <v>46735.388888888891</v>
      </c>
      <c r="E18" s="119">
        <v>46735.416666666672</v>
      </c>
      <c r="F18" s="119">
        <v>46737.375</v>
      </c>
      <c r="G18" s="119">
        <v>46739.375</v>
      </c>
      <c r="H18" s="115">
        <f t="shared" si="0"/>
        <v>20</v>
      </c>
      <c r="I18" s="115">
        <f t="shared" si="1"/>
        <v>40</v>
      </c>
      <c r="J18" s="115" t="s">
        <v>3242</v>
      </c>
      <c r="K18" s="115" t="s">
        <v>3568</v>
      </c>
      <c r="L18" s="115" t="s">
        <v>3502</v>
      </c>
    </row>
    <row r="19" spans="1:12" ht="34.5" customHeight="1">
      <c r="A19" s="117" t="s">
        <v>3504</v>
      </c>
      <c r="B19" s="117" t="s">
        <v>3503</v>
      </c>
      <c r="C19" s="118">
        <v>46741.375</v>
      </c>
      <c r="D19" s="118">
        <v>46741.388888888891</v>
      </c>
      <c r="E19" s="118">
        <v>46741.416666666672</v>
      </c>
      <c r="F19" s="118">
        <v>46743.375</v>
      </c>
      <c r="G19" s="118">
        <v>46745.375</v>
      </c>
      <c r="H19" s="117">
        <f t="shared" si="0"/>
        <v>20</v>
      </c>
      <c r="I19" s="117">
        <f t="shared" si="1"/>
        <v>40</v>
      </c>
      <c r="J19" s="117" t="s">
        <v>3242</v>
      </c>
      <c r="K19" s="117" t="s">
        <v>3568</v>
      </c>
      <c r="L19" s="117" t="s">
        <v>3505</v>
      </c>
    </row>
  </sheetData>
  <phoneticPr fontId="30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L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3.296875" customWidth="1"/>
    <col min="2" max="2" width="12.19921875" customWidth="1"/>
    <col min="3" max="3" width="16.69921875" customWidth="1"/>
    <col min="4" max="4" width="18.8984375" customWidth="1"/>
    <col min="5" max="5" width="15.59765625" customWidth="1"/>
    <col min="6" max="6" width="21.09765625" customWidth="1"/>
    <col min="7" max="7" width="18.8984375" customWidth="1"/>
    <col min="8" max="8" width="16.69921875" customWidth="1"/>
    <col min="9" max="9" width="15.59765625" customWidth="1"/>
    <col min="10" max="10" width="20" customWidth="1"/>
    <col min="11" max="11" width="18.8984375" customWidth="1"/>
    <col min="12" max="12" width="40" customWidth="1"/>
  </cols>
  <sheetData>
    <row r="1" spans="1:12" ht="19.2">
      <c r="A1" s="113" t="s">
        <v>3570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1:12">
      <c r="A3" s="114" t="s">
        <v>3571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1:12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</row>
    <row r="5" spans="1:12" ht="31.95" customHeight="1">
      <c r="A5" s="116" t="s">
        <v>2480</v>
      </c>
      <c r="B5" s="116" t="s">
        <v>1103</v>
      </c>
      <c r="C5" s="116" t="s">
        <v>165</v>
      </c>
      <c r="D5" s="116" t="s">
        <v>3271</v>
      </c>
      <c r="E5" s="116" t="s">
        <v>2481</v>
      </c>
      <c r="F5" s="116" t="s">
        <v>3572</v>
      </c>
      <c r="G5" s="116" t="s">
        <v>3573</v>
      </c>
      <c r="H5" s="116" t="s">
        <v>3574</v>
      </c>
      <c r="I5" s="116" t="s">
        <v>1596</v>
      </c>
      <c r="J5" s="116" t="s">
        <v>3575</v>
      </c>
      <c r="K5" s="116" t="s">
        <v>835</v>
      </c>
      <c r="L5" s="116" t="s">
        <v>1698</v>
      </c>
    </row>
    <row r="6" spans="1:12" ht="30" customHeight="1">
      <c r="A6" s="115" t="s">
        <v>3576</v>
      </c>
      <c r="B6" s="115" t="s">
        <v>1738</v>
      </c>
      <c r="C6" s="119">
        <v>46661</v>
      </c>
      <c r="D6" s="123">
        <f>SC06기준!M6</f>
        <v>18000000</v>
      </c>
      <c r="E6" s="123">
        <f>SC06실행실적!D6</f>
        <v>3000</v>
      </c>
      <c r="F6" s="123">
        <f>E6*SC06실행실적!E6</f>
        <v>45000000</v>
      </c>
      <c r="G6" s="123">
        <f>E6*(SC06실행실적!F6+SC06실행실적!G6)</f>
        <v>27000000</v>
      </c>
      <c r="H6" s="123">
        <f>SC06실행실적!H6</f>
        <v>0</v>
      </c>
      <c r="I6" s="123">
        <v>0</v>
      </c>
      <c r="J6" s="123">
        <f t="shared" ref="J6:J14" si="0">F6-G6-H6</f>
        <v>18000000</v>
      </c>
      <c r="K6" s="123">
        <f t="shared" ref="K6:K14" si="1">J6-D6</f>
        <v>0</v>
      </c>
      <c r="L6" s="115" t="s">
        <v>3577</v>
      </c>
    </row>
    <row r="7" spans="1:12" ht="30" customHeight="1">
      <c r="A7" s="117" t="s">
        <v>3578</v>
      </c>
      <c r="B7" s="117" t="s">
        <v>1740</v>
      </c>
      <c r="C7" s="118">
        <v>46661</v>
      </c>
      <c r="D7" s="124">
        <f>SC06기준!M7</f>
        <v>9400000</v>
      </c>
      <c r="E7" s="124">
        <f>SUMIFS(SC06구매거래!$F$6:$F$185,SC06구매거래!$B$6:$B$185,C7)</f>
        <v>9690</v>
      </c>
      <c r="F7" s="124">
        <f>SC06기준!H7*SC06기준!J7</f>
        <v>14400000</v>
      </c>
      <c r="G7" s="124">
        <f>SUMIFS(SC06구매거래!$J$6:$J$185,SC06구매거래!$B$6:$B$185,C7)</f>
        <v>6000000</v>
      </c>
      <c r="H7" s="124">
        <f>SUMIFS(SC06운영비!$D$6:$D$8,SC06운영비!$C$6:$C$8,C7)</f>
        <v>200000</v>
      </c>
      <c r="I7" s="124">
        <v>0</v>
      </c>
      <c r="J7" s="124">
        <f t="shared" si="0"/>
        <v>8200000</v>
      </c>
      <c r="K7" s="124">
        <f t="shared" si="1"/>
        <v>-1200000</v>
      </c>
      <c r="L7" s="117" t="s">
        <v>3579</v>
      </c>
    </row>
    <row r="8" spans="1:12" ht="30" customHeight="1">
      <c r="A8" s="115" t="s">
        <v>3580</v>
      </c>
      <c r="B8" s="115" t="s">
        <v>1741</v>
      </c>
      <c r="C8" s="119">
        <v>46661</v>
      </c>
      <c r="D8" s="123">
        <f>SC06기준!M8</f>
        <v>2400000</v>
      </c>
      <c r="E8" s="123">
        <f>SC06실행실적!D7</f>
        <v>6000</v>
      </c>
      <c r="F8" s="123">
        <f>E8*SC06실행실적!E7</f>
        <v>30000000</v>
      </c>
      <c r="G8" s="123">
        <f>E8*(SC06실행실적!F7+SC06실행실적!G7)</f>
        <v>27600000</v>
      </c>
      <c r="H8" s="123">
        <f>SC06실행실적!H7</f>
        <v>0</v>
      </c>
      <c r="I8" s="123">
        <v>0</v>
      </c>
      <c r="J8" s="123">
        <f t="shared" si="0"/>
        <v>2400000</v>
      </c>
      <c r="K8" s="123">
        <f t="shared" si="1"/>
        <v>0</v>
      </c>
      <c r="L8" s="115" t="s">
        <v>3577</v>
      </c>
    </row>
    <row r="9" spans="1:12" ht="30" customHeight="1">
      <c r="A9" s="117" t="s">
        <v>3581</v>
      </c>
      <c r="B9" s="117" t="s">
        <v>1738</v>
      </c>
      <c r="C9" s="118">
        <v>46692</v>
      </c>
      <c r="D9" s="124">
        <f>SC06기준!M9</f>
        <v>18000000</v>
      </c>
      <c r="E9" s="124">
        <f>SC06실행실적!D8</f>
        <v>3000</v>
      </c>
      <c r="F9" s="124">
        <f>E9*SC06실행실적!E8</f>
        <v>45000000</v>
      </c>
      <c r="G9" s="124">
        <f>E9*(SC06실행실적!F8+SC06실행실적!G8)</f>
        <v>27000000</v>
      </c>
      <c r="H9" s="124">
        <f>SC06실행실적!H8</f>
        <v>0</v>
      </c>
      <c r="I9" s="124">
        <v>0</v>
      </c>
      <c r="J9" s="124">
        <f t="shared" si="0"/>
        <v>18000000</v>
      </c>
      <c r="K9" s="124">
        <f t="shared" si="1"/>
        <v>0</v>
      </c>
      <c r="L9" s="117" t="s">
        <v>3577</v>
      </c>
    </row>
    <row r="10" spans="1:12" ht="30" customHeight="1">
      <c r="A10" s="115" t="s">
        <v>3582</v>
      </c>
      <c r="B10" s="115" t="s">
        <v>1740</v>
      </c>
      <c r="C10" s="119">
        <v>46692</v>
      </c>
      <c r="D10" s="123">
        <f>SC06기준!M10</f>
        <v>10600000</v>
      </c>
      <c r="E10" s="123">
        <f>SUMIFS(SC06구매거래!$F$6:$F$185,SC06구매거래!$B$6:$B$185,C10)</f>
        <v>9500</v>
      </c>
      <c r="F10" s="123">
        <f>SC06기준!H10*SC06기준!J10</f>
        <v>14400000</v>
      </c>
      <c r="G10" s="123">
        <f>SUMIFS(SC06구매거래!$J$6:$J$185,SC06구매거래!$B$6:$B$185,C10)</f>
        <v>6000000</v>
      </c>
      <c r="H10" s="123">
        <f>SUMIFS(SC06운영비!$D$6:$D$8,SC06운영비!$C$6:$C$8,C10)</f>
        <v>200000</v>
      </c>
      <c r="I10" s="123">
        <v>0</v>
      </c>
      <c r="J10" s="123">
        <f t="shared" si="0"/>
        <v>8200000</v>
      </c>
      <c r="K10" s="123">
        <f t="shared" si="1"/>
        <v>-2400000</v>
      </c>
      <c r="L10" s="115" t="s">
        <v>3579</v>
      </c>
    </row>
    <row r="11" spans="1:12" ht="30" customHeight="1">
      <c r="A11" s="117" t="s">
        <v>3583</v>
      </c>
      <c r="B11" s="117" t="s">
        <v>1741</v>
      </c>
      <c r="C11" s="118">
        <v>46692</v>
      </c>
      <c r="D11" s="124">
        <f>SC06기준!M11</f>
        <v>2400000</v>
      </c>
      <c r="E11" s="124">
        <f>SC06실행실적!D9</f>
        <v>6000</v>
      </c>
      <c r="F11" s="124">
        <f>E11*SC06실행실적!E9</f>
        <v>30000000</v>
      </c>
      <c r="G11" s="124">
        <f>E11*(SC06실행실적!F9+SC06실행실적!G9)</f>
        <v>27600000</v>
      </c>
      <c r="H11" s="124">
        <f>SC06실행실적!H9</f>
        <v>0</v>
      </c>
      <c r="I11" s="124">
        <v>0</v>
      </c>
      <c r="J11" s="124">
        <f t="shared" si="0"/>
        <v>2400000</v>
      </c>
      <c r="K11" s="124">
        <f t="shared" si="1"/>
        <v>0</v>
      </c>
      <c r="L11" s="117" t="s">
        <v>3577</v>
      </c>
    </row>
    <row r="12" spans="1:12" ht="30" customHeight="1">
      <c r="A12" s="115" t="s">
        <v>3584</v>
      </c>
      <c r="B12" s="115" t="s">
        <v>1738</v>
      </c>
      <c r="C12" s="119">
        <v>46722</v>
      </c>
      <c r="D12" s="123">
        <f>SC06기준!M12</f>
        <v>18000000</v>
      </c>
      <c r="E12" s="123">
        <f>SC06실행실적!D10</f>
        <v>3000</v>
      </c>
      <c r="F12" s="123">
        <f>E12*SC06실행실적!E10</f>
        <v>45000000</v>
      </c>
      <c r="G12" s="123">
        <f>E12*(SC06실행실적!F10+SC06실행실적!G10)</f>
        <v>27000000</v>
      </c>
      <c r="H12" s="123">
        <f>SC06실행실적!H10</f>
        <v>0</v>
      </c>
      <c r="I12" s="123">
        <v>0</v>
      </c>
      <c r="J12" s="123">
        <f t="shared" si="0"/>
        <v>18000000</v>
      </c>
      <c r="K12" s="123">
        <f t="shared" si="1"/>
        <v>0</v>
      </c>
      <c r="L12" s="115" t="s">
        <v>3577</v>
      </c>
    </row>
    <row r="13" spans="1:12" ht="30" customHeight="1">
      <c r="A13" s="117" t="s">
        <v>3585</v>
      </c>
      <c r="B13" s="117" t="s">
        <v>1740</v>
      </c>
      <c r="C13" s="118">
        <v>46722</v>
      </c>
      <c r="D13" s="124">
        <f>SC06기준!M13</f>
        <v>10600000</v>
      </c>
      <c r="E13" s="124">
        <f>SUMIFS(SC06구매거래!$F$6:$F$185,SC06구매거래!$B$6:$B$185,C13)</f>
        <v>9025</v>
      </c>
      <c r="F13" s="124">
        <f>SC06기준!H13*SC06기준!J13</f>
        <v>14400000</v>
      </c>
      <c r="G13" s="124">
        <f>SUMIFS(SC06구매거래!$J$6:$J$185,SC06구매거래!$B$6:$B$185,C13)</f>
        <v>4800000</v>
      </c>
      <c r="H13" s="124">
        <f>SUMIFS(SC06운영비!$D$6:$D$8,SC06운영비!$C$6:$C$8,C13)</f>
        <v>200000</v>
      </c>
      <c r="I13" s="124">
        <v>0</v>
      </c>
      <c r="J13" s="124">
        <f t="shared" si="0"/>
        <v>9400000</v>
      </c>
      <c r="K13" s="124">
        <f t="shared" si="1"/>
        <v>-1200000</v>
      </c>
      <c r="L13" s="117" t="s">
        <v>3579</v>
      </c>
    </row>
    <row r="14" spans="1:12" ht="30" customHeight="1">
      <c r="A14" s="115" t="s">
        <v>3586</v>
      </c>
      <c r="B14" s="115" t="s">
        <v>1741</v>
      </c>
      <c r="C14" s="119">
        <v>46722</v>
      </c>
      <c r="D14" s="123">
        <f>SC06기준!M14</f>
        <v>2400000</v>
      </c>
      <c r="E14" s="123">
        <f>SC06실행실적!D11</f>
        <v>6000</v>
      </c>
      <c r="F14" s="123">
        <f>E14*SC06실행실적!E11</f>
        <v>30000000</v>
      </c>
      <c r="G14" s="123">
        <f>E14*(SC06실행실적!F11+SC06실행실적!G11)</f>
        <v>27600000</v>
      </c>
      <c r="H14" s="123">
        <f>SC06실행실적!H11</f>
        <v>0</v>
      </c>
      <c r="I14" s="123">
        <v>0</v>
      </c>
      <c r="J14" s="123">
        <f t="shared" si="0"/>
        <v>2400000</v>
      </c>
      <c r="K14" s="123">
        <f t="shared" si="1"/>
        <v>0</v>
      </c>
      <c r="L14" s="115" t="s">
        <v>3577</v>
      </c>
    </row>
  </sheetData>
  <phoneticPr fontId="30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4.3984375" customWidth="1"/>
    <col min="2" max="2" width="26.69921875" customWidth="1"/>
    <col min="3" max="3" width="18.8984375" customWidth="1"/>
    <col min="4" max="4" width="13.296875" customWidth="1"/>
    <col min="5" max="5" width="73.296875" customWidth="1"/>
  </cols>
  <sheetData>
    <row r="1" spans="1:5" ht="19.2">
      <c r="A1" s="113" t="s">
        <v>3587</v>
      </c>
      <c r="B1" s="112"/>
      <c r="C1" s="112"/>
      <c r="D1" s="112"/>
      <c r="E1" s="112"/>
    </row>
    <row r="2" spans="1:5">
      <c r="A2" s="112"/>
      <c r="B2" s="112"/>
      <c r="C2" s="112"/>
      <c r="D2" s="112"/>
      <c r="E2" s="112"/>
    </row>
    <row r="3" spans="1:5">
      <c r="A3" s="114" t="s">
        <v>3588</v>
      </c>
      <c r="B3" s="112"/>
      <c r="C3" s="112"/>
      <c r="D3" s="112"/>
      <c r="E3" s="112"/>
    </row>
    <row r="4" spans="1:5">
      <c r="A4" s="112"/>
      <c r="B4" s="112"/>
      <c r="C4" s="112"/>
      <c r="D4" s="112"/>
      <c r="E4" s="112"/>
    </row>
    <row r="5" spans="1:5" ht="31.95" customHeight="1">
      <c r="A5" s="116" t="s">
        <v>3589</v>
      </c>
      <c r="B5" s="116" t="s">
        <v>2</v>
      </c>
      <c r="C5" s="116" t="s">
        <v>3</v>
      </c>
      <c r="D5" s="116" t="s">
        <v>2434</v>
      </c>
      <c r="E5" s="116" t="s">
        <v>3590</v>
      </c>
    </row>
    <row r="6" spans="1:5" ht="30" customHeight="1">
      <c r="A6" s="115" t="s">
        <v>3591</v>
      </c>
      <c r="B6" s="115" t="s">
        <v>3592</v>
      </c>
      <c r="C6" s="115">
        <f>COUNTA(SC06구매거래!A6:A185)</f>
        <v>180</v>
      </c>
      <c r="D6" s="115" t="s">
        <v>890</v>
      </c>
      <c r="E6" s="115" t="s">
        <v>3593</v>
      </c>
    </row>
    <row r="7" spans="1:5" ht="30" customHeight="1">
      <c r="A7" s="117" t="s">
        <v>3594</v>
      </c>
      <c r="B7" s="117" t="s">
        <v>3595</v>
      </c>
      <c r="C7" s="117">
        <f>SUM(SC06구매거래!G6:G185)</f>
        <v>14</v>
      </c>
      <c r="D7" s="117" t="s">
        <v>890</v>
      </c>
      <c r="E7" s="117" t="s">
        <v>3596</v>
      </c>
    </row>
    <row r="8" spans="1:5" ht="30" customHeight="1">
      <c r="A8" s="115" t="s">
        <v>3597</v>
      </c>
      <c r="B8" s="115" t="s">
        <v>3598</v>
      </c>
      <c r="C8" s="122">
        <f>C7/C6</f>
        <v>7.7777777777777779E-2</v>
      </c>
      <c r="D8" s="115" t="s">
        <v>3599</v>
      </c>
      <c r="E8" s="115" t="s">
        <v>3600</v>
      </c>
    </row>
    <row r="9" spans="1:5" ht="30" customHeight="1">
      <c r="A9" s="117" t="s">
        <v>3601</v>
      </c>
      <c r="B9" s="117" t="s">
        <v>3602</v>
      </c>
      <c r="C9" s="117">
        <f>SUM(SC06구매거래!J6:J185)</f>
        <v>16800000</v>
      </c>
      <c r="D9" s="117" t="s">
        <v>11</v>
      </c>
      <c r="E9" s="117" t="s">
        <v>3603</v>
      </c>
    </row>
    <row r="10" spans="1:5" ht="30" customHeight="1">
      <c r="A10" s="115" t="s">
        <v>3604</v>
      </c>
      <c r="B10" s="115" t="s">
        <v>3605</v>
      </c>
      <c r="C10" s="115">
        <f>SUM(SC06운영비!D6:D8)</f>
        <v>600000</v>
      </c>
      <c r="D10" s="115" t="s">
        <v>11</v>
      </c>
      <c r="E10" s="115" t="s">
        <v>3606</v>
      </c>
    </row>
    <row r="11" spans="1:5" ht="30" customHeight="1">
      <c r="A11" s="117" t="s">
        <v>3607</v>
      </c>
      <c r="B11" s="117" t="s">
        <v>3608</v>
      </c>
      <c r="C11" s="117">
        <f>COUNTIFS(SC06변경근거!H6:H19,"&gt;"&amp;SC06설정!B12)</f>
        <v>0</v>
      </c>
      <c r="D11" s="117" t="s">
        <v>890</v>
      </c>
      <c r="E11" s="117" t="s">
        <v>3609</v>
      </c>
    </row>
    <row r="12" spans="1:5" ht="30" customHeight="1">
      <c r="A12" s="115" t="s">
        <v>3610</v>
      </c>
      <c r="B12" s="115" t="s">
        <v>3611</v>
      </c>
      <c r="C12" s="115">
        <f>COUNTIFS(SC06변경근거!I6:I19,"&gt;"&amp;SC06설정!B13)</f>
        <v>5</v>
      </c>
      <c r="D12" s="115" t="s">
        <v>890</v>
      </c>
      <c r="E12" s="115" t="s">
        <v>3612</v>
      </c>
    </row>
    <row r="13" spans="1:5" ht="30" customHeight="1">
      <c r="A13" s="117" t="s">
        <v>3613</v>
      </c>
      <c r="B13" s="117" t="s">
        <v>3614</v>
      </c>
      <c r="C13" s="117">
        <f>SUM(SC06기준!H6:H14)</f>
        <v>36</v>
      </c>
      <c r="D13" s="117" t="s">
        <v>890</v>
      </c>
      <c r="E13" s="117" t="s">
        <v>3615</v>
      </c>
    </row>
    <row r="14" spans="1:5" ht="30" customHeight="1">
      <c r="A14" s="115" t="s">
        <v>3616</v>
      </c>
      <c r="B14" s="115" t="s">
        <v>3617</v>
      </c>
      <c r="C14" s="115">
        <f>SUM(SC06기준!I6:I14)</f>
        <v>10</v>
      </c>
      <c r="D14" s="115" t="s">
        <v>890</v>
      </c>
      <c r="E14" s="115" t="s">
        <v>3618</v>
      </c>
    </row>
    <row r="15" spans="1:5" ht="30" customHeight="1">
      <c r="A15" s="117" t="s">
        <v>3619</v>
      </c>
      <c r="B15" s="117" t="s">
        <v>3620</v>
      </c>
      <c r="C15" s="117">
        <f>C7-C14</f>
        <v>4</v>
      </c>
      <c r="D15" s="117" t="s">
        <v>890</v>
      </c>
      <c r="E15" s="117" t="s">
        <v>3621</v>
      </c>
    </row>
    <row r="16" spans="1:5" ht="30" customHeight="1">
      <c r="A16" s="115" t="s">
        <v>3622</v>
      </c>
      <c r="B16" s="115" t="s">
        <v>2458</v>
      </c>
      <c r="C16" s="115">
        <f>SUM(SC06구매거래!O6:O185)</f>
        <v>0</v>
      </c>
      <c r="D16" s="115" t="s">
        <v>890</v>
      </c>
      <c r="E16" s="115" t="s">
        <v>3623</v>
      </c>
    </row>
    <row r="17" spans="1:5" ht="30" customHeight="1">
      <c r="A17" s="117" t="s">
        <v>3624</v>
      </c>
      <c r="B17" s="117" t="s">
        <v>2461</v>
      </c>
      <c r="C17" s="117">
        <f>SUM(SC06구매거래!P6:P185)</f>
        <v>0</v>
      </c>
      <c r="D17" s="117" t="s">
        <v>890</v>
      </c>
      <c r="E17" s="117" t="s">
        <v>3623</v>
      </c>
    </row>
  </sheetData>
  <phoneticPr fontId="30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L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5.59765625" customWidth="1"/>
    <col min="2" max="2" width="23.296875" customWidth="1"/>
    <col min="3" max="3" width="16.69921875" customWidth="1"/>
    <col min="4" max="4" width="40" customWidth="1"/>
    <col min="5" max="5" width="46.69921875" customWidth="1"/>
    <col min="6" max="6" width="53.296875" customWidth="1"/>
    <col min="7" max="7" width="26.69921875" customWidth="1"/>
    <col min="8" max="8" width="14.3984375" customWidth="1"/>
    <col min="9" max="9" width="20" customWidth="1"/>
    <col min="10" max="10" width="14.3984375" customWidth="1"/>
    <col min="11" max="11" width="20" customWidth="1"/>
    <col min="12" max="12" width="24.3984375" customWidth="1"/>
  </cols>
  <sheetData>
    <row r="1" spans="1:12" ht="19.2">
      <c r="A1" s="113" t="s">
        <v>3625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</row>
    <row r="2" spans="1:1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</row>
    <row r="3" spans="1:12">
      <c r="A3" s="114" t="s">
        <v>3626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1:12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</row>
    <row r="5" spans="1:12" ht="31.95" customHeight="1">
      <c r="A5" s="116" t="s">
        <v>3627</v>
      </c>
      <c r="B5" s="116" t="s">
        <v>877</v>
      </c>
      <c r="C5" s="116" t="s">
        <v>3628</v>
      </c>
      <c r="D5" s="116" t="s">
        <v>3629</v>
      </c>
      <c r="E5" s="116" t="s">
        <v>3630</v>
      </c>
      <c r="F5" s="116" t="s">
        <v>3631</v>
      </c>
      <c r="G5" s="116" t="s">
        <v>3632</v>
      </c>
      <c r="H5" s="116" t="s">
        <v>3633</v>
      </c>
      <c r="I5" s="116" t="s">
        <v>3634</v>
      </c>
      <c r="J5" s="116" t="s">
        <v>2178</v>
      </c>
      <c r="K5" s="116" t="s">
        <v>3635</v>
      </c>
      <c r="L5" s="116" t="s">
        <v>1698</v>
      </c>
    </row>
    <row r="6" spans="1:12" ht="34.5" customHeight="1">
      <c r="A6" s="115" t="s">
        <v>3636</v>
      </c>
      <c r="B6" s="115" t="s">
        <v>3637</v>
      </c>
      <c r="C6" s="115" t="s">
        <v>3196</v>
      </c>
      <c r="D6" s="115" t="s">
        <v>3638</v>
      </c>
      <c r="E6" s="115" t="s">
        <v>3639</v>
      </c>
      <c r="F6" s="115" t="s">
        <v>3640</v>
      </c>
      <c r="G6" s="115" t="s">
        <v>3641</v>
      </c>
      <c r="H6" s="115" t="s">
        <v>1532</v>
      </c>
      <c r="I6" s="119">
        <v>46762.583333333336</v>
      </c>
      <c r="J6" s="115" t="s">
        <v>963</v>
      </c>
      <c r="K6" s="119">
        <v>46770.75</v>
      </c>
      <c r="L6" s="115" t="s">
        <v>3642</v>
      </c>
    </row>
    <row r="7" spans="1:12" ht="34.5" customHeight="1">
      <c r="A7" s="117" t="s">
        <v>3643</v>
      </c>
      <c r="B7" s="117" t="s">
        <v>3644</v>
      </c>
      <c r="C7" s="117" t="s">
        <v>3645</v>
      </c>
      <c r="D7" s="117"/>
      <c r="E7" s="117" t="s">
        <v>3222</v>
      </c>
      <c r="F7" s="117" t="s">
        <v>3646</v>
      </c>
      <c r="G7" s="117" t="s">
        <v>3647</v>
      </c>
      <c r="H7" s="117" t="s">
        <v>1527</v>
      </c>
      <c r="I7" s="118">
        <v>46762.583333333336</v>
      </c>
      <c r="J7" s="117" t="s">
        <v>959</v>
      </c>
      <c r="K7" s="118"/>
      <c r="L7" s="117" t="s">
        <v>3333</v>
      </c>
    </row>
    <row r="8" spans="1:12" ht="34.5" customHeight="1">
      <c r="A8" s="115" t="s">
        <v>3648</v>
      </c>
      <c r="B8" s="115" t="s">
        <v>3649</v>
      </c>
      <c r="C8" s="115" t="s">
        <v>3645</v>
      </c>
      <c r="D8" s="115"/>
      <c r="E8" s="115" t="s">
        <v>3227</v>
      </c>
      <c r="F8" s="115" t="s">
        <v>3650</v>
      </c>
      <c r="G8" s="115" t="s">
        <v>3647</v>
      </c>
      <c r="H8" s="115" t="s">
        <v>1532</v>
      </c>
      <c r="I8" s="119">
        <v>46762.590277777781</v>
      </c>
      <c r="J8" s="115" t="s">
        <v>963</v>
      </c>
      <c r="K8" s="119"/>
      <c r="L8" s="115" t="s">
        <v>3335</v>
      </c>
    </row>
  </sheetData>
  <phoneticPr fontId="30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5.59765625" customWidth="1"/>
    <col min="2" max="2" width="18.8984375" customWidth="1"/>
    <col min="3" max="3" width="25.59765625" customWidth="1"/>
    <col min="4" max="4" width="28.8984375" customWidth="1"/>
    <col min="5" max="5" width="63.296875" customWidth="1"/>
    <col min="6" max="6" width="15.59765625" customWidth="1"/>
    <col min="7" max="7" width="28.8984375" customWidth="1"/>
    <col min="8" max="8" width="17.796875" customWidth="1"/>
    <col min="9" max="11" width="20" customWidth="1"/>
    <col min="12" max="12" width="16.69921875" customWidth="1"/>
    <col min="13" max="13" width="22.19921875" customWidth="1"/>
    <col min="14" max="14" width="16.69921875" customWidth="1"/>
    <col min="15" max="15" width="23.296875" customWidth="1"/>
    <col min="16" max="16" width="61.09765625" customWidth="1"/>
  </cols>
  <sheetData>
    <row r="1" spans="1:16" ht="19.2">
      <c r="A1" s="113" t="s">
        <v>3651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1:16">
      <c r="A3" s="114" t="s">
        <v>3652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r="4" spans="1:16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r="5" spans="1:16" ht="31.95" customHeight="1">
      <c r="A5" s="116" t="s">
        <v>3653</v>
      </c>
      <c r="B5" s="116" t="s">
        <v>1746</v>
      </c>
      <c r="C5" s="116" t="s">
        <v>3654</v>
      </c>
      <c r="D5" s="116" t="s">
        <v>2682</v>
      </c>
      <c r="E5" s="116" t="s">
        <v>527</v>
      </c>
      <c r="F5" s="116" t="s">
        <v>1748</v>
      </c>
      <c r="G5" s="116" t="s">
        <v>1749</v>
      </c>
      <c r="H5" s="116" t="s">
        <v>350</v>
      </c>
      <c r="I5" s="116" t="s">
        <v>3655</v>
      </c>
      <c r="J5" s="116" t="s">
        <v>1751</v>
      </c>
      <c r="K5" s="116" t="s">
        <v>3656</v>
      </c>
      <c r="L5" s="116" t="s">
        <v>3657</v>
      </c>
      <c r="M5" s="116" t="s">
        <v>1597</v>
      </c>
      <c r="N5" s="116" t="s">
        <v>1996</v>
      </c>
      <c r="O5" s="116" t="s">
        <v>3658</v>
      </c>
      <c r="P5" s="116" t="s">
        <v>3659</v>
      </c>
    </row>
    <row r="6" spans="1:16" ht="34.5" customHeight="1">
      <c r="A6" s="115" t="s">
        <v>3660</v>
      </c>
      <c r="B6" s="115" t="s">
        <v>3661</v>
      </c>
      <c r="C6" s="115" t="s">
        <v>3662</v>
      </c>
      <c r="D6" s="115" t="s">
        <v>3663</v>
      </c>
      <c r="E6" s="115" t="s">
        <v>3664</v>
      </c>
      <c r="F6" s="115" t="s">
        <v>1532</v>
      </c>
      <c r="G6" s="115" t="s">
        <v>3665</v>
      </c>
      <c r="H6" s="115" t="s">
        <v>3666</v>
      </c>
      <c r="I6" s="119">
        <v>46762.625</v>
      </c>
      <c r="J6" s="119">
        <v>46773.75</v>
      </c>
      <c r="K6" s="119">
        <v>46794.416666666664</v>
      </c>
      <c r="L6" s="115"/>
      <c r="M6" s="115" t="s">
        <v>3667</v>
      </c>
      <c r="N6" s="115">
        <v>0</v>
      </c>
      <c r="O6" s="115" t="s">
        <v>3668</v>
      </c>
      <c r="P6" s="115" t="s">
        <v>3669</v>
      </c>
    </row>
    <row r="7" spans="1:16" ht="34.5" customHeight="1">
      <c r="A7" s="117" t="s">
        <v>3670</v>
      </c>
      <c r="B7" s="117" t="s">
        <v>3671</v>
      </c>
      <c r="C7" s="117" t="s">
        <v>3672</v>
      </c>
      <c r="D7" s="117" t="s">
        <v>3673</v>
      </c>
      <c r="E7" s="117" t="s">
        <v>3674</v>
      </c>
      <c r="F7" s="117" t="s">
        <v>1532</v>
      </c>
      <c r="G7" s="117" t="s">
        <v>3675</v>
      </c>
      <c r="H7" s="117" t="s">
        <v>2847</v>
      </c>
      <c r="I7" s="118">
        <v>46762.666666666664</v>
      </c>
      <c r="J7" s="118">
        <v>46791.75</v>
      </c>
      <c r="K7" s="118">
        <v>46794.416666666664</v>
      </c>
      <c r="L7" s="117"/>
      <c r="M7" s="117" t="s">
        <v>3676</v>
      </c>
      <c r="N7" s="117"/>
      <c r="O7" s="117" t="s">
        <v>3676</v>
      </c>
      <c r="P7" s="117" t="s">
        <v>3677</v>
      </c>
    </row>
    <row r="8" spans="1:16" ht="34.5" customHeight="1">
      <c r="A8" s="115" t="s">
        <v>3678</v>
      </c>
      <c r="B8" s="115" t="s">
        <v>3679</v>
      </c>
      <c r="C8" s="115" t="s">
        <v>3636</v>
      </c>
      <c r="D8" s="115" t="s">
        <v>3680</v>
      </c>
      <c r="E8" s="115" t="s">
        <v>3681</v>
      </c>
      <c r="F8" s="115" t="s">
        <v>1532</v>
      </c>
      <c r="G8" s="115" t="s">
        <v>963</v>
      </c>
      <c r="H8" s="115" t="s">
        <v>39</v>
      </c>
      <c r="I8" s="119">
        <v>46762.583333333336</v>
      </c>
      <c r="J8" s="119">
        <v>46770.75</v>
      </c>
      <c r="K8" s="119">
        <v>46770.75</v>
      </c>
      <c r="L8" s="115"/>
      <c r="M8" s="115" t="s">
        <v>638</v>
      </c>
      <c r="N8" s="115"/>
      <c r="O8" s="115" t="s">
        <v>638</v>
      </c>
      <c r="P8" s="115" t="s">
        <v>3682</v>
      </c>
    </row>
    <row r="9" spans="1:16" ht="34.5" customHeight="1">
      <c r="A9" s="117" t="s">
        <v>3683</v>
      </c>
      <c r="B9" s="117" t="s">
        <v>3684</v>
      </c>
      <c r="C9" s="117" t="s">
        <v>3685</v>
      </c>
      <c r="D9" s="117" t="s">
        <v>3686</v>
      </c>
      <c r="E9" s="117" t="s">
        <v>3687</v>
      </c>
      <c r="F9" s="117" t="s">
        <v>955</v>
      </c>
      <c r="G9" s="117" t="s">
        <v>1532</v>
      </c>
      <c r="H9" s="117" t="s">
        <v>39</v>
      </c>
      <c r="I9" s="118">
        <v>46764.666666666664</v>
      </c>
      <c r="J9" s="118">
        <v>46794.416666666664</v>
      </c>
      <c r="K9" s="118">
        <v>46794.416666666664</v>
      </c>
      <c r="L9" s="117"/>
      <c r="M9" s="117" t="s">
        <v>638</v>
      </c>
      <c r="N9" s="117"/>
      <c r="O9" s="117" t="s">
        <v>638</v>
      </c>
      <c r="P9" s="117" t="s">
        <v>3688</v>
      </c>
    </row>
  </sheetData>
  <phoneticPr fontId="30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2" width="22.19921875" customWidth="1"/>
    <col min="3" max="3" width="25.59765625" customWidth="1"/>
    <col min="4" max="4" width="20" customWidth="1"/>
    <col min="5" max="5" width="16.69921875" customWidth="1"/>
    <col min="6" max="6" width="100" customWidth="1"/>
    <col min="7" max="7" width="16.69921875" customWidth="1"/>
    <col min="8" max="8" width="20" customWidth="1"/>
  </cols>
  <sheetData>
    <row r="1" spans="1:8" ht="19.2">
      <c r="A1" s="113" t="s">
        <v>3689</v>
      </c>
      <c r="B1" s="112"/>
      <c r="C1" s="112"/>
      <c r="D1" s="112"/>
      <c r="E1" s="112"/>
      <c r="F1" s="112"/>
      <c r="G1" s="112"/>
      <c r="H1" s="112"/>
    </row>
    <row r="2" spans="1:8">
      <c r="A2" s="112"/>
      <c r="B2" s="112"/>
      <c r="C2" s="112"/>
      <c r="D2" s="112"/>
      <c r="E2" s="112"/>
      <c r="F2" s="112"/>
      <c r="G2" s="112"/>
      <c r="H2" s="112"/>
    </row>
    <row r="3" spans="1:8">
      <c r="A3" s="114" t="s">
        <v>3690</v>
      </c>
      <c r="B3" s="112"/>
      <c r="C3" s="112"/>
      <c r="D3" s="112"/>
      <c r="E3" s="112"/>
      <c r="F3" s="112"/>
      <c r="G3" s="112"/>
      <c r="H3" s="112"/>
    </row>
    <row r="4" spans="1:8">
      <c r="A4" s="112"/>
      <c r="B4" s="112"/>
      <c r="C4" s="112"/>
      <c r="D4" s="112"/>
      <c r="E4" s="112"/>
      <c r="F4" s="112"/>
      <c r="G4" s="112"/>
      <c r="H4" s="112"/>
    </row>
    <row r="5" spans="1:8" ht="31.95" customHeight="1">
      <c r="A5" s="116" t="s">
        <v>377</v>
      </c>
      <c r="B5" s="116" t="s">
        <v>1746</v>
      </c>
      <c r="C5" s="116" t="s">
        <v>877</v>
      </c>
      <c r="D5" s="116" t="s">
        <v>2152</v>
      </c>
      <c r="E5" s="116" t="s">
        <v>1694</v>
      </c>
      <c r="F5" s="116" t="s">
        <v>1772</v>
      </c>
      <c r="G5" s="116" t="s">
        <v>1695</v>
      </c>
      <c r="H5" s="116" t="s">
        <v>2155</v>
      </c>
    </row>
    <row r="6" spans="1:8" ht="34.5" customHeight="1">
      <c r="A6" s="115" t="s">
        <v>3333</v>
      </c>
      <c r="B6" s="115" t="s">
        <v>3691</v>
      </c>
      <c r="C6" s="115" t="s">
        <v>1738</v>
      </c>
      <c r="D6" s="119">
        <v>46759.625</v>
      </c>
      <c r="E6" s="115" t="s">
        <v>959</v>
      </c>
      <c r="F6" s="115" t="s">
        <v>3692</v>
      </c>
      <c r="G6" s="115" t="s">
        <v>1527</v>
      </c>
      <c r="H6" s="119">
        <v>46762.583333333336</v>
      </c>
    </row>
    <row r="7" spans="1:8" ht="34.5" customHeight="1">
      <c r="A7" s="117" t="s">
        <v>3335</v>
      </c>
      <c r="B7" s="117" t="s">
        <v>3693</v>
      </c>
      <c r="C7" s="117" t="s">
        <v>1741</v>
      </c>
      <c r="D7" s="118">
        <v>46759.625</v>
      </c>
      <c r="E7" s="117" t="s">
        <v>963</v>
      </c>
      <c r="F7" s="117" t="s">
        <v>3694</v>
      </c>
      <c r="G7" s="117" t="s">
        <v>1532</v>
      </c>
      <c r="H7" s="118">
        <v>46762.590277777781</v>
      </c>
    </row>
    <row r="8" spans="1:8" ht="34.5" customHeight="1">
      <c r="A8" s="115" t="s">
        <v>3346</v>
      </c>
      <c r="B8" s="115" t="s">
        <v>3695</v>
      </c>
      <c r="C8" s="115" t="s">
        <v>1740</v>
      </c>
      <c r="D8" s="119">
        <v>46759.75</v>
      </c>
      <c r="E8" s="115" t="s">
        <v>951</v>
      </c>
      <c r="F8" s="115" t="s">
        <v>3696</v>
      </c>
      <c r="G8" s="115" t="s">
        <v>1532</v>
      </c>
      <c r="H8" s="119">
        <v>46762.583333333336</v>
      </c>
    </row>
    <row r="9" spans="1:8" ht="34.5" customHeight="1">
      <c r="A9" s="117" t="s">
        <v>3697</v>
      </c>
      <c r="B9" s="117" t="s">
        <v>3698</v>
      </c>
      <c r="C9" s="117" t="s">
        <v>1740</v>
      </c>
      <c r="D9" s="118">
        <v>46759.666666666664</v>
      </c>
      <c r="E9" s="117" t="s">
        <v>963</v>
      </c>
      <c r="F9" s="117" t="s">
        <v>3699</v>
      </c>
      <c r="G9" s="117" t="s">
        <v>1532</v>
      </c>
      <c r="H9" s="118">
        <v>46762.583333333336</v>
      </c>
    </row>
    <row r="10" spans="1:8" ht="34.5" customHeight="1">
      <c r="A10" s="115" t="s">
        <v>3642</v>
      </c>
      <c r="B10" s="115" t="s">
        <v>3700</v>
      </c>
      <c r="C10" s="115" t="s">
        <v>3636</v>
      </c>
      <c r="D10" s="119">
        <v>46762.5625</v>
      </c>
      <c r="E10" s="115" t="s">
        <v>951</v>
      </c>
      <c r="F10" s="115" t="s">
        <v>3701</v>
      </c>
      <c r="G10" s="115" t="s">
        <v>1532</v>
      </c>
      <c r="H10" s="119">
        <v>46762.583333333336</v>
      </c>
    </row>
    <row r="11" spans="1:8" ht="34.5" customHeight="1">
      <c r="A11" s="117" t="s">
        <v>3702</v>
      </c>
      <c r="B11" s="117" t="s">
        <v>3703</v>
      </c>
      <c r="C11" s="117" t="s">
        <v>3670</v>
      </c>
      <c r="D11" s="118">
        <v>46762.666666666664</v>
      </c>
      <c r="E11" s="117" t="s">
        <v>963</v>
      </c>
      <c r="F11" s="117" t="s">
        <v>3704</v>
      </c>
      <c r="G11" s="117" t="s">
        <v>1532</v>
      </c>
      <c r="H11" s="118">
        <v>46763.583333333336</v>
      </c>
    </row>
    <row r="12" spans="1:8" ht="34.5" customHeight="1">
      <c r="A12" s="115" t="s">
        <v>3705</v>
      </c>
      <c r="B12" s="115" t="s">
        <v>3706</v>
      </c>
      <c r="C12" s="115" t="s">
        <v>3707</v>
      </c>
      <c r="D12" s="119">
        <v>46750.666666666664</v>
      </c>
      <c r="E12" s="115" t="s">
        <v>951</v>
      </c>
      <c r="F12" s="115" t="s">
        <v>3708</v>
      </c>
      <c r="G12" s="115" t="s">
        <v>955</v>
      </c>
      <c r="H12" s="119">
        <v>46750.708333333336</v>
      </c>
    </row>
    <row r="13" spans="1:8" ht="48" customHeight="1">
      <c r="A13" s="117" t="s">
        <v>3356</v>
      </c>
      <c r="B13" s="117" t="s">
        <v>3709</v>
      </c>
      <c r="C13" s="117" t="s">
        <v>3354</v>
      </c>
      <c r="D13" s="118">
        <v>46664.517361111109</v>
      </c>
      <c r="E13" s="117" t="s">
        <v>963</v>
      </c>
      <c r="F13" s="117" t="s">
        <v>3710</v>
      </c>
      <c r="G13" s="117" t="s">
        <v>1532</v>
      </c>
      <c r="H13" s="118">
        <v>46664.520833333336</v>
      </c>
    </row>
    <row r="14" spans="1:8" ht="34.5" customHeight="1">
      <c r="A14" s="115" t="s">
        <v>3359</v>
      </c>
      <c r="B14" s="115" t="s">
        <v>3709</v>
      </c>
      <c r="C14" s="115" t="s">
        <v>3357</v>
      </c>
      <c r="D14" s="119">
        <v>46668.420138888891</v>
      </c>
      <c r="E14" s="115" t="s">
        <v>963</v>
      </c>
      <c r="F14" s="115" t="s">
        <v>3711</v>
      </c>
      <c r="G14" s="115" t="s">
        <v>1532</v>
      </c>
      <c r="H14" s="119">
        <v>46668.423611111117</v>
      </c>
    </row>
    <row r="15" spans="1:8" ht="34.5" customHeight="1">
      <c r="A15" s="117" t="s">
        <v>3362</v>
      </c>
      <c r="B15" s="117" t="s">
        <v>3709</v>
      </c>
      <c r="C15" s="117" t="s">
        <v>3360</v>
      </c>
      <c r="D15" s="118">
        <v>46672.420138888891</v>
      </c>
      <c r="E15" s="117" t="s">
        <v>963</v>
      </c>
      <c r="F15" s="117" t="s">
        <v>3711</v>
      </c>
      <c r="G15" s="117" t="s">
        <v>1532</v>
      </c>
      <c r="H15" s="118">
        <v>46672.423611111117</v>
      </c>
    </row>
    <row r="16" spans="1:8" ht="34.5" customHeight="1">
      <c r="A16" s="115" t="s">
        <v>3365</v>
      </c>
      <c r="B16" s="115" t="s">
        <v>3709</v>
      </c>
      <c r="C16" s="115" t="s">
        <v>3363</v>
      </c>
      <c r="D16" s="119">
        <v>46678.420138888891</v>
      </c>
      <c r="E16" s="115" t="s">
        <v>963</v>
      </c>
      <c r="F16" s="115" t="s">
        <v>3711</v>
      </c>
      <c r="G16" s="115" t="s">
        <v>1532</v>
      </c>
      <c r="H16" s="119">
        <v>46678.423611111117</v>
      </c>
    </row>
    <row r="17" spans="1:8" ht="34.5" customHeight="1">
      <c r="A17" s="117" t="s">
        <v>3368</v>
      </c>
      <c r="B17" s="117" t="s">
        <v>3709</v>
      </c>
      <c r="C17" s="117" t="s">
        <v>3366</v>
      </c>
      <c r="D17" s="118">
        <v>46682.517361111109</v>
      </c>
      <c r="E17" s="117" t="s">
        <v>963</v>
      </c>
      <c r="F17" s="117" t="s">
        <v>3712</v>
      </c>
      <c r="G17" s="117" t="s">
        <v>1532</v>
      </c>
      <c r="H17" s="118">
        <v>46682.520833333336</v>
      </c>
    </row>
    <row r="18" spans="1:8" ht="48" customHeight="1">
      <c r="A18" s="115" t="s">
        <v>3426</v>
      </c>
      <c r="B18" s="115" t="s">
        <v>3709</v>
      </c>
      <c r="C18" s="115" t="s">
        <v>3424</v>
      </c>
      <c r="D18" s="119">
        <v>46695.517361111109</v>
      </c>
      <c r="E18" s="115" t="s">
        <v>963</v>
      </c>
      <c r="F18" s="115" t="s">
        <v>3710</v>
      </c>
      <c r="G18" s="115" t="s">
        <v>1532</v>
      </c>
      <c r="H18" s="119">
        <v>46695.520833333336</v>
      </c>
    </row>
    <row r="19" spans="1:8" ht="48" customHeight="1">
      <c r="A19" s="117" t="s">
        <v>3429</v>
      </c>
      <c r="B19" s="117" t="s">
        <v>3709</v>
      </c>
      <c r="C19" s="117" t="s">
        <v>3427</v>
      </c>
      <c r="D19" s="118">
        <v>46699.517361111109</v>
      </c>
      <c r="E19" s="117" t="s">
        <v>963</v>
      </c>
      <c r="F19" s="117" t="s">
        <v>3710</v>
      </c>
      <c r="G19" s="117" t="s">
        <v>1532</v>
      </c>
      <c r="H19" s="118">
        <v>46699.520833333336</v>
      </c>
    </row>
    <row r="20" spans="1:8" ht="48" customHeight="1">
      <c r="A20" s="115" t="s">
        <v>3432</v>
      </c>
      <c r="B20" s="115" t="s">
        <v>3709</v>
      </c>
      <c r="C20" s="115" t="s">
        <v>3430</v>
      </c>
      <c r="D20" s="119">
        <v>46703.420138888891</v>
      </c>
      <c r="E20" s="115" t="s">
        <v>2345</v>
      </c>
      <c r="F20" s="115" t="s">
        <v>3713</v>
      </c>
      <c r="G20" s="115" t="s">
        <v>1532</v>
      </c>
      <c r="H20" s="119">
        <v>46703.423611111117</v>
      </c>
    </row>
    <row r="21" spans="1:8" ht="34.5" customHeight="1">
      <c r="A21" s="117" t="s">
        <v>3435</v>
      </c>
      <c r="B21" s="117" t="s">
        <v>3709</v>
      </c>
      <c r="C21" s="117" t="s">
        <v>3433</v>
      </c>
      <c r="D21" s="118">
        <v>46709.420138888891</v>
      </c>
      <c r="E21" s="117" t="s">
        <v>963</v>
      </c>
      <c r="F21" s="117" t="s">
        <v>3711</v>
      </c>
      <c r="G21" s="117" t="s">
        <v>1532</v>
      </c>
      <c r="H21" s="118">
        <v>46709.423611111117</v>
      </c>
    </row>
    <row r="22" spans="1:8" ht="34.5" customHeight="1">
      <c r="A22" s="115" t="s">
        <v>3438</v>
      </c>
      <c r="B22" s="115" t="s">
        <v>3709</v>
      </c>
      <c r="C22" s="115" t="s">
        <v>3436</v>
      </c>
      <c r="D22" s="119">
        <v>46713.420138888891</v>
      </c>
      <c r="E22" s="115" t="s">
        <v>963</v>
      </c>
      <c r="F22" s="115" t="s">
        <v>3711</v>
      </c>
      <c r="G22" s="115" t="s">
        <v>1532</v>
      </c>
      <c r="H22" s="119">
        <v>46713.423611111117</v>
      </c>
    </row>
    <row r="23" spans="1:8" ht="48" customHeight="1">
      <c r="A23" s="117" t="s">
        <v>3496</v>
      </c>
      <c r="B23" s="117" t="s">
        <v>3709</v>
      </c>
      <c r="C23" s="117" t="s">
        <v>3494</v>
      </c>
      <c r="D23" s="118">
        <v>46727.517361111109</v>
      </c>
      <c r="E23" s="117" t="s">
        <v>963</v>
      </c>
      <c r="F23" s="117" t="s">
        <v>3710</v>
      </c>
      <c r="G23" s="117" t="s">
        <v>1532</v>
      </c>
      <c r="H23" s="118">
        <v>46727.520833333336</v>
      </c>
    </row>
    <row r="24" spans="1:8" ht="34.5" customHeight="1">
      <c r="A24" s="115" t="s">
        <v>3499</v>
      </c>
      <c r="B24" s="115" t="s">
        <v>3709</v>
      </c>
      <c r="C24" s="115" t="s">
        <v>3497</v>
      </c>
      <c r="D24" s="119">
        <v>46731.420138888891</v>
      </c>
      <c r="E24" s="115" t="s">
        <v>963</v>
      </c>
      <c r="F24" s="115" t="s">
        <v>3711</v>
      </c>
      <c r="G24" s="115" t="s">
        <v>1532</v>
      </c>
      <c r="H24" s="119">
        <v>46731.423611111117</v>
      </c>
    </row>
    <row r="25" spans="1:8" ht="34.5" customHeight="1">
      <c r="A25" s="117" t="s">
        <v>3502</v>
      </c>
      <c r="B25" s="117" t="s">
        <v>3709</v>
      </c>
      <c r="C25" s="117" t="s">
        <v>3500</v>
      </c>
      <c r="D25" s="118">
        <v>46735.420138888891</v>
      </c>
      <c r="E25" s="117" t="s">
        <v>963</v>
      </c>
      <c r="F25" s="117" t="s">
        <v>3711</v>
      </c>
      <c r="G25" s="117" t="s">
        <v>1532</v>
      </c>
      <c r="H25" s="118">
        <v>46735.423611111117</v>
      </c>
    </row>
    <row r="26" spans="1:8" ht="34.5" customHeight="1">
      <c r="A26" s="115" t="s">
        <v>3505</v>
      </c>
      <c r="B26" s="115" t="s">
        <v>3709</v>
      </c>
      <c r="C26" s="115" t="s">
        <v>3503</v>
      </c>
      <c r="D26" s="119">
        <v>46741.420138888891</v>
      </c>
      <c r="E26" s="115" t="s">
        <v>963</v>
      </c>
      <c r="F26" s="115" t="s">
        <v>3711</v>
      </c>
      <c r="G26" s="115" t="s">
        <v>1532</v>
      </c>
      <c r="H26" s="119">
        <v>46741.423611111117</v>
      </c>
    </row>
  </sheetData>
  <phoneticPr fontId="30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2.19921875" customWidth="1"/>
    <col min="2" max="2" width="20" customWidth="1"/>
    <col min="3" max="3" width="48.8984375" customWidth="1"/>
    <col min="4" max="4" width="28.8984375" customWidth="1"/>
    <col min="5" max="5" width="54.3984375" customWidth="1"/>
    <col min="6" max="6" width="72.19921875" customWidth="1"/>
    <col min="7" max="7" width="16.69921875" customWidth="1"/>
    <col min="8" max="8" width="20" customWidth="1"/>
    <col min="9" max="9" width="38.8984375" customWidth="1"/>
  </cols>
  <sheetData>
    <row r="1" spans="1:9" ht="19.2">
      <c r="A1" s="113" t="s">
        <v>3714</v>
      </c>
      <c r="B1" s="112"/>
      <c r="C1" s="112"/>
      <c r="D1" s="112"/>
      <c r="E1" s="112"/>
      <c r="F1" s="112"/>
      <c r="G1" s="112"/>
      <c r="H1" s="112"/>
      <c r="I1" s="112"/>
    </row>
    <row r="2" spans="1:9">
      <c r="A2" s="112"/>
      <c r="B2" s="112"/>
      <c r="C2" s="112"/>
      <c r="D2" s="112"/>
      <c r="E2" s="112"/>
      <c r="F2" s="112"/>
      <c r="G2" s="112"/>
      <c r="H2" s="112"/>
      <c r="I2" s="112"/>
    </row>
    <row r="3" spans="1:9">
      <c r="A3" s="114" t="s">
        <v>3715</v>
      </c>
      <c r="B3" s="112"/>
      <c r="C3" s="112"/>
      <c r="D3" s="112"/>
      <c r="E3" s="112"/>
      <c r="F3" s="112"/>
      <c r="G3" s="112"/>
      <c r="H3" s="112"/>
      <c r="I3" s="112"/>
    </row>
    <row r="4" spans="1:9">
      <c r="A4" s="112"/>
      <c r="B4" s="112"/>
      <c r="C4" s="112"/>
      <c r="D4" s="112"/>
      <c r="E4" s="112"/>
      <c r="F4" s="112"/>
      <c r="G4" s="112"/>
      <c r="H4" s="112"/>
      <c r="I4" s="112"/>
    </row>
    <row r="5" spans="1:9" ht="31.95" customHeight="1">
      <c r="A5" s="116" t="s">
        <v>348</v>
      </c>
      <c r="B5" s="116" t="s">
        <v>1769</v>
      </c>
      <c r="C5" s="116" t="s">
        <v>3716</v>
      </c>
      <c r="D5" s="116" t="s">
        <v>3717</v>
      </c>
      <c r="E5" s="116" t="s">
        <v>3718</v>
      </c>
      <c r="F5" s="116" t="s">
        <v>3719</v>
      </c>
      <c r="G5" s="116" t="s">
        <v>1695</v>
      </c>
      <c r="H5" s="116" t="s">
        <v>2155</v>
      </c>
      <c r="I5" s="116" t="s">
        <v>3654</v>
      </c>
    </row>
    <row r="6" spans="1:9" ht="30" customHeight="1">
      <c r="A6" s="115" t="s">
        <v>3720</v>
      </c>
      <c r="B6" s="119">
        <v>46760.375</v>
      </c>
      <c r="C6" s="115" t="s">
        <v>3721</v>
      </c>
      <c r="D6" s="115" t="s">
        <v>3722</v>
      </c>
      <c r="E6" s="115" t="s">
        <v>3723</v>
      </c>
      <c r="F6" s="115" t="s">
        <v>3724</v>
      </c>
      <c r="G6" s="115" t="s">
        <v>951</v>
      </c>
      <c r="H6" s="119">
        <v>46762.5625</v>
      </c>
      <c r="I6" s="115" t="s">
        <v>3636</v>
      </c>
    </row>
    <row r="7" spans="1:9" ht="34.5" customHeight="1">
      <c r="A7" s="117" t="s">
        <v>3725</v>
      </c>
      <c r="B7" s="118">
        <v>46760.381944444445</v>
      </c>
      <c r="C7" s="117" t="s">
        <v>3726</v>
      </c>
      <c r="D7" s="117" t="s">
        <v>3727</v>
      </c>
      <c r="E7" s="117" t="s">
        <v>3728</v>
      </c>
      <c r="F7" s="117" t="s">
        <v>3729</v>
      </c>
      <c r="G7" s="117" t="s">
        <v>963</v>
      </c>
      <c r="H7" s="118">
        <v>46762.458333333336</v>
      </c>
      <c r="I7" s="117" t="s">
        <v>3730</v>
      </c>
    </row>
    <row r="8" spans="1:9" ht="30" customHeight="1">
      <c r="A8" s="115" t="s">
        <v>3731</v>
      </c>
      <c r="B8" s="119">
        <v>46763.375</v>
      </c>
      <c r="C8" s="115" t="s">
        <v>3732</v>
      </c>
      <c r="D8" s="115" t="s">
        <v>3733</v>
      </c>
      <c r="E8" s="115" t="s">
        <v>3734</v>
      </c>
      <c r="F8" s="115" t="s">
        <v>3735</v>
      </c>
      <c r="G8" s="115" t="s">
        <v>951</v>
      </c>
      <c r="H8" s="119">
        <v>46763.625</v>
      </c>
      <c r="I8" s="115" t="s">
        <v>3317</v>
      </c>
    </row>
  </sheetData>
  <phoneticPr fontId="30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5.59765625" customWidth="1"/>
    <col min="2" max="2" width="17.796875" customWidth="1"/>
    <col min="3" max="3" width="28.8984375" customWidth="1"/>
    <col min="4" max="4" width="16.69921875" customWidth="1"/>
    <col min="5" max="5" width="20" customWidth="1"/>
    <col min="6" max="6" width="17.796875" customWidth="1"/>
    <col min="7" max="7" width="94.3984375" customWidth="1"/>
    <col min="8" max="8" width="50" customWidth="1"/>
  </cols>
  <sheetData>
    <row r="1" spans="1:8" ht="19.2">
      <c r="A1" s="113" t="s">
        <v>3736</v>
      </c>
      <c r="B1" s="112"/>
      <c r="C1" s="112"/>
      <c r="D1" s="112"/>
      <c r="E1" s="112"/>
      <c r="F1" s="112"/>
      <c r="G1" s="112"/>
      <c r="H1" s="112"/>
    </row>
    <row r="2" spans="1:8">
      <c r="A2" s="112"/>
      <c r="B2" s="112"/>
      <c r="C2" s="112"/>
      <c r="D2" s="112"/>
      <c r="E2" s="112"/>
      <c r="F2" s="112"/>
      <c r="G2" s="112"/>
      <c r="H2" s="112"/>
    </row>
    <row r="3" spans="1:8">
      <c r="A3" s="114" t="s">
        <v>3737</v>
      </c>
      <c r="B3" s="112"/>
      <c r="C3" s="112"/>
      <c r="D3" s="112"/>
      <c r="E3" s="112"/>
      <c r="F3" s="112"/>
      <c r="G3" s="112"/>
      <c r="H3" s="112"/>
    </row>
    <row r="4" spans="1:8">
      <c r="A4" s="112"/>
      <c r="B4" s="112"/>
      <c r="C4" s="112"/>
      <c r="D4" s="112"/>
      <c r="E4" s="112"/>
      <c r="F4" s="112"/>
      <c r="G4" s="112"/>
      <c r="H4" s="112"/>
    </row>
    <row r="5" spans="1:8" ht="31.95" customHeight="1">
      <c r="A5" s="116" t="s">
        <v>524</v>
      </c>
      <c r="B5" s="116" t="s">
        <v>3738</v>
      </c>
      <c r="C5" s="116" t="s">
        <v>3739</v>
      </c>
      <c r="D5" s="116" t="s">
        <v>1988</v>
      </c>
      <c r="E5" s="116" t="s">
        <v>1769</v>
      </c>
      <c r="F5" s="116" t="s">
        <v>350</v>
      </c>
      <c r="G5" s="116" t="s">
        <v>3740</v>
      </c>
      <c r="H5" s="116" t="s">
        <v>1698</v>
      </c>
    </row>
    <row r="6" spans="1:8" ht="34.5" customHeight="1">
      <c r="A6" s="115" t="s">
        <v>3741</v>
      </c>
      <c r="B6" s="115" t="s">
        <v>3317</v>
      </c>
      <c r="C6" s="115" t="s">
        <v>3742</v>
      </c>
      <c r="D6" s="115" t="s">
        <v>1527</v>
      </c>
      <c r="E6" s="119">
        <v>46763.583333333336</v>
      </c>
      <c r="F6" s="115" t="s">
        <v>948</v>
      </c>
      <c r="G6" s="115" t="s">
        <v>3743</v>
      </c>
      <c r="H6" s="115" t="s">
        <v>3333</v>
      </c>
    </row>
    <row r="7" spans="1:8" ht="34.5" customHeight="1">
      <c r="A7" s="117" t="s">
        <v>3744</v>
      </c>
      <c r="B7" s="117" t="s">
        <v>3317</v>
      </c>
      <c r="C7" s="117" t="s">
        <v>3742</v>
      </c>
      <c r="D7" s="117" t="s">
        <v>1532</v>
      </c>
      <c r="E7" s="118">
        <v>46763.590277777781</v>
      </c>
      <c r="F7" s="117" t="s">
        <v>948</v>
      </c>
      <c r="G7" s="117" t="s">
        <v>3745</v>
      </c>
      <c r="H7" s="117" t="s">
        <v>3746</v>
      </c>
    </row>
    <row r="8" spans="1:8" ht="34.5" customHeight="1">
      <c r="A8" s="115" t="s">
        <v>3747</v>
      </c>
      <c r="B8" s="115" t="s">
        <v>3317</v>
      </c>
      <c r="C8" s="115" t="s">
        <v>3748</v>
      </c>
      <c r="D8" s="115" t="s">
        <v>955</v>
      </c>
      <c r="E8" s="119">
        <v>46764.666666666664</v>
      </c>
      <c r="F8" s="115" t="s">
        <v>948</v>
      </c>
      <c r="G8" s="115" t="s">
        <v>3749</v>
      </c>
      <c r="H8" s="115" t="s">
        <v>3750</v>
      </c>
    </row>
    <row r="9" spans="1:8" ht="34.5" customHeight="1">
      <c r="A9" s="117" t="s">
        <v>3751</v>
      </c>
      <c r="B9" s="117" t="s">
        <v>3317</v>
      </c>
      <c r="C9" s="117" t="s">
        <v>3752</v>
      </c>
      <c r="D9" s="117" t="s">
        <v>955</v>
      </c>
      <c r="E9" s="118">
        <v>46765.708333333336</v>
      </c>
      <c r="F9" s="117" t="s">
        <v>3753</v>
      </c>
      <c r="G9" s="117" t="s">
        <v>3754</v>
      </c>
      <c r="H9" s="117" t="s">
        <v>3755</v>
      </c>
    </row>
    <row r="10" spans="1:8" ht="34.5" customHeight="1">
      <c r="A10" s="115" t="s">
        <v>3756</v>
      </c>
      <c r="B10" s="115" t="s">
        <v>3317</v>
      </c>
      <c r="C10" s="115" t="s">
        <v>3320</v>
      </c>
      <c r="D10" s="115" t="s">
        <v>979</v>
      </c>
      <c r="E10" s="119">
        <v>46766.416666666664</v>
      </c>
      <c r="F10" s="115" t="s">
        <v>3757</v>
      </c>
      <c r="G10" s="115" t="s">
        <v>3758</v>
      </c>
      <c r="H10" s="115" t="s">
        <v>3751</v>
      </c>
    </row>
    <row r="11" spans="1:8" ht="34.5" customHeight="1">
      <c r="A11" s="117" t="s">
        <v>3759</v>
      </c>
      <c r="B11" s="117" t="s">
        <v>3317</v>
      </c>
      <c r="C11" s="117" t="s">
        <v>3760</v>
      </c>
      <c r="D11" s="117" t="s">
        <v>951</v>
      </c>
      <c r="E11" s="118">
        <v>46765.708333333336</v>
      </c>
      <c r="F11" s="117" t="s">
        <v>3753</v>
      </c>
      <c r="G11" s="117" t="s">
        <v>3761</v>
      </c>
      <c r="H11" s="117" t="s">
        <v>3762</v>
      </c>
    </row>
    <row r="12" spans="1:8" ht="34.5" customHeight="1">
      <c r="A12" s="115" t="s">
        <v>3763</v>
      </c>
      <c r="B12" s="115" t="s">
        <v>3317</v>
      </c>
      <c r="C12" s="115" t="s">
        <v>3764</v>
      </c>
      <c r="D12" s="115" t="s">
        <v>955</v>
      </c>
      <c r="E12" s="119">
        <v>46765.708333333336</v>
      </c>
      <c r="F12" s="115" t="s">
        <v>39</v>
      </c>
      <c r="G12" s="115" t="s">
        <v>3765</v>
      </c>
      <c r="H12" s="115" t="s">
        <v>3766</v>
      </c>
    </row>
  </sheetData>
  <phoneticPr fontId="30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8.8984375" customWidth="1"/>
    <col min="2" max="2" width="42.19921875" customWidth="1"/>
    <col min="3" max="3" width="88.8984375" customWidth="1"/>
    <col min="4" max="4" width="11.09765625" customWidth="1"/>
  </cols>
  <sheetData>
    <row r="1" spans="1:4" ht="19.2">
      <c r="A1" s="113" t="s">
        <v>3767</v>
      </c>
      <c r="B1" s="112"/>
      <c r="C1" s="112"/>
      <c r="D1" s="112"/>
    </row>
    <row r="2" spans="1:4">
      <c r="A2" s="112"/>
      <c r="B2" s="112"/>
      <c r="C2" s="112"/>
      <c r="D2" s="112"/>
    </row>
    <row r="3" spans="1:4">
      <c r="A3" s="114" t="s">
        <v>3768</v>
      </c>
      <c r="B3" s="112"/>
      <c r="C3" s="112"/>
      <c r="D3" s="112"/>
    </row>
    <row r="4" spans="1:4">
      <c r="A4" s="112"/>
      <c r="B4" s="112"/>
      <c r="C4" s="112"/>
      <c r="D4" s="112"/>
    </row>
    <row r="5" spans="1:4" ht="31.95" customHeight="1">
      <c r="A5" s="116" t="s">
        <v>3769</v>
      </c>
      <c r="B5" s="116" t="s">
        <v>3770</v>
      </c>
      <c r="C5" s="116" t="s">
        <v>3771</v>
      </c>
      <c r="D5" s="116" t="s">
        <v>1494</v>
      </c>
    </row>
    <row r="6" spans="1:4" ht="30" customHeight="1">
      <c r="A6" s="115" t="s">
        <v>3772</v>
      </c>
      <c r="B6" s="115" t="s">
        <v>3773</v>
      </c>
      <c r="C6" s="115" t="s">
        <v>3774</v>
      </c>
      <c r="D6" s="115" t="s">
        <v>3775</v>
      </c>
    </row>
    <row r="7" spans="1:4" ht="30" customHeight="1">
      <c r="A7" s="117" t="s">
        <v>3776</v>
      </c>
      <c r="B7" s="117" t="s">
        <v>3777</v>
      </c>
      <c r="C7" s="117" t="s">
        <v>3778</v>
      </c>
      <c r="D7" s="117" t="s">
        <v>3775</v>
      </c>
    </row>
    <row r="8" spans="1:4" ht="30" customHeight="1">
      <c r="A8" s="115" t="s">
        <v>3779</v>
      </c>
      <c r="B8" s="115" t="s">
        <v>3780</v>
      </c>
      <c r="C8" s="115" t="s">
        <v>3781</v>
      </c>
      <c r="D8" s="115" t="s">
        <v>3775</v>
      </c>
    </row>
    <row r="9" spans="1:4" ht="30" customHeight="1">
      <c r="A9" s="117" t="s">
        <v>3782</v>
      </c>
      <c r="B9" s="117" t="s">
        <v>3783</v>
      </c>
      <c r="C9" s="117" t="s">
        <v>3784</v>
      </c>
      <c r="D9" s="117" t="s">
        <v>3775</v>
      </c>
    </row>
    <row r="10" spans="1:4" ht="30" customHeight="1">
      <c r="A10" s="115" t="s">
        <v>3785</v>
      </c>
      <c r="B10" s="115" t="s">
        <v>3786</v>
      </c>
      <c r="C10" s="115" t="s">
        <v>3787</v>
      </c>
      <c r="D10" s="115" t="s">
        <v>3788</v>
      </c>
    </row>
    <row r="11" spans="1:4" ht="30" customHeight="1">
      <c r="A11" s="117" t="s">
        <v>3789</v>
      </c>
      <c r="B11" s="117" t="s">
        <v>3790</v>
      </c>
      <c r="C11" s="117" t="s">
        <v>3791</v>
      </c>
      <c r="D11" s="117" t="s">
        <v>3788</v>
      </c>
    </row>
    <row r="12" spans="1:4" ht="30" customHeight="1">
      <c r="A12" s="115" t="s">
        <v>3792</v>
      </c>
      <c r="B12" s="115" t="s">
        <v>3793</v>
      </c>
      <c r="C12" s="115" t="s">
        <v>3794</v>
      </c>
      <c r="D12" s="115" t="s">
        <v>3788</v>
      </c>
    </row>
    <row r="13" spans="1:4" ht="30" customHeight="1">
      <c r="A13" s="117" t="s">
        <v>3795</v>
      </c>
      <c r="B13" s="117" t="s">
        <v>3317</v>
      </c>
      <c r="C13" s="117" t="s">
        <v>3796</v>
      </c>
      <c r="D13" s="117" t="s">
        <v>3797</v>
      </c>
    </row>
    <row r="14" spans="1:4" ht="30" customHeight="1">
      <c r="A14" s="115" t="s">
        <v>3798</v>
      </c>
      <c r="B14" s="115" t="s">
        <v>3799</v>
      </c>
      <c r="C14" s="115" t="s">
        <v>3800</v>
      </c>
      <c r="D14" s="115" t="s">
        <v>3797</v>
      </c>
    </row>
    <row r="15" spans="1:4" ht="30" customHeight="1">
      <c r="A15" s="117" t="s">
        <v>3801</v>
      </c>
      <c r="B15" s="117" t="s">
        <v>3660</v>
      </c>
      <c r="C15" s="117" t="s">
        <v>3802</v>
      </c>
      <c r="D15" s="117" t="s">
        <v>3797</v>
      </c>
    </row>
    <row r="16" spans="1:4" ht="30" customHeight="1">
      <c r="A16" s="115" t="s">
        <v>3803</v>
      </c>
      <c r="B16" s="115" t="s">
        <v>3804</v>
      </c>
      <c r="C16" s="115" t="s">
        <v>3805</v>
      </c>
      <c r="D16" s="115" t="s">
        <v>3797</v>
      </c>
    </row>
    <row r="17" spans="1:4" ht="30" customHeight="1">
      <c r="A17" s="117" t="s">
        <v>3806</v>
      </c>
      <c r="B17" s="117" t="s">
        <v>3807</v>
      </c>
      <c r="C17" s="117" t="s">
        <v>3808</v>
      </c>
      <c r="D17" s="117" t="s">
        <v>3797</v>
      </c>
    </row>
    <row r="18" spans="1:4" ht="30" customHeight="1">
      <c r="A18" s="115" t="s">
        <v>3809</v>
      </c>
      <c r="B18" s="115" t="s">
        <v>3810</v>
      </c>
      <c r="C18" s="115" t="s">
        <v>3811</v>
      </c>
      <c r="D18" s="115" t="s">
        <v>3797</v>
      </c>
    </row>
    <row r="19" spans="1:4" ht="30" customHeight="1">
      <c r="A19" s="117" t="s">
        <v>3812</v>
      </c>
      <c r="B19" s="117" t="s">
        <v>3813</v>
      </c>
      <c r="C19" s="117" t="s">
        <v>3814</v>
      </c>
      <c r="D19" s="117" t="s">
        <v>3797</v>
      </c>
    </row>
  </sheetData>
  <phoneticPr fontId="30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24.3984375" customWidth="1"/>
    <col min="2" max="2" width="47.796875" customWidth="1"/>
    <col min="3" max="3" width="105.59765625" customWidth="1"/>
    <col min="4" max="4" width="25.59765625" customWidth="1"/>
  </cols>
  <sheetData>
    <row r="1" spans="1:4" ht="19.2">
      <c r="A1" s="113" t="s">
        <v>3815</v>
      </c>
      <c r="B1" s="112"/>
      <c r="C1" s="112"/>
      <c r="D1" s="112"/>
    </row>
    <row r="2" spans="1:4">
      <c r="A2" s="112"/>
      <c r="B2" s="112"/>
      <c r="C2" s="112"/>
      <c r="D2" s="112"/>
    </row>
    <row r="3" spans="1:4">
      <c r="A3" s="114" t="s">
        <v>3816</v>
      </c>
      <c r="B3" s="112"/>
      <c r="C3" s="112"/>
      <c r="D3" s="112"/>
    </row>
    <row r="4" spans="1:4">
      <c r="A4" s="112"/>
      <c r="B4" s="112"/>
      <c r="C4" s="112"/>
      <c r="D4" s="112"/>
    </row>
    <row r="5" spans="1:4" ht="31.95" customHeight="1">
      <c r="A5" s="116" t="s">
        <v>877</v>
      </c>
      <c r="B5" s="116" t="s">
        <v>3068</v>
      </c>
      <c r="C5" s="116" t="s">
        <v>2105</v>
      </c>
      <c r="D5" s="116" t="s">
        <v>3817</v>
      </c>
    </row>
    <row r="6" spans="1:4" ht="30" customHeight="1">
      <c r="A6" s="115" t="s">
        <v>3818</v>
      </c>
      <c r="B6" s="115" t="s">
        <v>3819</v>
      </c>
      <c r="C6" s="115" t="s">
        <v>3820</v>
      </c>
      <c r="D6" s="115"/>
    </row>
    <row r="7" spans="1:4" ht="34.5" customHeight="1">
      <c r="A7" s="117" t="s">
        <v>3821</v>
      </c>
      <c r="B7" s="117" t="s">
        <v>3822</v>
      </c>
      <c r="C7" s="117" t="s">
        <v>3823</v>
      </c>
      <c r="D7" s="117"/>
    </row>
    <row r="8" spans="1:4" ht="34.5" customHeight="1">
      <c r="A8" s="115" t="s">
        <v>3824</v>
      </c>
      <c r="B8" s="115" t="s">
        <v>3825</v>
      </c>
      <c r="C8" s="115" t="s">
        <v>3826</v>
      </c>
      <c r="D8" s="115"/>
    </row>
    <row r="9" spans="1:4" ht="30" customHeight="1">
      <c r="A9" s="117" t="s">
        <v>3827</v>
      </c>
      <c r="B9" s="117" t="s">
        <v>3828</v>
      </c>
      <c r="C9" s="117" t="s">
        <v>3829</v>
      </c>
      <c r="D9" s="117"/>
    </row>
    <row r="10" spans="1:4" ht="30" customHeight="1">
      <c r="A10" s="115" t="s">
        <v>3657</v>
      </c>
      <c r="B10" s="115" t="s">
        <v>3830</v>
      </c>
      <c r="C10" s="115" t="s">
        <v>3831</v>
      </c>
      <c r="D10" s="115"/>
    </row>
    <row r="11" spans="1:4" ht="30" customHeight="1">
      <c r="A11" s="117" t="s">
        <v>3832</v>
      </c>
      <c r="B11" s="117" t="s">
        <v>3833</v>
      </c>
      <c r="C11" s="117" t="s">
        <v>3834</v>
      </c>
      <c r="D11" s="117"/>
    </row>
    <row r="12" spans="1:4" ht="30" customHeight="1">
      <c r="A12" s="115" t="s">
        <v>3835</v>
      </c>
      <c r="B12" s="115" t="s">
        <v>3836</v>
      </c>
      <c r="C12" s="115" t="s">
        <v>3837</v>
      </c>
      <c r="D12" s="115"/>
    </row>
    <row r="13" spans="1:4" ht="30" customHeight="1">
      <c r="A13" s="117" t="s">
        <v>3838</v>
      </c>
      <c r="B13" s="117" t="s">
        <v>3839</v>
      </c>
      <c r="C13" s="117" t="s">
        <v>3840</v>
      </c>
      <c r="D13" s="117"/>
    </row>
    <row r="14" spans="1:4" ht="30" customHeight="1">
      <c r="A14" s="115" t="s">
        <v>3841</v>
      </c>
      <c r="B14" s="115" t="s">
        <v>3842</v>
      </c>
      <c r="C14" s="115" t="s">
        <v>3843</v>
      </c>
      <c r="D14" s="115"/>
    </row>
    <row r="15" spans="1:4" ht="30" customHeight="1">
      <c r="A15" s="117" t="s">
        <v>3844</v>
      </c>
      <c r="B15" s="117" t="s">
        <v>3845</v>
      </c>
      <c r="C15" s="117" t="s">
        <v>3846</v>
      </c>
      <c r="D15" s="117"/>
    </row>
    <row r="16" spans="1:4" ht="30" customHeight="1">
      <c r="A16" s="115" t="s">
        <v>3847</v>
      </c>
      <c r="B16" s="115" t="s">
        <v>3848</v>
      </c>
      <c r="C16" s="115" t="s">
        <v>3849</v>
      </c>
      <c r="D16" s="115"/>
    </row>
    <row r="17" spans="1:4" ht="30" customHeight="1">
      <c r="A17" s="117" t="s">
        <v>3850</v>
      </c>
      <c r="B17" s="117" t="s">
        <v>3851</v>
      </c>
      <c r="C17" s="117" t="s">
        <v>3852</v>
      </c>
      <c r="D17" s="117"/>
    </row>
    <row r="18" spans="1:4" ht="30" customHeight="1">
      <c r="A18" s="115" t="s">
        <v>1414</v>
      </c>
      <c r="B18" s="115" t="s">
        <v>3853</v>
      </c>
      <c r="C18" s="115" t="s">
        <v>3854</v>
      </c>
      <c r="D18" s="115"/>
    </row>
  </sheetData>
  <phoneticPr fontId="30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5.59765625" customWidth="1"/>
    <col min="2" max="2" width="45.59765625" customWidth="1"/>
    <col min="3" max="3" width="83.296875" customWidth="1"/>
    <col min="4" max="4" width="37.796875" customWidth="1"/>
  </cols>
  <sheetData>
    <row r="1" spans="1:4" ht="19.2">
      <c r="A1" s="113" t="s">
        <v>3855</v>
      </c>
      <c r="B1" s="112"/>
      <c r="C1" s="112"/>
      <c r="D1" s="112"/>
    </row>
    <row r="2" spans="1:4">
      <c r="A2" s="112"/>
      <c r="B2" s="112"/>
      <c r="C2" s="112"/>
      <c r="D2" s="112"/>
    </row>
    <row r="3" spans="1:4">
      <c r="A3" s="114" t="s">
        <v>3856</v>
      </c>
      <c r="B3" s="112"/>
      <c r="C3" s="112"/>
      <c r="D3" s="112"/>
    </row>
    <row r="4" spans="1:4">
      <c r="A4" s="112"/>
      <c r="B4" s="112"/>
      <c r="C4" s="112"/>
      <c r="D4" s="112"/>
    </row>
    <row r="5" spans="1:4" ht="31.95" customHeight="1">
      <c r="A5" s="116" t="s">
        <v>626</v>
      </c>
      <c r="B5" s="116" t="s">
        <v>3857</v>
      </c>
      <c r="C5" s="116" t="s">
        <v>3858</v>
      </c>
      <c r="D5" s="116" t="s">
        <v>3859</v>
      </c>
    </row>
    <row r="6" spans="1:4" ht="30" customHeight="1">
      <c r="A6" s="115" t="s">
        <v>3860</v>
      </c>
      <c r="B6" s="115" t="s">
        <v>3861</v>
      </c>
      <c r="C6" s="115" t="s">
        <v>3862</v>
      </c>
      <c r="D6" s="115" t="s">
        <v>3863</v>
      </c>
    </row>
    <row r="7" spans="1:4" ht="30" customHeight="1">
      <c r="A7" s="117" t="s">
        <v>3864</v>
      </c>
      <c r="B7" s="117" t="s">
        <v>3865</v>
      </c>
      <c r="C7" s="117" t="s">
        <v>3866</v>
      </c>
      <c r="D7" s="117" t="s">
        <v>3867</v>
      </c>
    </row>
    <row r="8" spans="1:4" ht="30" customHeight="1">
      <c r="A8" s="115" t="s">
        <v>3868</v>
      </c>
      <c r="B8" s="115" t="s">
        <v>3869</v>
      </c>
      <c r="C8" s="115" t="s">
        <v>3870</v>
      </c>
      <c r="D8" s="115" t="s">
        <v>3871</v>
      </c>
    </row>
    <row r="9" spans="1:4" ht="30" customHeight="1">
      <c r="A9" s="117" t="s">
        <v>3872</v>
      </c>
      <c r="B9" s="117" t="s">
        <v>3873</v>
      </c>
      <c r="C9" s="117" t="s">
        <v>3874</v>
      </c>
      <c r="D9" s="117" t="s">
        <v>3875</v>
      </c>
    </row>
    <row r="10" spans="1:4" ht="30" customHeight="1">
      <c r="A10" s="115" t="s">
        <v>3876</v>
      </c>
      <c r="B10" s="115" t="s">
        <v>3877</v>
      </c>
      <c r="C10" s="115" t="s">
        <v>3878</v>
      </c>
      <c r="D10" s="115" t="s">
        <v>3879</v>
      </c>
    </row>
    <row r="11" spans="1:4" ht="30" customHeight="1">
      <c r="A11" s="117" t="s">
        <v>3880</v>
      </c>
      <c r="B11" s="117" t="s">
        <v>3881</v>
      </c>
      <c r="C11" s="117" t="s">
        <v>3882</v>
      </c>
      <c r="D11" s="117" t="s">
        <v>3883</v>
      </c>
    </row>
    <row r="12" spans="1:4" ht="30" customHeight="1">
      <c r="A12" s="115" t="s">
        <v>3884</v>
      </c>
      <c r="B12" s="115" t="s">
        <v>3885</v>
      </c>
      <c r="C12" s="115" t="s">
        <v>3886</v>
      </c>
      <c r="D12" s="115" t="s">
        <v>3887</v>
      </c>
    </row>
    <row r="13" spans="1:4" ht="30" customHeight="1">
      <c r="A13" s="117" t="s">
        <v>3888</v>
      </c>
      <c r="B13" s="117" t="s">
        <v>3889</v>
      </c>
      <c r="C13" s="117" t="s">
        <v>3890</v>
      </c>
      <c r="D13" s="117" t="s">
        <v>3891</v>
      </c>
    </row>
  </sheetData>
  <phoneticPr fontId="30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8"/>
  <cols>
    <col min="1" max="1" width="16.69921875" customWidth="1"/>
    <col min="2" max="2" width="42.19921875" customWidth="1"/>
    <col min="3" max="4" width="22.19921875" customWidth="1"/>
    <col min="5" max="5" width="20" customWidth="1"/>
  </cols>
  <sheetData>
    <row r="1" spans="1:5" ht="19.2">
      <c r="A1" s="113" t="s">
        <v>3892</v>
      </c>
      <c r="B1" s="112"/>
      <c r="C1" s="112"/>
      <c r="D1" s="112"/>
      <c r="E1" s="112"/>
    </row>
    <row r="2" spans="1:5">
      <c r="A2" s="112"/>
      <c r="B2" s="112"/>
      <c r="C2" s="112"/>
      <c r="D2" s="112"/>
      <c r="E2" s="112"/>
    </row>
    <row r="3" spans="1:5">
      <c r="A3" s="114" t="s">
        <v>3893</v>
      </c>
      <c r="B3" s="112"/>
      <c r="C3" s="112"/>
      <c r="D3" s="112"/>
      <c r="E3" s="112"/>
    </row>
    <row r="4" spans="1:5">
      <c r="A4" s="112"/>
      <c r="B4" s="112"/>
      <c r="C4" s="112"/>
      <c r="D4" s="112"/>
      <c r="E4" s="112"/>
    </row>
    <row r="5" spans="1:5" ht="31.95" customHeight="1">
      <c r="A5" s="116" t="s">
        <v>1432</v>
      </c>
      <c r="B5" s="116" t="s">
        <v>832</v>
      </c>
      <c r="C5" s="116" t="s">
        <v>833</v>
      </c>
      <c r="D5" s="116" t="s">
        <v>834</v>
      </c>
      <c r="E5" s="116" t="s">
        <v>836</v>
      </c>
    </row>
    <row r="6" spans="1:5" ht="30" customHeight="1">
      <c r="A6" s="115" t="s">
        <v>3894</v>
      </c>
      <c r="B6" s="115" t="s">
        <v>3895</v>
      </c>
      <c r="C6" s="123">
        <v>91800000</v>
      </c>
      <c r="D6" s="123">
        <f>SC06과제성과!E9</f>
        <v>91800000</v>
      </c>
      <c r="E6" s="115" t="str">
        <f t="shared" ref="E6:E22" si="0">IF(C6=D6,"PASS","검토 필요")</f>
        <v>PASS</v>
      </c>
    </row>
    <row r="7" spans="1:5" ht="30" customHeight="1">
      <c r="A7" s="117" t="s">
        <v>3896</v>
      </c>
      <c r="B7" s="117" t="s">
        <v>3897</v>
      </c>
      <c r="C7" s="124">
        <v>87000000</v>
      </c>
      <c r="D7" s="124">
        <f>SC06과제성과!F9</f>
        <v>87000000</v>
      </c>
      <c r="E7" s="117" t="str">
        <f t="shared" si="0"/>
        <v>PASS</v>
      </c>
    </row>
    <row r="8" spans="1:5" ht="30" customHeight="1">
      <c r="A8" s="115" t="s">
        <v>3898</v>
      </c>
      <c r="B8" s="115" t="s">
        <v>3899</v>
      </c>
      <c r="C8" s="123">
        <v>25800000</v>
      </c>
      <c r="D8" s="123">
        <f>SC06과제성과!F7</f>
        <v>25800000</v>
      </c>
      <c r="E8" s="115" t="str">
        <f t="shared" si="0"/>
        <v>PASS</v>
      </c>
    </row>
    <row r="9" spans="1:5" ht="30" customHeight="1">
      <c r="A9" s="117" t="s">
        <v>3900</v>
      </c>
      <c r="B9" s="117" t="s">
        <v>3901</v>
      </c>
      <c r="C9" s="124">
        <v>-4800000</v>
      </c>
      <c r="D9" s="124">
        <f>SC06과제성과!G9</f>
        <v>-4800000</v>
      </c>
      <c r="E9" s="117" t="str">
        <f t="shared" si="0"/>
        <v>PASS</v>
      </c>
    </row>
    <row r="10" spans="1:5" ht="30" customHeight="1">
      <c r="A10" s="115" t="s">
        <v>3902</v>
      </c>
      <c r="B10" s="115" t="s">
        <v>3903</v>
      </c>
      <c r="C10" s="123">
        <v>180</v>
      </c>
      <c r="D10" s="123">
        <f>SC06운영지표!C6</f>
        <v>180</v>
      </c>
      <c r="E10" s="115" t="str">
        <f t="shared" si="0"/>
        <v>PASS</v>
      </c>
    </row>
    <row r="11" spans="1:5" ht="30" customHeight="1">
      <c r="A11" s="117" t="s">
        <v>3904</v>
      </c>
      <c r="B11" s="117" t="s">
        <v>3905</v>
      </c>
      <c r="C11" s="124">
        <v>14</v>
      </c>
      <c r="D11" s="124">
        <f>SC06운영지표!C7</f>
        <v>14</v>
      </c>
      <c r="E11" s="117" t="str">
        <f t="shared" si="0"/>
        <v>PASS</v>
      </c>
    </row>
    <row r="12" spans="1:5" ht="30" customHeight="1">
      <c r="A12" s="115" t="s">
        <v>3906</v>
      </c>
      <c r="B12" s="115" t="s">
        <v>3907</v>
      </c>
      <c r="C12" s="123">
        <v>16800000</v>
      </c>
      <c r="D12" s="123">
        <f>SC06운영지표!C9</f>
        <v>16800000</v>
      </c>
      <c r="E12" s="115" t="str">
        <f t="shared" si="0"/>
        <v>PASS</v>
      </c>
    </row>
    <row r="13" spans="1:5" ht="30" customHeight="1">
      <c r="A13" s="117" t="s">
        <v>3908</v>
      </c>
      <c r="B13" s="117" t="s">
        <v>3909</v>
      </c>
      <c r="C13" s="124">
        <v>0</v>
      </c>
      <c r="D13" s="124">
        <f>SC06원인집계!D9-SC06운영지표!C9</f>
        <v>0</v>
      </c>
      <c r="E13" s="117" t="str">
        <f t="shared" si="0"/>
        <v>PASS</v>
      </c>
    </row>
    <row r="14" spans="1:5" ht="30" customHeight="1">
      <c r="A14" s="115" t="s">
        <v>3910</v>
      </c>
      <c r="B14" s="115" t="s">
        <v>1596</v>
      </c>
      <c r="C14" s="123">
        <v>0</v>
      </c>
      <c r="D14" s="123">
        <f>SUM(SC06월효과!I6:I14)</f>
        <v>0</v>
      </c>
      <c r="E14" s="115" t="str">
        <f t="shared" si="0"/>
        <v>PASS</v>
      </c>
    </row>
    <row r="15" spans="1:5" ht="30" customHeight="1">
      <c r="A15" s="117" t="s">
        <v>3911</v>
      </c>
      <c r="B15" s="117" t="s">
        <v>3912</v>
      </c>
      <c r="C15" s="124">
        <v>9690</v>
      </c>
      <c r="D15" s="124">
        <f>SUMIFS(SC06구매거래!F6:F185,SC06구매거래!B6:B185,46661)</f>
        <v>9690</v>
      </c>
      <c r="E15" s="117" t="str">
        <f t="shared" si="0"/>
        <v>PASS</v>
      </c>
    </row>
    <row r="16" spans="1:5" ht="30" customHeight="1">
      <c r="A16" s="115" t="s">
        <v>3913</v>
      </c>
      <c r="B16" s="115" t="s">
        <v>3914</v>
      </c>
      <c r="C16" s="123">
        <v>9500</v>
      </c>
      <c r="D16" s="123">
        <f>SUMIFS(SC06구매거래!F6:F185,SC06구매거래!B6:B185,46692)</f>
        <v>9500</v>
      </c>
      <c r="E16" s="115" t="str">
        <f t="shared" si="0"/>
        <v>PASS</v>
      </c>
    </row>
    <row r="17" spans="1:5" ht="30" customHeight="1">
      <c r="A17" s="117" t="s">
        <v>3915</v>
      </c>
      <c r="B17" s="117" t="s">
        <v>3916</v>
      </c>
      <c r="C17" s="124">
        <v>9025</v>
      </c>
      <c r="D17" s="124">
        <f>SUMIFS(SC06구매거래!F6:F185,SC06구매거래!B6:B185,46722)</f>
        <v>9025</v>
      </c>
      <c r="E17" s="117" t="str">
        <f t="shared" si="0"/>
        <v>PASS</v>
      </c>
    </row>
    <row r="18" spans="1:5" ht="30" customHeight="1">
      <c r="A18" s="115" t="s">
        <v>3917</v>
      </c>
      <c r="B18" s="115" t="s">
        <v>3918</v>
      </c>
      <c r="C18" s="123">
        <v>5</v>
      </c>
      <c r="D18" s="123">
        <f>SC06운영지표!C12</f>
        <v>5</v>
      </c>
      <c r="E18" s="115" t="str">
        <f t="shared" si="0"/>
        <v>PASS</v>
      </c>
    </row>
    <row r="19" spans="1:5" ht="30" customHeight="1">
      <c r="A19" s="117" t="s">
        <v>3919</v>
      </c>
      <c r="B19" s="117" t="s">
        <v>3920</v>
      </c>
      <c r="C19" s="124">
        <v>0</v>
      </c>
      <c r="D19" s="124">
        <f>SUM(SC06기준!M6:M14)-SUM(SC05월효과!N15:N23)</f>
        <v>0</v>
      </c>
      <c r="E19" s="117" t="str">
        <f t="shared" si="0"/>
        <v>PASS</v>
      </c>
    </row>
    <row r="20" spans="1:5" ht="30" customHeight="1">
      <c r="A20" s="115" t="s">
        <v>3921</v>
      </c>
      <c r="B20" s="115" t="s">
        <v>3922</v>
      </c>
      <c r="C20" s="123">
        <v>0</v>
      </c>
      <c r="D20" s="123">
        <f>SC06원인집계!C9-SC06운영지표!C7</f>
        <v>0</v>
      </c>
      <c r="E20" s="115" t="str">
        <f t="shared" si="0"/>
        <v>PASS</v>
      </c>
    </row>
    <row r="21" spans="1:5" ht="30" customHeight="1">
      <c r="A21" s="117" t="s">
        <v>3923</v>
      </c>
      <c r="B21" s="117" t="s">
        <v>3924</v>
      </c>
      <c r="C21" s="124">
        <v>902868880</v>
      </c>
      <c r="D21" s="124">
        <f>SC06분기손익!G9</f>
        <v>902868880</v>
      </c>
      <c r="E21" s="117" t="str">
        <f t="shared" si="0"/>
        <v>PASS</v>
      </c>
    </row>
    <row r="22" spans="1:5" ht="30" customHeight="1">
      <c r="A22" s="115" t="s">
        <v>3925</v>
      </c>
      <c r="B22" s="115" t="s">
        <v>3926</v>
      </c>
      <c r="C22" s="123">
        <v>9</v>
      </c>
      <c r="D22" s="123">
        <f>COUNTIFS(SC06월효과!C6:C14,"&gt;="&amp;SC06설정!B7,SC06월효과!C6:C14,"&lt;="&amp;SC06설정!B8)</f>
        <v>9</v>
      </c>
      <c r="E22" s="115" t="str">
        <f t="shared" si="0"/>
        <v>PASS</v>
      </c>
    </row>
  </sheetData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92</vt:i4>
      </vt:variant>
    </vt:vector>
  </HeadingPairs>
  <TitlesOfParts>
    <vt:vector size="92" baseType="lpstr">
      <vt:lpstr>검토요약</vt:lpstr>
      <vt:lpstr>설정</vt:lpstr>
      <vt:lpstr>단가안비교</vt:lpstr>
      <vt:lpstr>통합손익</vt:lpstr>
      <vt:lpstr>월별계산</vt:lpstr>
      <vt:lpstr>물량원가기준</vt:lpstr>
      <vt:lpstr>월고정비</vt:lpstr>
      <vt:lpstr>부품모델매핑</vt:lpstr>
      <vt:lpstr>단가버전</vt:lpstr>
      <vt:lpstr>업무이력</vt:lpstr>
      <vt:lpstr>증빙과협상</vt:lpstr>
      <vt:lpstr>장면3인계</vt:lpstr>
      <vt:lpstr>예외데이터</vt:lpstr>
      <vt:lpstr>검토의견반영</vt:lpstr>
      <vt:lpstr>데이터계약</vt:lpstr>
      <vt:lpstr>정합성검증</vt:lpstr>
      <vt:lpstr>SC03요약</vt:lpstr>
      <vt:lpstr>SC03기준</vt:lpstr>
      <vt:lpstr>SC03사실확인</vt:lpstr>
      <vt:lpstr>SC03쟁점</vt:lpstr>
      <vt:lpstr>SC03회의</vt:lpstr>
      <vt:lpstr>SC03후보</vt:lpstr>
      <vt:lpstr>SC03과제</vt:lpstr>
      <vt:lpstr>SC03이벤트</vt:lpstr>
      <vt:lpstr>SC03인계</vt:lpstr>
      <vt:lpstr>SC03예외</vt:lpstr>
      <vt:lpstr>SC03데이터계약</vt:lpstr>
      <vt:lpstr>SC03영업시간</vt:lpstr>
      <vt:lpstr>SC03검증</vt:lpstr>
      <vt:lpstr>통합모델손익</vt:lpstr>
      <vt:lpstr>검토요약_v02</vt:lpstr>
      <vt:lpstr>SC04비교</vt:lpstr>
      <vt:lpstr>SC04월손익</vt:lpstr>
      <vt:lpstr>SC04가정</vt:lpstr>
      <vt:lpstr>SC04월효과</vt:lpstr>
      <vt:lpstr>SC04근거</vt:lpstr>
      <vt:lpstr>SC04분석결과</vt:lpstr>
      <vt:lpstr>SC04예산과제</vt:lpstr>
      <vt:lpstr>SC04조건지시</vt:lpstr>
      <vt:lpstr>SC04회의</vt:lpstr>
      <vt:lpstr>SC04이벤트</vt:lpstr>
      <vt:lpstr>SC04인계</vt:lpstr>
      <vt:lpstr>SC04예외</vt:lpstr>
      <vt:lpstr>SC04계약</vt:lpstr>
      <vt:lpstr>SC04검증</vt:lpstr>
      <vt:lpstr>SC05요약</vt:lpstr>
      <vt:lpstr>SC05설정</vt:lpstr>
      <vt:lpstr>SC05계획</vt:lpstr>
      <vt:lpstr>SC05활동</vt:lpstr>
      <vt:lpstr>SC05조건품의</vt:lpstr>
      <vt:lpstr>SC05예산원장</vt:lpstr>
      <vt:lpstr>SC05예산</vt:lpstr>
      <vt:lpstr>SC05고객계획</vt:lpstr>
      <vt:lpstr>SC05변경공유</vt:lpstr>
      <vt:lpstr>SC05구매표본</vt:lpstr>
      <vt:lpstr>SC05초기지표</vt:lpstr>
      <vt:lpstr>SC05월효과</vt:lpstr>
      <vt:lpstr>SC05모델손익</vt:lpstr>
      <vt:lpstr>SC05월손익</vt:lpstr>
      <vt:lpstr>SC05이전공식</vt:lpstr>
      <vt:lpstr>SC05전망버전</vt:lpstr>
      <vt:lpstr>SC05변경대사</vt:lpstr>
      <vt:lpstr>SC05운영계획</vt:lpstr>
      <vt:lpstr>SC05근거</vt:lpstr>
      <vt:lpstr>SC05Agent</vt:lpstr>
      <vt:lpstr>SC05이벤트</vt:lpstr>
      <vt:lpstr>SC05인계</vt:lpstr>
      <vt:lpstr>SC05착수조건</vt:lpstr>
      <vt:lpstr>SC05예외</vt:lpstr>
      <vt:lpstr>SC05데이터계약</vt:lpstr>
      <vt:lpstr>SC05검증</vt:lpstr>
      <vt:lpstr>SC06요약</vt:lpstr>
      <vt:lpstr>SC06과제성과</vt:lpstr>
      <vt:lpstr>SC06원인집계</vt:lpstr>
      <vt:lpstr>SC06분기손익</vt:lpstr>
      <vt:lpstr>SC06기준</vt:lpstr>
      <vt:lpstr>SC06설정</vt:lpstr>
      <vt:lpstr>SC06실행실적</vt:lpstr>
      <vt:lpstr>SC06운영비</vt:lpstr>
      <vt:lpstr>SC06구매거래</vt:lpstr>
      <vt:lpstr>SC06변경근거</vt:lpstr>
      <vt:lpstr>SC06월효과</vt:lpstr>
      <vt:lpstr>SC06운영지표</vt:lpstr>
      <vt:lpstr>SC06완료판단</vt:lpstr>
      <vt:lpstr>SC06후속조치</vt:lpstr>
      <vt:lpstr>SC06근거</vt:lpstr>
      <vt:lpstr>SC06Agent</vt:lpstr>
      <vt:lpstr>SC06보고</vt:lpstr>
      <vt:lpstr>SC06화면매핑</vt:lpstr>
      <vt:lpstr>SC06데이터계약</vt:lpstr>
      <vt:lpstr>SC06예외</vt:lpstr>
      <vt:lpstr>SC06검증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임근석</dc:creator>
  <cp:lastModifiedBy>근석 임</cp:lastModifiedBy>
  <dcterms:created xsi:type="dcterms:W3CDTF">2026-10-25T08:28:02Z</dcterms:created>
  <dcterms:modified xsi:type="dcterms:W3CDTF">2026-10-25T08:28:02Z</dcterms:modified>
</cp:coreProperties>
</file>